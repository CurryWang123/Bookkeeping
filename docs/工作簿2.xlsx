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ideaProject\Bookkeeping\docs\"/>
    </mc:Choice>
  </mc:AlternateContent>
  <xr:revisionPtr revIDLastSave="0" documentId="13_ncr:1_{FE8163D8-F01B-4AD1-B1E6-6947CACBD147}" xr6:coauthVersionLast="47" xr6:coauthVersionMax="47" xr10:uidLastSave="{00000000-0000-0000-0000-000000000000}"/>
  <bookViews>
    <workbookView xWindow="-110" yWindow="-110" windowWidth="25820" windowHeight="15500" xr2:uid="{DE2ACCBC-E3D3-44F7-AE00-BAF99FFB36F5}"/>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8" i="1" l="1"/>
  <c r="B247" i="1"/>
  <c r="B91" i="1"/>
  <c r="B90" i="1"/>
  <c r="B87" i="1"/>
  <c r="B86" i="1"/>
  <c r="B85" i="1"/>
  <c r="B84" i="1"/>
  <c r="B76" i="1"/>
</calcChain>
</file>

<file path=xl/sharedStrings.xml><?xml version="1.0" encoding="utf-8"?>
<sst xmlns="http://schemas.openxmlformats.org/spreadsheetml/2006/main" count="17376" uniqueCount="6486">
  <si>
    <t>产品名称</t>
  </si>
  <si>
    <t>单价</t>
  </si>
  <si>
    <t>衣帽架</t>
  </si>
  <si>
    <t>梯形衣帽架</t>
  </si>
  <si>
    <t>弯弯椅</t>
  </si>
  <si>
    <t>直角三盘花架</t>
  </si>
  <si>
    <t>直角四盘花架</t>
  </si>
  <si>
    <t>花篮</t>
  </si>
  <si>
    <t>灯泡椅</t>
  </si>
  <si>
    <t>鱼骨衣帽架</t>
  </si>
  <si>
    <t>五二零边几</t>
  </si>
  <si>
    <t>双层小圆几</t>
  </si>
  <si>
    <t>三层小圆几</t>
  </si>
  <si>
    <t>爆款花架</t>
  </si>
  <si>
    <t>十字衣帽架</t>
  </si>
  <si>
    <t>L型衣帽架</t>
  </si>
  <si>
    <t>门型衣帽架</t>
  </si>
  <si>
    <t>V型圆凳</t>
  </si>
  <si>
    <t>爆款茶几</t>
  </si>
  <si>
    <t>备菜架</t>
  </si>
  <si>
    <t>单杆鞋架</t>
  </si>
  <si>
    <t>猫头鞋架</t>
  </si>
  <si>
    <t>人字花架</t>
  </si>
  <si>
    <t>十字圆凳</t>
  </si>
  <si>
    <t>双杆服装架</t>
  </si>
  <si>
    <t>甜甜圈</t>
  </si>
  <si>
    <t>弯曲花架</t>
  </si>
  <si>
    <t>仙人掌服装架</t>
  </si>
  <si>
    <t>熊耳手推车</t>
  </si>
  <si>
    <t>长短脚服装架</t>
  </si>
  <si>
    <t>细腰小圆几</t>
  </si>
  <si>
    <t>太能装服装架</t>
  </si>
  <si>
    <t>V型小圆几</t>
  </si>
  <si>
    <t>换鞋凳</t>
  </si>
  <si>
    <t>转角服装架</t>
  </si>
  <si>
    <t>熊耳转角置物架</t>
  </si>
  <si>
    <t>火箭小圆几</t>
  </si>
  <si>
    <t>环球小圆几</t>
  </si>
  <si>
    <t>多功能</t>
  </si>
  <si>
    <t>彩虹鞋架</t>
  </si>
  <si>
    <t>弯型圆凳</t>
  </si>
  <si>
    <t>塑盘U型花架</t>
  </si>
  <si>
    <t>折叠花架</t>
  </si>
  <si>
    <t>四花鞋架</t>
  </si>
  <si>
    <t>大理石衣帽架</t>
  </si>
  <si>
    <t>花瓶小圆几</t>
  </si>
  <si>
    <t>好运小圆几</t>
  </si>
  <si>
    <t>E字型边几</t>
  </si>
  <si>
    <t>碟盘双层小圆几</t>
  </si>
  <si>
    <t>弯型服装架</t>
  </si>
  <si>
    <t>四脚五二零边几</t>
  </si>
  <si>
    <t>仙人掌衣帽架</t>
  </si>
  <si>
    <t>吧台椅</t>
  </si>
  <si>
    <t>多球鞋架</t>
  </si>
  <si>
    <t>水晶蝴蝶椅</t>
  </si>
  <si>
    <t>折叠蝴蝶椅</t>
  </si>
  <si>
    <t>熊耳晾鞋架</t>
  </si>
  <si>
    <t>双排鞋架</t>
  </si>
  <si>
    <t>抽屉边几</t>
  </si>
  <si>
    <t>飞碟花架</t>
  </si>
  <si>
    <t>带框L型衣帽架</t>
  </si>
  <si>
    <t>元宝沙发</t>
  </si>
  <si>
    <t>元宝沙发230CM</t>
  </si>
  <si>
    <t>玻璃茶几</t>
  </si>
  <si>
    <t>熊宝宝鞋架</t>
  </si>
  <si>
    <t>兔耳朵鞋架</t>
  </si>
  <si>
    <t>全身镜</t>
  </si>
  <si>
    <t>岩板茶几</t>
  </si>
  <si>
    <t>晾鞋架</t>
  </si>
  <si>
    <t>经济款蝴蝶椅</t>
  </si>
  <si>
    <t>圆桌</t>
  </si>
  <si>
    <t>葫芦小圆几</t>
  </si>
  <si>
    <t>爆款玻璃边几</t>
  </si>
  <si>
    <t>蘑菇凳</t>
  </si>
  <si>
    <t>挂衣撑</t>
  </si>
  <si>
    <t>挂衣撑2个装</t>
  </si>
  <si>
    <t>挂衣撑3个装</t>
  </si>
  <si>
    <t>网红花架</t>
  </si>
  <si>
    <t>网红花架7-8层</t>
  </si>
  <si>
    <t>椭圆仙人掌</t>
  </si>
  <si>
    <t>花枝招展花架</t>
  </si>
  <si>
    <t>公鸡花架</t>
  </si>
  <si>
    <t>U型二盘花架</t>
  </si>
  <si>
    <t>U型二盘花架（外箱缠膜）</t>
  </si>
  <si>
    <t>塑盘U型花架（外箱缠膜）</t>
  </si>
  <si>
    <t>折叠花架（外箱缠膜）</t>
  </si>
  <si>
    <t>双层小圆几（外箱缠膜）</t>
  </si>
  <si>
    <t>碟盘双层小圆几（外箱缠膜）</t>
  </si>
  <si>
    <t>直角三盘花架（外箱缠膜）</t>
  </si>
  <si>
    <t>直角四盘花架（外箱缠膜）</t>
  </si>
  <si>
    <t>玻璃双层小圆几（外箱缠膜）</t>
  </si>
  <si>
    <t>爆款玻璃边几（外箱缠膜）</t>
  </si>
  <si>
    <t>错层鞋架7-10层</t>
  </si>
  <si>
    <t>错层鞋架</t>
  </si>
  <si>
    <t>波浪衣帽架</t>
  </si>
  <si>
    <t>玻璃茶几D款45#</t>
  </si>
  <si>
    <t>网红衣帽架</t>
  </si>
  <si>
    <t>双层仙人掌衣帽架</t>
  </si>
  <si>
    <t>晶雅方桌（桌面）</t>
  </si>
  <si>
    <t>晶雅方桌1M（桌面）</t>
  </si>
  <si>
    <t>晶雅方桌（桌脚）</t>
  </si>
  <si>
    <t>晶雅方桌60</t>
  </si>
  <si>
    <t>晶雅方桌72</t>
  </si>
  <si>
    <t>晶雅方桌100</t>
  </si>
  <si>
    <t>箱包床头柜</t>
  </si>
  <si>
    <t>汇心圆桌（桌面）</t>
  </si>
  <si>
    <t>汇心圆桌（桌脚）</t>
  </si>
  <si>
    <t>玻璃茶几B款60#</t>
  </si>
  <si>
    <t>玻璃茶几B款70#</t>
  </si>
  <si>
    <t>玻璃茶几B款80#</t>
  </si>
  <si>
    <t>玻璃茶几C款45#</t>
  </si>
  <si>
    <t>玻璃茶几C款60-80#</t>
  </si>
  <si>
    <t>子母茶几</t>
  </si>
  <si>
    <t>雨伞衣帽架</t>
  </si>
  <si>
    <t>简易仙人掌衣帽架</t>
  </si>
  <si>
    <t>简易仙人掌衣帽架（3000件的）</t>
  </si>
  <si>
    <t>玻璃双层小圆几</t>
  </si>
  <si>
    <t>熊耳小边几</t>
  </si>
  <si>
    <t>云朵边几</t>
  </si>
  <si>
    <t>曲叶衣帽架</t>
  </si>
  <si>
    <t>曲叶衣帽架（枝干）</t>
  </si>
  <si>
    <t>曲叶衣帽架（岩板）</t>
  </si>
  <si>
    <t>小猫门后挂钩</t>
  </si>
  <si>
    <t>贴墙置物架</t>
  </si>
  <si>
    <t>壁挂花瓶</t>
  </si>
  <si>
    <t>方晶皮革边几</t>
  </si>
  <si>
    <t>枝韵盘衣帽架</t>
  </si>
  <si>
    <t>放说明书</t>
  </si>
  <si>
    <t>泡茶边几</t>
  </si>
  <si>
    <t>半圆晾鞋架</t>
  </si>
  <si>
    <t>专利款衣帽架</t>
  </si>
  <si>
    <t>专利大理石衣帽架</t>
  </si>
  <si>
    <t>专利款十字衣帽架</t>
  </si>
  <si>
    <t>时支衣帽架</t>
  </si>
  <si>
    <t>花蝴蝶小圆几</t>
  </si>
  <si>
    <t>玻璃茶几F款</t>
  </si>
  <si>
    <t>玻璃茶几H款</t>
  </si>
  <si>
    <t>方形桌单桌50#</t>
  </si>
  <si>
    <t>粘抽屉</t>
  </si>
  <si>
    <t>不锈钢衣帽架</t>
  </si>
  <si>
    <t>不锈钢衣帽架（擦）</t>
  </si>
  <si>
    <t>折叠子母茶几</t>
  </si>
  <si>
    <t>折叠单茶几</t>
  </si>
  <si>
    <t>雕花茶几</t>
  </si>
  <si>
    <t>柱底衣帽架（枝干）</t>
  </si>
  <si>
    <t>柱底衣帽架（底座）</t>
  </si>
  <si>
    <t>简学方桌80</t>
  </si>
  <si>
    <t>简学方桌100</t>
  </si>
  <si>
    <t>简学方桌120</t>
  </si>
  <si>
    <t>简学方桌140</t>
  </si>
  <si>
    <t>幻竞方桌100</t>
  </si>
  <si>
    <t>幻竞方桌120</t>
  </si>
  <si>
    <t>幻竞方桌140</t>
  </si>
  <si>
    <r>
      <rPr>
        <sz val="11"/>
        <color theme="1"/>
        <rFont val="等线"/>
        <family val="2"/>
        <charset val="134"/>
        <scheme val="minor"/>
      </rPr>
      <t>网红子母茶几8</t>
    </r>
    <r>
      <rPr>
        <sz val="11"/>
        <color theme="1"/>
        <rFont val="等线"/>
        <family val="2"/>
        <charset val="134"/>
        <scheme val="minor"/>
      </rPr>
      <t>0+60</t>
    </r>
  </si>
  <si>
    <r>
      <rPr>
        <sz val="11"/>
        <color theme="1"/>
        <rFont val="等线"/>
        <family val="2"/>
        <charset val="134"/>
        <scheme val="minor"/>
      </rPr>
      <t>网红子母茶几7</t>
    </r>
    <r>
      <rPr>
        <sz val="11"/>
        <color theme="1"/>
        <rFont val="等线"/>
        <family val="2"/>
        <charset val="134"/>
        <scheme val="minor"/>
      </rPr>
      <t>0+50</t>
    </r>
  </si>
  <si>
    <t>网红子母茶几60+45</t>
  </si>
  <si>
    <t>经典子母茶几</t>
  </si>
  <si>
    <t>忆饰边几</t>
  </si>
  <si>
    <t>云栖衣帽架</t>
  </si>
  <si>
    <t>异形茶几</t>
  </si>
  <si>
    <t>箱包衣帽架</t>
  </si>
  <si>
    <t>浮双花架</t>
  </si>
  <si>
    <t>旋梯花架</t>
  </si>
  <si>
    <t>随行全身镜</t>
  </si>
  <si>
    <t>子母茶几单桌45#</t>
  </si>
  <si>
    <t>清新全身镜</t>
  </si>
  <si>
    <t>柱底小边几</t>
  </si>
  <si>
    <t>云柱小圆几（桌面）</t>
  </si>
  <si>
    <t>云柱小圆几（桌脚）</t>
  </si>
  <si>
    <t>芒果茶几</t>
  </si>
  <si>
    <t>简合桌椅</t>
  </si>
  <si>
    <t>扇椅</t>
  </si>
  <si>
    <t>踏青鞋架</t>
  </si>
  <si>
    <t>立枝衣帽架</t>
  </si>
  <si>
    <t>绿末纸巾架</t>
  </si>
  <si>
    <t>双影花架</t>
  </si>
  <si>
    <t>合叶花架</t>
  </si>
  <si>
    <t>焕新衣帽架</t>
  </si>
  <si>
    <t>夹缝置物架</t>
  </si>
  <si>
    <t>贝托衣帽架</t>
  </si>
  <si>
    <t>机器置物架</t>
  </si>
  <si>
    <t>对棱花架</t>
  </si>
  <si>
    <t>三戟花架</t>
  </si>
  <si>
    <t>太极茶几</t>
  </si>
  <si>
    <t>双V方几（小）</t>
  </si>
  <si>
    <t>双V方几（大）</t>
  </si>
  <si>
    <t>立圆边几</t>
  </si>
  <si>
    <t>小熊边几</t>
  </si>
  <si>
    <t>星璃茶几70</t>
  </si>
  <si>
    <t>星璃茶几80</t>
  </si>
  <si>
    <t>格度茶几60</t>
  </si>
  <si>
    <t>格度茶几70</t>
  </si>
  <si>
    <t>格度茶几80</t>
  </si>
  <si>
    <t>简构子母茶几60+45</t>
  </si>
  <si>
    <t>简构子母茶几80+60</t>
  </si>
  <si>
    <t>玄月沙发</t>
  </si>
  <si>
    <t>玄月沙发2.3M</t>
  </si>
  <si>
    <t>玄月沙发2.6M</t>
  </si>
  <si>
    <t>黑弧沙发</t>
  </si>
  <si>
    <t>黑弧沙发2.3M</t>
  </si>
  <si>
    <t>优月沙发</t>
  </si>
  <si>
    <t>优月沙发2.3M</t>
  </si>
  <si>
    <t>双面沙发</t>
  </si>
  <si>
    <t>贯正方几70</t>
  </si>
  <si>
    <t>贯正方几80</t>
  </si>
  <si>
    <t>贯正方几90</t>
  </si>
  <si>
    <t>穿圆茶几70</t>
  </si>
  <si>
    <t>穿圆茶几80</t>
  </si>
  <si>
    <t>穿圆茶几90</t>
  </si>
  <si>
    <t>透三角茶几80</t>
  </si>
  <si>
    <t>透三角茶几110</t>
  </si>
  <si>
    <t>飞碟茶几75</t>
  </si>
  <si>
    <t>飞碟茶几90</t>
  </si>
  <si>
    <t>通长茶几120</t>
  </si>
  <si>
    <t>通长茶几140</t>
  </si>
  <si>
    <t>锥形茶几75</t>
  </si>
  <si>
    <t>锥形茶几90</t>
  </si>
  <si>
    <t>迷齐边几30</t>
  </si>
  <si>
    <t>迷齐边几35</t>
  </si>
  <si>
    <t>迷齐边几40</t>
  </si>
  <si>
    <t>圆其边几35</t>
  </si>
  <si>
    <t>圆其边几40</t>
  </si>
  <si>
    <t>长奇边几40*50</t>
  </si>
  <si>
    <t>长奇边几40*60</t>
  </si>
  <si>
    <t>长奇边几40*70</t>
  </si>
  <si>
    <t>沐光衣帽架</t>
  </si>
  <si>
    <t>年轮置物架</t>
  </si>
  <si>
    <t>天平衣帽架</t>
  </si>
  <si>
    <t>归圆衣帽架</t>
  </si>
  <si>
    <t>方韵边几</t>
  </si>
  <si>
    <t>乙月边几</t>
  </si>
  <si>
    <t>乙月边几（桌面）</t>
  </si>
  <si>
    <t>乙月边几（桌脚）</t>
  </si>
  <si>
    <t>猫窝凳</t>
  </si>
  <si>
    <t>圆片鞋架</t>
  </si>
  <si>
    <t>卫星圆几</t>
  </si>
  <si>
    <t>开启边几30</t>
  </si>
  <si>
    <t>开启边几35</t>
  </si>
  <si>
    <t>开启边几40</t>
  </si>
  <si>
    <t>开启边几40*50</t>
  </si>
  <si>
    <t>开启边几40*60</t>
  </si>
  <si>
    <t>开启边几40*70</t>
  </si>
  <si>
    <t>新你边几</t>
  </si>
  <si>
    <t>素台花架</t>
  </si>
  <si>
    <t>屿光边几</t>
  </si>
  <si>
    <t>屿光边几（桌脚）</t>
  </si>
  <si>
    <t>屿光边几（桌面）</t>
  </si>
  <si>
    <t>屿光茶几70</t>
  </si>
  <si>
    <t>屿光茶几80</t>
  </si>
  <si>
    <t>鹿头衣帽架/脏衣篓铁框</t>
  </si>
  <si>
    <t>鹿头衣帽架</t>
  </si>
  <si>
    <t>双杆服装架（单件装）</t>
  </si>
  <si>
    <t>子母茶几（单件装）</t>
  </si>
  <si>
    <t>子母茶几（3件装）</t>
  </si>
  <si>
    <t>双层仙人掌衣帽架返工</t>
  </si>
  <si>
    <t>双层仙人掌衣帽架（4件装）</t>
  </si>
  <si>
    <t>衣帽架（单件装）</t>
  </si>
  <si>
    <t>衣帽架（3件装）</t>
  </si>
  <si>
    <t>衣帽架（4件装）</t>
  </si>
  <si>
    <t>衣帽架（5件装）</t>
  </si>
  <si>
    <t>衣帽架（6件装）</t>
  </si>
  <si>
    <t>衣帽架（7件装）</t>
  </si>
  <si>
    <t>衣帽架（8件装）</t>
  </si>
  <si>
    <t>衣帽架（9件装）</t>
  </si>
  <si>
    <t>衣帽架（10件装）</t>
  </si>
  <si>
    <t>L型衣帽架（4件装）</t>
  </si>
  <si>
    <t>归圆衣帽架（5件装）</t>
  </si>
  <si>
    <t>专利款衣帽架（麻袋装）</t>
  </si>
  <si>
    <t>专利款衣帽架（3件装）</t>
  </si>
  <si>
    <t>专利款衣帽架（5件装）</t>
  </si>
  <si>
    <t>专利款衣帽架（6件装）</t>
  </si>
  <si>
    <t>专利款衣帽架（7件装）</t>
  </si>
  <si>
    <t>专利款衣帽架（8件装）</t>
  </si>
  <si>
    <t>专利款衣帽架（10件装）</t>
  </si>
  <si>
    <t>专利款十字衣帽架（2件装）</t>
  </si>
  <si>
    <t>专利款十字衣帽架（3件装）</t>
  </si>
  <si>
    <t>专利款十字衣帽架（4件装）</t>
  </si>
  <si>
    <t>专利款十字衣帽架（5件装）</t>
  </si>
  <si>
    <t>专利款十字衣帽架（6件装）</t>
  </si>
  <si>
    <t>专利款十字衣帽架（7件装）</t>
  </si>
  <si>
    <t>专利款十字衣帽架（8件装）</t>
  </si>
  <si>
    <t>专利款十字衣帽架（10件装）</t>
  </si>
  <si>
    <t>专利款十字衣帽架（12件装）</t>
  </si>
  <si>
    <t>专利款十字衣帽架（13件装）</t>
  </si>
  <si>
    <t>专利款十字衣帽架（14件装）</t>
  </si>
  <si>
    <t>专利款十字衣帽架（15件装）</t>
  </si>
  <si>
    <t>专利款十字衣帽架（16件装）</t>
  </si>
  <si>
    <t>专利款十字衣帽架（17件装）</t>
  </si>
  <si>
    <t>专利款十字衣帽架（18件装）</t>
  </si>
  <si>
    <t>专利款十字衣帽架（19件装）</t>
  </si>
  <si>
    <r>
      <rPr>
        <sz val="11"/>
        <color theme="1"/>
        <rFont val="等线"/>
        <family val="2"/>
        <charset val="134"/>
        <scheme val="minor"/>
      </rPr>
      <t>专利款十字衣帽架（2</t>
    </r>
    <r>
      <rPr>
        <sz val="11"/>
        <color theme="1"/>
        <rFont val="等线"/>
        <family val="2"/>
        <charset val="134"/>
        <scheme val="minor"/>
      </rPr>
      <t>0件装）</t>
    </r>
  </si>
  <si>
    <t>专利款十字衣帽架（25件装）</t>
  </si>
  <si>
    <t>专利款十字衣帽架（30件装）</t>
  </si>
  <si>
    <t>专利款十字衣帽架（31件装）</t>
  </si>
  <si>
    <t>专利款十字衣帽架（40件装）</t>
  </si>
  <si>
    <t>专利款十字衣帽架（50件装）</t>
  </si>
  <si>
    <t>专利款十字衣帽架（多件装）</t>
  </si>
  <si>
    <t>时支衣帽架（5件装）</t>
  </si>
  <si>
    <t>时支衣帽架（14件装）</t>
  </si>
  <si>
    <t>时支衣帽架（16件装）</t>
  </si>
  <si>
    <t>仙人掌衣帽架（4件装）</t>
  </si>
  <si>
    <t>网红衣帽架（5件装）</t>
  </si>
  <si>
    <t>带框L型衣帽架（5件装）</t>
  </si>
  <si>
    <t>飞碟花架（3件装）</t>
  </si>
  <si>
    <t>飞碟花架50个装</t>
  </si>
  <si>
    <t>飞碟花架（65个装）</t>
  </si>
  <si>
    <t>飞碟花架（96件装）</t>
  </si>
  <si>
    <t>花篮（50件装）</t>
  </si>
  <si>
    <t>花篮（100个装）</t>
  </si>
  <si>
    <t>熊宝宝鞋架（单件装）</t>
  </si>
  <si>
    <t>熊宝宝鞋架（2件装）</t>
  </si>
  <si>
    <t>熊宝宝鞋架（3件装）</t>
  </si>
  <si>
    <t>熊宝宝鞋架（4件装）</t>
  </si>
  <si>
    <t>熊宝宝鞋架（5件装）</t>
  </si>
  <si>
    <t>熊宝宝鞋架（6件装）</t>
  </si>
  <si>
    <t>熊宝宝鞋架（10件装）</t>
  </si>
  <si>
    <t>熊宝宝鞋架（多件装）</t>
  </si>
  <si>
    <t>折叠花架（2件装）</t>
  </si>
  <si>
    <t>折叠花架（3件装）</t>
  </si>
  <si>
    <t>折叠花架（4件装）</t>
  </si>
  <si>
    <t>折叠花架（5件装）</t>
  </si>
  <si>
    <t>折叠花架（6件装）</t>
  </si>
  <si>
    <t>折叠花架（10件装）</t>
  </si>
  <si>
    <t>折叠花架（12件装）</t>
  </si>
  <si>
    <t>折叠花架（14件装）</t>
  </si>
  <si>
    <t>熊耳晾鞋架（3件装）</t>
  </si>
  <si>
    <t>熊耳晾鞋架（5件装）</t>
  </si>
  <si>
    <t>熊耳晾鞋架（6件装）</t>
  </si>
  <si>
    <t>熊耳晾鞋架（7件装）</t>
  </si>
  <si>
    <t>熊耳晾鞋架（8件装）</t>
  </si>
  <si>
    <t>熊耳晾鞋架（9件装）</t>
  </si>
  <si>
    <t>熊耳晾鞋架（10件装）</t>
  </si>
  <si>
    <t>熊耳晾鞋架（12件装）</t>
  </si>
  <si>
    <t>熊耳晾鞋架（15件装）</t>
  </si>
  <si>
    <t>熊耳晾鞋架（18件装）</t>
  </si>
  <si>
    <t>熊耳晾鞋架（19件装）</t>
  </si>
  <si>
    <t>熊耳晾鞋架（20件装）</t>
  </si>
  <si>
    <t>熊耳晾鞋架（22件装）</t>
  </si>
  <si>
    <t>熊耳晾鞋架（24件装）</t>
  </si>
  <si>
    <t>熊耳晾鞋架（25件装）</t>
  </si>
  <si>
    <t>熊耳晾鞋架（27件装）</t>
  </si>
  <si>
    <t>熊耳晾鞋架（34件装）</t>
  </si>
  <si>
    <t>换鞋凳（1件装）</t>
  </si>
  <si>
    <t>换鞋凳（单件装）</t>
  </si>
  <si>
    <t>换鞋凳（3件装）</t>
  </si>
  <si>
    <t>换鞋凳（4件装）</t>
  </si>
  <si>
    <t>换鞋凳（5件装）</t>
  </si>
  <si>
    <t>换鞋凳（8件装）</t>
  </si>
  <si>
    <t>灯泡椅（单件装）</t>
  </si>
  <si>
    <t>灯泡椅（2件装）</t>
  </si>
  <si>
    <t>灯泡椅（3件装）</t>
  </si>
  <si>
    <t>灯泡椅（4件装）</t>
  </si>
  <si>
    <t>灯泡椅（6件装）</t>
  </si>
  <si>
    <t>猫头鞋架（多件装）</t>
  </si>
  <si>
    <t>猫头鞋架（18件装）</t>
  </si>
  <si>
    <t>猫头鞋架（17件装）</t>
  </si>
  <si>
    <t>猫头鞋架（16件装）</t>
  </si>
  <si>
    <t>猫头鞋架（15件装）</t>
  </si>
  <si>
    <t>猫头鞋架（14件装）</t>
  </si>
  <si>
    <t>猫头鞋架（13件装）</t>
  </si>
  <si>
    <t>猫头鞋架（12件装）</t>
  </si>
  <si>
    <t>猫头鞋架（11件装）</t>
  </si>
  <si>
    <t>猫头鞋架（10件装）</t>
  </si>
  <si>
    <t>猫头鞋架（9件装）</t>
  </si>
  <si>
    <t>猫头鞋架（8件装）</t>
  </si>
  <si>
    <t>猫头鞋架（7件装）</t>
  </si>
  <si>
    <t>猫头鞋架（6件装）</t>
  </si>
  <si>
    <t>猫头鞋架（5件装）</t>
  </si>
  <si>
    <t>猫头鞋架（4件装）</t>
  </si>
  <si>
    <t>猫头鞋架（3件装）</t>
  </si>
  <si>
    <t>甜甜圈（7件装）</t>
  </si>
  <si>
    <t>甜甜圈（6件装）</t>
  </si>
  <si>
    <t>甜甜圈（5件装）</t>
  </si>
  <si>
    <t>甜甜圈（4件装）</t>
  </si>
  <si>
    <t>甜甜圈（3件装）</t>
  </si>
  <si>
    <t>甜甜圈（2件装）</t>
  </si>
  <si>
    <t>甜甜圈（单件装）</t>
  </si>
  <si>
    <t>吧台椅（单件装）</t>
  </si>
  <si>
    <t>吧台椅（3件装）</t>
  </si>
  <si>
    <t>吧台椅（4件装）</t>
  </si>
  <si>
    <t>吧台椅（5件装）</t>
  </si>
  <si>
    <t>吧台椅（2件装）</t>
  </si>
  <si>
    <t>吧台椅（7件装）</t>
  </si>
  <si>
    <t>吧台椅（8件装）</t>
  </si>
  <si>
    <t>吧台椅（5件装）纸箱装</t>
  </si>
  <si>
    <t>花枝招展花架（单件装）</t>
  </si>
  <si>
    <t>花枝招展花架单件麻袋装</t>
  </si>
  <si>
    <t>花枝招展花架（4件装）</t>
  </si>
  <si>
    <t>花枝招展花架（5件装）</t>
  </si>
  <si>
    <t>玻璃茶几D款45#（6件装）</t>
  </si>
  <si>
    <t>玻璃茶几D款（5件装）</t>
  </si>
  <si>
    <t>网红花架（3件装）</t>
  </si>
  <si>
    <t>网红花架（5件装）</t>
  </si>
  <si>
    <t>网红花架（10件装）</t>
  </si>
  <si>
    <t>错层鞋架（麻袋装）</t>
  </si>
  <si>
    <t>错层鞋架（单件装）</t>
  </si>
  <si>
    <t>错层鞋架（2件装）</t>
  </si>
  <si>
    <t>错层鞋架（3件装）</t>
  </si>
  <si>
    <t>错层鞋架（4件装）</t>
  </si>
  <si>
    <t>错层鞋架（5件装）</t>
  </si>
  <si>
    <t>四花单件装麻袋</t>
  </si>
  <si>
    <t>四花鞋架（2件装）</t>
  </si>
  <si>
    <t>四花鞋架（3件装）</t>
  </si>
  <si>
    <t>四花鞋架（8件装）</t>
  </si>
  <si>
    <t>波浪衣帽架（单件装）</t>
  </si>
  <si>
    <t>波浪衣帽架（2件装）</t>
  </si>
  <si>
    <t>波浪衣帽架（5件装）</t>
  </si>
  <si>
    <t>好运小圆几（1件装）</t>
  </si>
  <si>
    <t>好运小圆几（2件装）</t>
  </si>
  <si>
    <t>好运小圆几（3件装）</t>
  </si>
  <si>
    <t>好运小圆几（4件装）</t>
  </si>
  <si>
    <t>好运小圆几（5件装）</t>
  </si>
  <si>
    <t>好运小圆几（6件装）</t>
  </si>
  <si>
    <t>环球小圆几（3件装）</t>
  </si>
  <si>
    <t>细腰小圆几（单件装）</t>
  </si>
  <si>
    <t>细腰小圆几（5件装）</t>
  </si>
  <si>
    <t>火箭小圆几（2件装）</t>
  </si>
  <si>
    <t>花瓶小圆几（3件装）</t>
  </si>
  <si>
    <t>花瓶小圆几（5件装）</t>
  </si>
  <si>
    <t>环球小圆几（5件装）</t>
  </si>
  <si>
    <t>碟盘双层小圆几（3件装）</t>
  </si>
  <si>
    <t>碟盘双层小圆几（5件装）</t>
  </si>
  <si>
    <t>花蝴蝶小圆几（3件装）</t>
  </si>
  <si>
    <t>贴墙置物架（5件装）</t>
  </si>
  <si>
    <t>飞碟花架（36个装）麻袋</t>
  </si>
  <si>
    <t>半圆晾鞋架（5件装）</t>
  </si>
  <si>
    <t>简易仙人掌衣帽架（6件装）</t>
  </si>
  <si>
    <t>简易仙人掌衣帽架（5件装）</t>
  </si>
  <si>
    <t>简易仙人掌衣帽架（5件装）加护角</t>
  </si>
  <si>
    <t>兔耳朵鞋架（6件装）</t>
  </si>
  <si>
    <t>子母茶几换玻璃</t>
  </si>
  <si>
    <t>多功能服装架（3件装）</t>
  </si>
  <si>
    <t>多功能衣帽架（5件装）</t>
  </si>
  <si>
    <t>爆款玻璃边几（3件装）</t>
  </si>
  <si>
    <t>爆款玻璃边几（4件装）</t>
  </si>
  <si>
    <t>爆款玻璃边几（5件装）</t>
  </si>
  <si>
    <t>云朵边几换石头</t>
  </si>
  <si>
    <t>吧台椅纸箱（35个装）</t>
  </si>
  <si>
    <t>吧台椅纸箱（40个装）</t>
  </si>
  <si>
    <t>吧台椅纸箱50个</t>
  </si>
  <si>
    <t>岩板80#</t>
  </si>
  <si>
    <t>玻璃双层小圆几（5件装）</t>
  </si>
  <si>
    <t>玻璃双层小圆几（3件装）</t>
  </si>
  <si>
    <t>转角服装架（3件装）</t>
  </si>
  <si>
    <t>转角服装架（4件装）</t>
  </si>
  <si>
    <t>转角服装架（6件装）</t>
  </si>
  <si>
    <t>椭圆仙人掌衣帽架（3件装）</t>
  </si>
  <si>
    <t>椭圆仙人掌衣帽架（5件装）</t>
  </si>
  <si>
    <t>人字花架（单件装）</t>
  </si>
  <si>
    <t>人字花架（3件装）</t>
  </si>
  <si>
    <t>人字花架（4件装）</t>
  </si>
  <si>
    <t>人字花架（5件装）</t>
  </si>
  <si>
    <t>人字花架（6件装）</t>
  </si>
  <si>
    <t>塑盘U型花架（5件装）</t>
  </si>
  <si>
    <t>飞碟花架（9个装）</t>
  </si>
  <si>
    <t>飞碟花架（10件装）</t>
  </si>
  <si>
    <t>餐桌1.4M</t>
  </si>
  <si>
    <t>餐桌1.6M</t>
  </si>
  <si>
    <t>餐椅4把</t>
  </si>
  <si>
    <t>壁挂花瓶（多件装）</t>
  </si>
  <si>
    <t>壁挂花瓶（3件装）</t>
  </si>
  <si>
    <t>壁挂花瓶（4件装）</t>
  </si>
  <si>
    <t>壁挂花瓶（5件装）</t>
  </si>
  <si>
    <t>壁挂花瓶（6件装）</t>
  </si>
  <si>
    <t>壁挂花瓶（7件装）</t>
  </si>
  <si>
    <t>壁挂花瓶（8件装）</t>
  </si>
  <si>
    <t>壁挂花瓶（9件装）</t>
  </si>
  <si>
    <r>
      <rPr>
        <sz val="11"/>
        <color theme="1"/>
        <rFont val="等线"/>
        <family val="2"/>
        <charset val="134"/>
        <scheme val="minor"/>
      </rPr>
      <t>壁挂花瓶（1</t>
    </r>
    <r>
      <rPr>
        <sz val="11"/>
        <color theme="1"/>
        <rFont val="等线"/>
        <family val="2"/>
        <charset val="134"/>
        <scheme val="minor"/>
      </rPr>
      <t>0件装）</t>
    </r>
  </si>
  <si>
    <r>
      <rPr>
        <sz val="11"/>
        <color theme="1"/>
        <rFont val="等线"/>
        <family val="2"/>
        <charset val="134"/>
        <scheme val="minor"/>
      </rPr>
      <t>壁挂花瓶（1</t>
    </r>
    <r>
      <rPr>
        <sz val="11"/>
        <color theme="1"/>
        <rFont val="等线"/>
        <family val="2"/>
        <charset val="134"/>
        <scheme val="minor"/>
      </rPr>
      <t>2件装）</t>
    </r>
  </si>
  <si>
    <r>
      <rPr>
        <sz val="11"/>
        <color theme="1"/>
        <rFont val="等线"/>
        <family val="2"/>
        <charset val="134"/>
        <scheme val="minor"/>
      </rPr>
      <t>壁挂花瓶（1</t>
    </r>
    <r>
      <rPr>
        <sz val="11"/>
        <color theme="1"/>
        <rFont val="等线"/>
        <family val="2"/>
        <charset val="134"/>
        <scheme val="minor"/>
      </rPr>
      <t>4</t>
    </r>
    <r>
      <rPr>
        <sz val="11"/>
        <color theme="1"/>
        <rFont val="等线"/>
        <family val="2"/>
        <charset val="134"/>
        <scheme val="minor"/>
      </rPr>
      <t>件装）</t>
    </r>
  </si>
  <si>
    <t>壁挂花瓶（15件装）</t>
  </si>
  <si>
    <t>壁挂花瓶（16件装）</t>
  </si>
  <si>
    <t>壁挂花瓶（18件装）</t>
  </si>
  <si>
    <r>
      <rPr>
        <sz val="11"/>
        <color theme="1"/>
        <rFont val="等线"/>
        <family val="2"/>
        <charset val="134"/>
        <scheme val="minor"/>
      </rPr>
      <t>壁挂花瓶（2</t>
    </r>
    <r>
      <rPr>
        <sz val="11"/>
        <color theme="1"/>
        <rFont val="等线"/>
        <family val="2"/>
        <charset val="134"/>
        <scheme val="minor"/>
      </rPr>
      <t>0件装）</t>
    </r>
  </si>
  <si>
    <t>壁挂花瓶（24件装）</t>
  </si>
  <si>
    <t>壁挂花瓶（27件装）</t>
  </si>
  <si>
    <t>壁挂花瓶（30件装）</t>
  </si>
  <si>
    <t>壁挂花瓶（34件装）</t>
  </si>
  <si>
    <t>壁挂花瓶（35件装）</t>
  </si>
  <si>
    <r>
      <rPr>
        <sz val="11"/>
        <color theme="1"/>
        <rFont val="等线"/>
        <family val="2"/>
        <charset val="134"/>
        <scheme val="minor"/>
      </rPr>
      <t>壁挂花瓶（4</t>
    </r>
    <r>
      <rPr>
        <sz val="11"/>
        <color theme="1"/>
        <rFont val="等线"/>
        <family val="2"/>
        <charset val="134"/>
        <scheme val="minor"/>
      </rPr>
      <t>2件装）</t>
    </r>
  </si>
  <si>
    <t>壁挂花瓶（45件装）</t>
  </si>
  <si>
    <t>壁挂花瓶（30-50件装）</t>
  </si>
  <si>
    <t>壁挂花瓶（50件装）</t>
  </si>
  <si>
    <t>壁挂花瓶（32件装）</t>
  </si>
  <si>
    <t>壁挂花瓶（68件装）</t>
  </si>
  <si>
    <t>壁挂花瓶（100件装）</t>
  </si>
  <si>
    <t>晶雅方桌桌脚（7件装）</t>
  </si>
  <si>
    <t>经济款蝴蝶椅（7件装）</t>
  </si>
  <si>
    <t>弯弯椅（3件装）</t>
  </si>
  <si>
    <t>弯曲花架（单件装）</t>
  </si>
  <si>
    <t>弯曲花架（3件装）</t>
  </si>
  <si>
    <t>弯曲花架（4件装）</t>
  </si>
  <si>
    <t>弯曲花架（5件装）</t>
  </si>
  <si>
    <t>弯曲花架（8件装）</t>
  </si>
  <si>
    <t>十字衣帽架（多件装）</t>
  </si>
  <si>
    <t>十字衣帽架（2件装）</t>
  </si>
  <si>
    <t>十字衣帽架（3件装）</t>
  </si>
  <si>
    <t>十字衣帽架（4件装）</t>
  </si>
  <si>
    <t>十字衣帽架（5件装）</t>
  </si>
  <si>
    <t>十字衣帽架（6件装）</t>
  </si>
  <si>
    <t>十字衣帽架（7件装）</t>
  </si>
  <si>
    <t>十字衣帽架（8件装）</t>
  </si>
  <si>
    <t>十字衣帽架（9件装）</t>
  </si>
  <si>
    <t>十字衣帽架（10件装）</t>
  </si>
  <si>
    <t>十字衣帽架（20件装）</t>
  </si>
  <si>
    <t>十字衣帽架（21件装）</t>
  </si>
  <si>
    <t>雨伞衣帽架（3件装）</t>
  </si>
  <si>
    <t>雨伞衣帽架（5件装）</t>
  </si>
  <si>
    <t>雨伞衣帽架（6件装）</t>
  </si>
  <si>
    <t>雨伞衣帽架（7件装）</t>
  </si>
  <si>
    <t>曲叶衣帽架枝干（9件装）</t>
  </si>
  <si>
    <t>曲叶衣帽架枝干（5件装）</t>
  </si>
  <si>
    <t>曲叶衣帽架石头（5件装）</t>
  </si>
  <si>
    <t>曲叶衣帽架石头（9件装）</t>
  </si>
  <si>
    <t>彩虹鞋架（3件装）</t>
  </si>
  <si>
    <t>彩虹鞋架（4件装）</t>
  </si>
  <si>
    <t>彩虹鞋架（5件装）</t>
  </si>
  <si>
    <t>彩虹鞋架（6件装）</t>
  </si>
  <si>
    <t>彩虹鞋架（7件装）</t>
  </si>
  <si>
    <t>彩虹鞋架（10件装）</t>
  </si>
  <si>
    <t>彩虹鞋架（30件装）</t>
  </si>
  <si>
    <t>门型衣帽架（3件装）</t>
  </si>
  <si>
    <t>门型衣帽架（4件装）</t>
  </si>
  <si>
    <t>门型衣帽架（5件装）</t>
  </si>
  <si>
    <t>挂衣撑（8件装）</t>
  </si>
  <si>
    <t>挂衣撑（10件装）</t>
  </si>
  <si>
    <r>
      <rPr>
        <sz val="11"/>
        <color theme="1"/>
        <rFont val="等线"/>
        <family val="2"/>
        <charset val="134"/>
        <scheme val="minor"/>
      </rPr>
      <t>挂衣撑（1</t>
    </r>
    <r>
      <rPr>
        <sz val="11"/>
        <color theme="1"/>
        <rFont val="等线"/>
        <family val="2"/>
        <charset val="134"/>
        <scheme val="minor"/>
      </rPr>
      <t>2件装）</t>
    </r>
  </si>
  <si>
    <t>纸箱（5个装）-衣帽架</t>
  </si>
  <si>
    <t>四脚五二零边几（3件装）</t>
  </si>
  <si>
    <t>三层小圆几（3件装）</t>
  </si>
  <si>
    <t>太能装衣帽架（2件装）</t>
  </si>
  <si>
    <t>云朵边几（单件装）</t>
  </si>
  <si>
    <t>云朵边几（2件装）</t>
  </si>
  <si>
    <t>云朵边几（3件装）</t>
  </si>
  <si>
    <t>云朵边几（5件装）</t>
  </si>
  <si>
    <t>小猫门后挂钩（4件装）</t>
  </si>
  <si>
    <t>小猫门后挂钩（7件装）</t>
  </si>
  <si>
    <t>曲叶衣帽架（单件装）</t>
  </si>
  <si>
    <t>浮双花架（单件装）</t>
  </si>
  <si>
    <t>浮双花架（2件装）</t>
  </si>
  <si>
    <t>浮双花架（3件装）</t>
  </si>
  <si>
    <t>浮双花架（4件装）</t>
  </si>
  <si>
    <t>浮双花架（5件装）</t>
  </si>
  <si>
    <t>云栖衣帽架（单件装）</t>
  </si>
  <si>
    <t>云栖衣帽架（5件装）</t>
  </si>
  <si>
    <t>箱包床头柜（2件装）</t>
  </si>
  <si>
    <t>旋梯花架（单件装）</t>
  </si>
  <si>
    <t>旋梯花架（2件装）</t>
  </si>
  <si>
    <t>旋梯花架（3件装）</t>
  </si>
  <si>
    <t>旋梯花架（4件装）</t>
  </si>
  <si>
    <t>旋梯花架（5件装）</t>
  </si>
  <si>
    <t>多球鞋架（2件装）</t>
  </si>
  <si>
    <t>双层小圆几（5件装）</t>
  </si>
  <si>
    <t>夹缝置物架（2件装）</t>
  </si>
  <si>
    <t>爆款花架（单件装）</t>
  </si>
  <si>
    <t>爆款花架（3件装）</t>
  </si>
  <si>
    <t>爆款花架（5件装）</t>
  </si>
  <si>
    <t>双影花架（2件装）</t>
  </si>
  <si>
    <t>双影花架（3件装）</t>
  </si>
  <si>
    <t>双影花架（5件装）</t>
  </si>
  <si>
    <t>焕新衣帽架（2件装）</t>
  </si>
  <si>
    <t>焕新衣帽架（3件装）</t>
  </si>
  <si>
    <t>焕新衣帽架（5件装）</t>
  </si>
  <si>
    <t>绿末纸巾架（5件装）</t>
  </si>
  <si>
    <t>绿末纸巾架（8件装）</t>
  </si>
  <si>
    <t>绿末纸巾架（16件装）</t>
  </si>
  <si>
    <t>立圆边几（2件装）</t>
  </si>
  <si>
    <t>立圆边几（3件装）</t>
  </si>
  <si>
    <t>立圆边几（4件装）</t>
  </si>
  <si>
    <t>立圆边几（5件装）</t>
  </si>
  <si>
    <t>踏青鞋架（5件装）</t>
  </si>
  <si>
    <t>忆饰边几（3件装）</t>
  </si>
  <si>
    <t>忆饰边几（5件装）</t>
  </si>
  <si>
    <t>玻璃茶几C款60#（3件装）</t>
  </si>
  <si>
    <t>双排鞋架（3件装）</t>
  </si>
  <si>
    <t>机器置物架（2件装）</t>
  </si>
  <si>
    <t>雕花茶几（3件装）</t>
  </si>
  <si>
    <t>三戟花架（5件装）</t>
  </si>
  <si>
    <t>对棱花架（5件装）</t>
  </si>
  <si>
    <t>天平衣帽架（单件装）</t>
  </si>
  <si>
    <t>素台花架（6件装）</t>
  </si>
  <si>
    <t>V型小圆几换石头跟纸箱-批量</t>
  </si>
  <si>
    <t>十字衣帽架换纸箱</t>
  </si>
  <si>
    <t>玻璃茶几H款换玻璃</t>
  </si>
  <si>
    <t>玻璃茶几D款换玻璃</t>
  </si>
  <si>
    <t>玻璃茶几D款60-80#换玻璃</t>
  </si>
  <si>
    <t>玻璃茶几A款换玻璃</t>
  </si>
  <si>
    <t>三只脚子母茶几换石头</t>
  </si>
  <si>
    <t>爆款茶几换玻璃</t>
  </si>
  <si>
    <t>爆款茶几换玻璃-批量</t>
  </si>
  <si>
    <t>爆款茶几换石头-批量</t>
  </si>
  <si>
    <t>波浪衣帽架换石头-批量</t>
  </si>
  <si>
    <t>波浪衣帽架换石头</t>
  </si>
  <si>
    <t>玻璃茶几C款45#换玻璃</t>
  </si>
  <si>
    <t>玻璃茶几C款60-80#换玻璃-批量</t>
  </si>
  <si>
    <t>玻璃茶几C款60-80#换玻璃</t>
  </si>
  <si>
    <t>玻璃茶几B款60#换玻璃</t>
  </si>
  <si>
    <t>玻璃茶几B款70#换玻璃</t>
  </si>
  <si>
    <t>玻璃茶几B款80#换玻璃</t>
  </si>
  <si>
    <t>爆款茶几换石头</t>
  </si>
  <si>
    <t>熊耳手推车换玻璃</t>
  </si>
  <si>
    <t>熊耳小边几换玻璃</t>
  </si>
  <si>
    <t>熊耳小边几换玻璃-批量</t>
  </si>
  <si>
    <t>玻璃双层小圆几换玻璃-批量</t>
  </si>
  <si>
    <t>大理石衣帽架换石头-批量</t>
  </si>
  <si>
    <t>碟盘双层小圆几换胶水-批量</t>
  </si>
  <si>
    <t>爆款玻璃边几换玻璃</t>
  </si>
  <si>
    <t>带框L型衣帽架换石头</t>
  </si>
  <si>
    <t>花枝招展花架换石头</t>
  </si>
  <si>
    <t>好运小圆几换石头-批量</t>
  </si>
  <si>
    <t>好运小圆几换石头</t>
  </si>
  <si>
    <t>火箭小圆几换石头</t>
  </si>
  <si>
    <t>火箭小圆几换石头-批量</t>
  </si>
  <si>
    <t>火箭小圆几换胶水-批量</t>
  </si>
  <si>
    <t>门型衣帽架换石头-批量</t>
  </si>
  <si>
    <t>环球小圆几换石头-批量</t>
  </si>
  <si>
    <t>环球小圆几换石头</t>
  </si>
  <si>
    <t>花蝴蝶边几换岩板</t>
  </si>
  <si>
    <t>汇心圆桌换玻璃</t>
  </si>
  <si>
    <t>碟盘双层小圆几换石头</t>
  </si>
  <si>
    <t>细腰小圆几换石头</t>
  </si>
  <si>
    <t>细腰小圆几换石头-批量</t>
  </si>
  <si>
    <t>衣帽架换玻璃</t>
  </si>
  <si>
    <t>人字花架换石头</t>
  </si>
  <si>
    <t>衣帽架换石头</t>
  </si>
  <si>
    <t>衣帽架换石头-批量</t>
  </si>
  <si>
    <t>大理石衣帽架换石头</t>
  </si>
  <si>
    <t>十字衣帽架换底座</t>
  </si>
  <si>
    <t>多球鞋架换层板</t>
  </si>
  <si>
    <t>玻璃双层小圆几换玻璃</t>
  </si>
  <si>
    <t>专利款衣帽架换石头-批量</t>
  </si>
  <si>
    <t>花蝴蝶小圆几换石头-批量</t>
  </si>
  <si>
    <t>门型衣帽架换石头</t>
  </si>
  <si>
    <t>云朵边几换玻璃</t>
  </si>
  <si>
    <t>弯弯椅换软包</t>
  </si>
  <si>
    <t>灯泡椅换软包-批量</t>
  </si>
  <si>
    <t>吧台椅换软包</t>
  </si>
  <si>
    <t>灯泡椅换软包</t>
  </si>
  <si>
    <t>换鞋凳换软包</t>
  </si>
  <si>
    <t>L型衣帽架换石头-批量</t>
  </si>
  <si>
    <t>L型衣帽架换石头</t>
  </si>
  <si>
    <t>弯曲花架换石头</t>
  </si>
  <si>
    <t>雨伞衣帽架换石头</t>
  </si>
  <si>
    <t>塑盘U型花架换石头</t>
  </si>
  <si>
    <t>长奇边几40*50换玻璃</t>
  </si>
  <si>
    <t>长奇边几40*70换玻璃</t>
  </si>
  <si>
    <t>迷齐边几40换玻璃</t>
  </si>
  <si>
    <t>方韵边几换玻璃</t>
  </si>
  <si>
    <t>商品编码</t>
  </si>
  <si>
    <t>产品成本表-勿外传</t>
  </si>
  <si>
    <t>注： 1. 新疆和西藏默认不发 ，内蒙古、青海、甘肃、宁夏运费再议 。                                                                            记得图片保护</t>
  </si>
  <si>
    <t>产品图</t>
  </si>
  <si>
    <t>产品名</t>
  </si>
  <si>
    <t>包装体积</t>
  </si>
  <si>
    <t>（单位cm）</t>
  </si>
  <si>
    <t>毛重( 克重) kg</t>
  </si>
  <si>
    <t>毛重</t>
  </si>
  <si>
    <t>（ 泡重）</t>
  </si>
  <si>
    <t>成本价</t>
  </si>
  <si>
    <t>纸箱金额</t>
  </si>
  <si>
    <t>运费金额</t>
  </si>
  <si>
    <t>分摊费</t>
  </si>
  <si>
    <t>合计成本</t>
  </si>
  <si>
    <t>建议零售价</t>
  </si>
  <si>
    <t>保本投产比</t>
  </si>
  <si>
    <t>（理想状态下）</t>
  </si>
  <si>
    <t>详情图下载链接</t>
  </si>
  <si>
    <t>买家秀下载链接</t>
  </si>
  <si>
    <t>负责人</t>
  </si>
  <si>
    <t>包装图</t>
  </si>
  <si>
    <t>供应商</t>
  </si>
  <si>
    <t>275星空茶几</t>
  </si>
  <si>
    <t>桌脚：36*34*48cm桌面：54*9*56cm</t>
  </si>
  <si>
    <t>160. 0</t>
  </si>
  <si>
    <t>2. 6</t>
  </si>
  <si>
    <t>【WPS云文档</t>
  </si>
  <si>
    <t>】275星空茶几-详情页</t>
  </si>
  <si>
    <t>ht t ps : / / www</t>
  </si>
  <si>
    <t>. kdocs . cn/ l</t>
  </si>
  <si>
    <t>/ cf UKl gayl Q AN</t>
  </si>
  <si>
    <t>【WPS 云文档】 275 星空茶几-买家秀</t>
  </si>
  <si>
    <t>ht t ps : / / www. k</t>
  </si>
  <si>
    <t>docs . cn/ l / cs D OS8Kx 3L3Q</t>
  </si>
  <si>
    <t>不指定</t>
  </si>
  <si>
    <t>鼎立</t>
  </si>
  <si>
    <t>星空茶几/ PVC柜/ 直径70cm</t>
  </si>
  <si>
    <t>79*79*38cm</t>
  </si>
  <si>
    <t>296. 0</t>
  </si>
  <si>
    <t>2. 5</t>
  </si>
  <si>
    <t>星空茶几/ PVC柜/ 直径80cm</t>
  </si>
  <si>
    <t>89*89*38cm</t>
  </si>
  <si>
    <t>356. 0</t>
  </si>
  <si>
    <t>星空茶几/ 实木柜/ 直径70cm</t>
  </si>
  <si>
    <t>346. 0</t>
  </si>
  <si>
    <t>星空茶几/ 实木柜/ 直径80cm</t>
  </si>
  <si>
    <t>406. 0</t>
  </si>
  <si>
    <t>分包裹发， 具体见各自 s ku</t>
  </si>
  <si>
    <t>分包裹发，具体见各自s ku</t>
  </si>
  <si>
    <t>445. 0</t>
  </si>
  <si>
    <t>505. 0</t>
  </si>
  <si>
    <t>495. 0</t>
  </si>
  <si>
    <t>555. 0</t>
  </si>
  <si>
    <t>274静方茶几</t>
  </si>
  <si>
    <t>静方茶几/ 宝格丽黑玻/ 双抽屉/ 100cm</t>
  </si>
  <si>
    <t>桌面：104*8*54脚：103*53*41</t>
  </si>
  <si>
    <t>桌面：14kg脚： 22kg</t>
  </si>
  <si>
    <t>2. 2</t>
  </si>
  <si>
    <t>】274静方茶几-详情页</t>
  </si>
  <si>
    <t>/ cr XbJ N24Co Xz</t>
  </si>
  <si>
    <t>【WPS 云文档】 274 静方茶几-买家秀</t>
  </si>
  <si>
    <t>ht t ps : / / www. k docs . cn/ l / chX Xu0Ki bmOp</t>
  </si>
  <si>
    <t>淘宝：诗琪 拼多多： 杨晨</t>
  </si>
  <si>
    <t>其他平台：自己上架</t>
  </si>
  <si>
    <t>静方茶几/ 天鹅白玻/ 双抽屉/ 100cm</t>
  </si>
  <si>
    <t>静方茶几/ 宝格丽黑玻/ 双抽屉/ 120cm</t>
  </si>
  <si>
    <t>桌面：124*8*64脚：123*62*41</t>
  </si>
  <si>
    <t>桌面：20kg脚： 32kg</t>
  </si>
  <si>
    <t>2. 8</t>
  </si>
  <si>
    <t>静方茶几/ 天鹅白玻/ 双抽屉/ 120cm</t>
  </si>
  <si>
    <t>静方茶几/ 宝格丽黑玻/ 四抽屉/ 130cm</t>
  </si>
  <si>
    <t>桌面：134*8*74脚：123*72*41</t>
  </si>
  <si>
    <t>桌面：25kg脚： 41kg</t>
  </si>
  <si>
    <t>2. 3</t>
  </si>
  <si>
    <t>静方茶几/ 天鹅白玻/ 四抽屉/ 130cm</t>
  </si>
  <si>
    <t>273环影茶几</t>
  </si>
  <si>
    <t>环影茶几/ 黑色柜/ 宝格丽黑玻/ 100cm</t>
  </si>
  <si>
    <t>桌面：104*5*54柜体：74*48*46</t>
  </si>
  <si>
    <t>玻璃： 9. 55㎏柜体： 18㎏</t>
  </si>
  <si>
    <t>217. 5</t>
  </si>
  <si>
    <t>8. 5</t>
  </si>
  <si>
    <t>】273环影茶几-详情页</t>
  </si>
  <si>
    <t>/ cr Wq8SG3s m K0</t>
  </si>
  <si>
    <t>【WPS 云文档】 273 环影茶几-买家秀</t>
  </si>
  <si>
    <t>docs . cn/ l / cs p f 76WI ni hu</t>
  </si>
  <si>
    <t>淘宝：同杰 拼多多： 杨晨</t>
  </si>
  <si>
    <t>其他平台：自己</t>
  </si>
  <si>
    <t>上架</t>
  </si>
  <si>
    <t>环影茶几/ 奶白柜/ 天鹅白玻/ 100cm</t>
  </si>
  <si>
    <t>环影茶几/ 黑色柜/ 天鹅白玻/ 100cm</t>
  </si>
  <si>
    <t>环影茶几/ 黑色柜/ 宝格丽黑玻/ 120cm</t>
  </si>
  <si>
    <t>桌面：124*5*64柜体：74*48*46</t>
  </si>
  <si>
    <t>玻璃： 12㎏柜体： 18㎏</t>
  </si>
  <si>
    <t>240. 6</t>
  </si>
  <si>
    <t>318. 6</t>
  </si>
  <si>
    <t>环影茶几/ 奶白柜/ 天鹅白玻/ 120cm</t>
  </si>
  <si>
    <t>环影茶几/ 黑色柜/ 天鹅白玻/ 120cm</t>
  </si>
  <si>
    <t>环影茶几/ 黑色柜/ 宝格丽黑玻/ 130cm</t>
  </si>
  <si>
    <t>桌面：134*5*74柜体：74*48*46</t>
  </si>
  <si>
    <t>玻璃：18. 15 ㎏</t>
  </si>
  <si>
    <t>柜体： 17. 2㎏</t>
  </si>
  <si>
    <t>260. 55</t>
  </si>
  <si>
    <t>347. 55</t>
  </si>
  <si>
    <t>环影茶几/ 奶白柜/ 天鹅白玻/ 130cm</t>
  </si>
  <si>
    <t>环影茶几/ 黑色柜/ 天鹅白玻/ 130cm</t>
  </si>
  <si>
    <t>环影茶几/ 黑色柜/ 宝格丽黑玻/ 100cm+ 乙月边几/ 黑脚/ 天鹅白50cm</t>
  </si>
  <si>
    <t>321. 85</t>
  </si>
  <si>
    <t>15. 5</t>
  </si>
  <si>
    <t>419. 35</t>
  </si>
  <si>
    <t>2. 9</t>
  </si>
  <si>
    <t>环影茶几/ 奶白柜/ 天鹅白玻/ 100cm+乙月边几/ 黑脚/ 宝格丽黑 50cm</t>
  </si>
  <si>
    <t>环影茶几/ 黑色柜/ 天鹅白玻/ 100cm+乙月边几/ 黑脚/ 宝格丽黑 50cm</t>
  </si>
  <si>
    <t>环影茶几/ 黑色柜/ 宝格丽黑玻/ 120cm+ 乙月边几/ 黑脚/ 天鹅白50cm</t>
  </si>
  <si>
    <t>427. 85</t>
  </si>
  <si>
    <t>环影茶几/ 奶白柜/ 天鹅白玻/ 120cm+乙月边几/ 黑脚/ 宝格丽黑 50cm</t>
  </si>
  <si>
    <t>环影茶几/ 黑色柜/ 天鹅白玻/ 120cm+乙月边几/ 黑脚/ 宝格丽黑 50cm</t>
  </si>
  <si>
    <t>环影茶几/ 黑色柜/ 宝格丽黑玻/ 130cm+ 乙月边几/ 黑脚/ 天鹅白50cm</t>
  </si>
  <si>
    <t>341. 8</t>
  </si>
  <si>
    <t>456. 8</t>
  </si>
  <si>
    <t>2. 4</t>
  </si>
  <si>
    <t>环影茶几/ 奶白柜/ 天鹅白玻/ 130cm+乙月边几/ 黑脚/ 宝格丽黑 50cm</t>
  </si>
  <si>
    <t>环影茶几/ 黑色柜/ 天鹅白玻/ 130cm+乙月边几/ 黑脚/ 宝格丽黑 50cm</t>
  </si>
  <si>
    <t>272方观茶几</t>
  </si>
  <si>
    <t>（ 实木柜）</t>
  </si>
  <si>
    <t>方观茶几/ 宝格丽黑/ 70cm单桌</t>
  </si>
  <si>
    <t>76*76*36cm</t>
  </si>
  <si>
    <t>19kg</t>
  </si>
  <si>
    <t>25. 992</t>
  </si>
  <si>
    <t>桌面： 104*5*54</t>
  </si>
  <si>
    <t>柜体： 104*51*45</t>
  </si>
  <si>
    <t>【WPS 云文档】 272方观茶几  -买家秀</t>
  </si>
  <si>
    <t>ht t ps : / / www. k docs . cn/ l / cg E EvqH0G7Cz</t>
  </si>
  <si>
    <t>淘宝：诗琪、周澄             拼</t>
  </si>
  <si>
    <t>多多：周澄  其他平台：自己安排</t>
  </si>
  <si>
    <t>方观茶几/ 宝格丽白/ 70cm单桌</t>
  </si>
  <si>
    <t>方观茶几/ 宝格丽黑/ 80cm单桌</t>
  </si>
  <si>
    <t>86*86*36cm</t>
  </si>
  <si>
    <t>30kg</t>
  </si>
  <si>
    <t>33. 282</t>
  </si>
  <si>
    <t>方观茶几/ 宝格丽白/ 80cm单桌</t>
  </si>
  <si>
    <t>方观茶几/ 宝格丽黑/ 70+50cm组合</t>
  </si>
  <si>
    <t>小桌面： 55*8*55cm小桌脚：39*39*46cm大桌：76*76*36</t>
  </si>
  <si>
    <t>小桌面：6. 1㎏小桌脚：4. 55 ㎏大桌： 19㎏</t>
  </si>
  <si>
    <t>314. 5</t>
  </si>
  <si>
    <t>423. 5</t>
  </si>
  <si>
    <t>方观茶几/ 宝格丽白/ 70+50cm组合</t>
  </si>
  <si>
    <t>方观茶几/ 宝格丽黑 70cm+宝格丽白 50cm组合</t>
  </si>
  <si>
    <t>方观茶几/ 宝格丽黑/ 80+60cm组合</t>
  </si>
  <si>
    <t>小桌面： 65*8*65cm小桌脚：39*39*46cm大桌：86*86*36</t>
  </si>
  <si>
    <t>小桌面： 10. 35㎏小桌脚：4. 9㎏大桌：30. 15 ㎏</t>
  </si>
  <si>
    <t>方观茶几/ 宝格丽白/ 80+60cm组合</t>
  </si>
  <si>
    <t>方观茶几/ 宝格丽黑 80cm+宝格丽白 60cm组合</t>
  </si>
  <si>
    <t>271 考拉椅</t>
  </si>
  <si>
    <t>考拉椅/ 羊羔绒/ 酒红色</t>
  </si>
  <si>
    <t>98*96*83cm</t>
  </si>
  <si>
    <t>7. 6</t>
  </si>
  <si>
    <t>【WPS云文档 271考拉椅-详情图</t>
  </si>
  <si>
    <t>/ cs s G0e Xe 0w l f</t>
  </si>
  <si>
    <t>【WPS 云文档】 271 考拉椅-买家秀</t>
  </si>
  <si>
    <t>docs . cn/ l / ca H Ry SpNf C3H</t>
  </si>
  <si>
    <t>鼎立含包装</t>
  </si>
  <si>
    <t>考拉椅/ 羊羔绒/ 墨绿色</t>
  </si>
  <si>
    <t>考拉椅/ 羊羔绒/ 奶白色</t>
  </si>
  <si>
    <t>270简仓边几</t>
  </si>
  <si>
    <t>简仓边几/ 黑色柜/ 磨砂黑玻</t>
  </si>
  <si>
    <t>44*44*38cm</t>
  </si>
  <si>
    <t>7. 3kg</t>
  </si>
  <si>
    <t>9. 196</t>
  </si>
  <si>
    <t>】270简仓边几-详情图</t>
  </si>
  <si>
    <t>/ cay 6KEuBnF QS</t>
  </si>
  <si>
    <t>简仓边几/ 奶白柜/ 磨砂白玻</t>
  </si>
  <si>
    <t>80. 2</t>
  </si>
  <si>
    <t>128. 2</t>
  </si>
  <si>
    <t>简仓边几/ 黑色柜/ 磨砂白玻</t>
  </si>
  <si>
    <t>269 转弧椅</t>
  </si>
  <si>
    <t>转弧椅/ 油蜡皮/ 复古绿</t>
  </si>
  <si>
    <t>81*81*72cm</t>
  </si>
  <si>
    <t>3. 1</t>
  </si>
  <si>
    <t>】269转弧椅</t>
  </si>
  <si>
    <t>-详情图</t>
  </si>
  <si>
    <t>/ ci r UmHLVMl c B</t>
  </si>
  <si>
    <t>【WPS 云文档】 269 转弧椅-买家秀</t>
  </si>
  <si>
    <t>ht t ps : / / www. k docs . cn/ l / cg 2 pdM1dr Dx H</t>
  </si>
  <si>
    <t>转弧椅/ 油蜡皮/ 复古棕</t>
  </si>
  <si>
    <t>转弧椅/ 油蜡皮/ 经典黑</t>
  </si>
  <si>
    <t>转弧椅/ 油蜡皮/ 青草绿</t>
  </si>
  <si>
    <t>转弧椅/ 油蜡皮/ 深海蓝</t>
  </si>
  <si>
    <t>268 敦元衣帽架</t>
  </si>
  <si>
    <t>敦元衣帽架/ 奶白架/ 白圆饼</t>
  </si>
  <si>
    <t>34*34*23cm</t>
  </si>
  <si>
    <t>4. 7kg</t>
  </si>
  <si>
    <t>3. 3235</t>
  </si>
  <si>
    <t>21. 61</t>
  </si>
  <si>
    <t>3. 2</t>
  </si>
  <si>
    <t>41. 81</t>
  </si>
  <si>
    <t>1. 9</t>
  </si>
  <si>
    <t>】268敦元衣帽架-详情图 ht t ps : / / www</t>
  </si>
  <si>
    <t>/ cj XNI TXw2Q a P</t>
  </si>
  <si>
    <t>【WPS 云文档】 268敦元衣帽架</t>
  </si>
  <si>
    <t>-买家秀</t>
  </si>
  <si>
    <t>ht t ps : / / www. k docs . cn/ l / cv 3 MZe FQo HKi</t>
  </si>
  <si>
    <t>淘宝：诗琪</t>
  </si>
  <si>
    <t>拼多多： 鑫炜 其他平台： 自己上架</t>
  </si>
  <si>
    <t>敦元衣帽架/ 奶白架/ 绿圆饼</t>
  </si>
  <si>
    <t>敦元衣帽架/ 金色架/ 绿圆饼</t>
  </si>
  <si>
    <t>22. 61</t>
  </si>
  <si>
    <t>42. 81</t>
  </si>
  <si>
    <t>敦元衣帽架/ 黑色架/ 黑圆饼</t>
  </si>
  <si>
    <t>267屿光茶几</t>
  </si>
  <si>
    <t>屿光边几/ 威尼斯棕 50cm</t>
  </si>
  <si>
    <t>桌面：55*8*55cm脚：39*39*46cm</t>
  </si>
  <si>
    <t>桌面：6. 1 ㎏脚：4. 55㎏</t>
  </si>
  <si>
    <t>79. 5</t>
  </si>
  <si>
    <t>124. 5</t>
  </si>
  <si>
    <t>】267屿光茶几-详情图</t>
  </si>
  <si>
    <t>/ co 9nGs s Zs j qL</t>
  </si>
  <si>
    <t>【WPS 云文档】 267 屿光茶几-买家秀</t>
  </si>
  <si>
    <t>docs . cn/ l / cqt 6i VFwj pMh</t>
  </si>
  <si>
    <t>淘宝：鑫炜</t>
  </si>
  <si>
    <t>拼多多： 周澄 京东：诗琪</t>
  </si>
  <si>
    <t>屿光边几/ 宝格丽黑 50cm</t>
  </si>
  <si>
    <t>屿光边几/ 威尼斯棕 60cm</t>
  </si>
  <si>
    <t>桌面：65*8*65cm脚：39*39*46cm</t>
  </si>
  <si>
    <t>桌面：8. 4 ㎏脚：4. 55㎏</t>
  </si>
  <si>
    <t>2. 0</t>
  </si>
  <si>
    <t>屿光边几/ 宝格丽黑 60cm</t>
  </si>
  <si>
    <t>屿光茶几/ PVC/ 威尼斯棕 70cm( 单抽)</t>
  </si>
  <si>
    <t>19. 2kg</t>
  </si>
  <si>
    <t>屿光茶几/ PVC/ 威尼斯棕 80cm( 双抽)</t>
  </si>
  <si>
    <t>26. 5</t>
  </si>
  <si>
    <t>2. 7</t>
  </si>
  <si>
    <t>屿光茶几/ PVC/ 威尼斯棕 70cm+宝格丽黑 50cm</t>
  </si>
  <si>
    <t>见上方</t>
  </si>
  <si>
    <t>234. 5</t>
  </si>
  <si>
    <t>343. 5</t>
  </si>
  <si>
    <t>屿光茶几/ PVC/ 威尼斯棕 70cm+威尼斯棕 50cm</t>
  </si>
  <si>
    <t>屿光茶几/ PVC/ 威尼斯棕 80cm+宝格丽黑 60cm</t>
  </si>
  <si>
    <t>屿光茶几/ PVC/ 威尼斯棕 80cm+威尼斯棕 60cm</t>
  </si>
  <si>
    <t>屿光茶几/ 实木/ 威尼斯棕 70cm( 单抽)</t>
  </si>
  <si>
    <t>21. 3kg</t>
  </si>
  <si>
    <t>2. 1</t>
  </si>
  <si>
    <t>屿光茶几/ 实木/ 威尼斯棕 80cm( 双抽)</t>
  </si>
  <si>
    <t>27. 05</t>
  </si>
  <si>
    <t>屿光茶几/ 实木/ 威尼斯棕 70cm+宝格丽黑 50cm</t>
  </si>
  <si>
    <t>304. 5</t>
  </si>
  <si>
    <t>413. 5</t>
  </si>
  <si>
    <t>屿光茶几/ 实木/ 威尼斯棕 70cm+威尼斯棕 50cm</t>
  </si>
  <si>
    <t>屿光茶几/ 实木/ 威尼斯棕 80cm+宝格丽黑 60cm</t>
  </si>
  <si>
    <t>屿光茶几/ 实木/ 威尼斯棕 80cm+威尼斯棕 60cm</t>
  </si>
  <si>
    <t>266 鹿头衣帽架</t>
  </si>
  <si>
    <t>鹿头衣帽架/ 雪山白岩板</t>
  </si>
  <si>
    <t>47*13*36</t>
  </si>
  <si>
    <t>4. 8</t>
  </si>
  <si>
    <t>2. 7495</t>
  </si>
  <si>
    <t>23. 5</t>
  </si>
  <si>
    <t>48. 5</t>
  </si>
  <si>
    <t>】266鹿头衣帽架-详情页 ht t ps : / / www</t>
  </si>
  <si>
    <t>/ cpR0j 1ULx U 4h</t>
  </si>
  <si>
    <t>【WPS 云文档】 266鹿头衣帽架</t>
  </si>
  <si>
    <t>ht t ps : / / www. k docs . cn/ l / cj W EnKFl h5r H</t>
  </si>
  <si>
    <t>淘宝：同杰 拼多多： 周澄</t>
  </si>
  <si>
    <t>鹿头衣帽架/ 天鹅白玻璃</t>
  </si>
  <si>
    <t>3. 85</t>
  </si>
  <si>
    <t>31. 5</t>
  </si>
  <si>
    <t>56. 5</t>
  </si>
  <si>
    <t>鹿头衣帽架/ 脏衣篓铁框</t>
  </si>
  <si>
    <t>47*47*28</t>
  </si>
  <si>
    <t>7. 7315</t>
  </si>
  <si>
    <t>265 直方衣帽架</t>
  </si>
  <si>
    <t>直方衣帽架/ 雪山白岩板/ 白色架</t>
  </si>
  <si>
    <t>34*8*34</t>
  </si>
  <si>
    <t>1. 156</t>
  </si>
  <si>
    <t>21. 12</t>
  </si>
  <si>
    <t>1. 5</t>
  </si>
  <si>
    <t>38. 62</t>
  </si>
  <si>
    <t>1. 8</t>
  </si>
  <si>
    <t>直方衣帽架/ 雪山白岩板/ 黑色架</t>
  </si>
  <si>
    <t>20. 7</t>
  </si>
  <si>
    <t>38. 2</t>
  </si>
  <si>
    <t>直方衣帽架/ 雪山白岩板/ 金色架</t>
  </si>
  <si>
    <t>22. 8</t>
  </si>
  <si>
    <t>40. 3</t>
  </si>
  <si>
    <t>264 倾角衣帽架</t>
  </si>
  <si>
    <t>倾角衣帽架/ 雪山白岩板/ 白色架</t>
  </si>
  <si>
    <t>34*10*34</t>
  </si>
  <si>
    <t>1. 445</t>
  </si>
  <si>
    <t>39. 12</t>
  </si>
  <si>
    <t>倾角衣帽架/ 雪山白岩板/ 黑色架</t>
  </si>
  <si>
    <t>38. 7</t>
  </si>
  <si>
    <t>倾角衣帽架/ 雪山白岩板/ 金色架</t>
  </si>
  <si>
    <t>40. 8</t>
  </si>
  <si>
    <t>263圆戒边几</t>
  </si>
  <si>
    <t>圆戒边几/ 金色脚/ 纯白岩板</t>
  </si>
  <si>
    <t>44*8*44</t>
  </si>
  <si>
    <t>1. 936</t>
  </si>
  <si>
    <t>51. 5</t>
  </si>
  <si>
    <t>圆戒边几/ 奶白脚/ 纯白岩板</t>
  </si>
  <si>
    <t>29. 5</t>
  </si>
  <si>
    <t>49. 5</t>
  </si>
  <si>
    <t>圆戒边几/ 黑色脚/ 纯白岩板</t>
  </si>
  <si>
    <t>262竖琴边几</t>
  </si>
  <si>
    <t>竖琴边几/ 金色脚/ 纯白岩板</t>
  </si>
  <si>
    <t>55*15*47cm</t>
  </si>
  <si>
    <t>7. 5kg</t>
  </si>
  <si>
    <t>4. 85</t>
  </si>
  <si>
    <t>88. 4</t>
  </si>
  <si>
    <t>119. 4</t>
  </si>
  <si>
    <t>】262竖琴边几-详情图</t>
  </si>
  <si>
    <t>/ cq43YW2odU Nh</t>
  </si>
  <si>
    <t>淘宝：鑫炜 拼多多： 杨晨</t>
  </si>
  <si>
    <t>竖琴边几/ 奶白脚/ 纯白岩板</t>
  </si>
  <si>
    <t>85. 04</t>
  </si>
  <si>
    <t>116. 0</t>
  </si>
  <si>
    <t>竖琴边几/ 黑色脚/ 纯白岩板</t>
  </si>
  <si>
    <t>84. 2</t>
  </si>
  <si>
    <t>115. 2</t>
  </si>
  <si>
    <t>261素台花架</t>
  </si>
  <si>
    <t>素台花架/ 黑色</t>
  </si>
  <si>
    <t>31*8*31</t>
  </si>
  <si>
    <t>0. 961</t>
  </si>
  <si>
    <t>32. 5</t>
  </si>
  <si>
    <t>素台花架/ 奶白</t>
  </si>
  <si>
    <t>素台花架/ 金色</t>
  </si>
  <si>
    <t>260新你边几</t>
  </si>
  <si>
    <t>新你边几/ 奶白脚/ 纯白岩板</t>
  </si>
  <si>
    <t>44*12*44</t>
  </si>
  <si>
    <t>4. 6</t>
  </si>
  <si>
    <t>2. 904</t>
  </si>
  <si>
    <t>22. 5</t>
  </si>
  <si>
    <t>42. 0</t>
  </si>
  <si>
    <t>】260新你边几-详情图</t>
  </si>
  <si>
    <t>/ cuv Qs J Vcq0 r u</t>
  </si>
  <si>
    <t>【WPS 云文档】 260 新你边几-买家秀</t>
  </si>
  <si>
    <t>ht t ps : / / www. k docs . cn/ l / cs U s MUPs c 23p</t>
  </si>
  <si>
    <t>淘宝：诗琪  鑫炜拼多多： 鑫炜</t>
  </si>
  <si>
    <t>京东：诗琪</t>
  </si>
  <si>
    <t>【PS云文档】 260 新你边几-包装图</t>
  </si>
  <si>
    <t>ht t ps : / / www. k docs . cn/ l / cf b 53Nf y WQpd</t>
  </si>
  <si>
    <t>新你边几/ 黑色脚/ 纯白岩板</t>
  </si>
  <si>
    <t>新你边几/ 黑色脚/ 宝格丽黑玻璃</t>
  </si>
  <si>
    <t>3. 6</t>
  </si>
  <si>
    <t>50. 5</t>
  </si>
  <si>
    <t>新你边几/ 黑色脚/ 磨砂黑玻璃</t>
  </si>
  <si>
    <t>46. 5</t>
  </si>
  <si>
    <t>259云弧茶几</t>
  </si>
  <si>
    <t>云弧茶几/ 宝格丽黑+黑白底座/ 100cm</t>
  </si>
  <si>
    <t>桌面：104*5*56    柜体：104*51*45</t>
  </si>
  <si>
    <t>322. 5</t>
  </si>
  <si>
    <t>】 259云弧茶几-详情图 ht t ps : / / www</t>
  </si>
  <si>
    <t>/ ceqPxs Dof t c V</t>
  </si>
  <si>
    <t>淘宝：周澄、鑫炜             拼</t>
  </si>
  <si>
    <t>多多：鑫炜、周</t>
  </si>
  <si>
    <t>澄</t>
  </si>
  <si>
    <t>云弧茶几/ 天鹅白+黑白底座/ 100cm</t>
  </si>
  <si>
    <t>云弧茶几/ 天鹅白+黑色底座/ 100cm</t>
  </si>
  <si>
    <t>云弧茶几/ 天鹅白+奶白底座/ 100cm</t>
  </si>
  <si>
    <t>云弧茶几/ 宝格丽黑+黑白底座/ 120cm</t>
  </si>
  <si>
    <t>桌面：124*5*66    柜体：104*51*45</t>
  </si>
  <si>
    <t>玻璃：14. 75 ㎏柜体： 18㎏</t>
  </si>
  <si>
    <t>345. 6</t>
  </si>
  <si>
    <t>423. 6</t>
  </si>
  <si>
    <t>云弧茶几/ 天鹅白+黑白底座/ 120cm</t>
  </si>
  <si>
    <t>云弧茶几/ 天鹅白+黑色底座/ 120cm</t>
  </si>
  <si>
    <t>云弧茶几/ 天鹅白+奶白底座/ 120cm</t>
  </si>
  <si>
    <t>云弧茶几/ 宝格丽黑+黑白底座/ 130cm</t>
  </si>
  <si>
    <t>桌面：134*5*66    柜体：104*51*45</t>
  </si>
  <si>
    <t>365. 55</t>
  </si>
  <si>
    <t>452. 55</t>
  </si>
  <si>
    <t>云弧茶几/ 天鹅白+黑白底座/ 130cm</t>
  </si>
  <si>
    <t>云弧茶几/ 天鹅白+黑色底座/ 130cm</t>
  </si>
  <si>
    <t>云弧茶几/ 天鹅白+奶白底座/ 130cm</t>
  </si>
  <si>
    <t>258人鱼沙发</t>
  </si>
  <si>
    <t>人鱼沙发/ 雪尼尔/ 焦糖色/ 87cm</t>
  </si>
  <si>
    <t>89*85*73</t>
  </si>
  <si>
    <t>3. 4</t>
  </si>
  <si>
    <t>】258人鱼沙发-详情图</t>
  </si>
  <si>
    <t>/ cf xf V3z V2j 57</t>
  </si>
  <si>
    <t>【WPS 云文档】 258 人鱼沙发-买家秀</t>
  </si>
  <si>
    <t>ht t ps : / / www. k docs . cn/ l / ca Z vv Par t Sj o</t>
  </si>
  <si>
    <t>人鱼沙发/ 雪尼尔/ 米白色/ 87cm</t>
  </si>
  <si>
    <t>人鱼沙发/ 雪尼尔/ 墨绿色/ 87cm</t>
  </si>
  <si>
    <t>鼎立  不含包装</t>
  </si>
  <si>
    <t>人鱼沙发/ 雪尼尔/ 焦糖色/ 160cm</t>
  </si>
  <si>
    <t>164*85*73</t>
  </si>
  <si>
    <t>5. 6</t>
  </si>
  <si>
    <t>人鱼沙发/ 雪尼尔/ 米白色/ 160cm</t>
  </si>
  <si>
    <t>人鱼沙发/ 雪尼尔/ 墨绿色/ 160cm</t>
  </si>
  <si>
    <t>人鱼沙发/ 雪尼尔/ 焦糖色/ 180cm</t>
  </si>
  <si>
    <t>184*85*73</t>
  </si>
  <si>
    <t>4. 0</t>
  </si>
  <si>
    <t>人鱼沙发/ 雪尼尔/ 米白色/ 180cm</t>
  </si>
  <si>
    <t>人鱼沙发/ 雪尼尔/ 墨绿色/ 180cm</t>
  </si>
  <si>
    <t>257开启边几</t>
  </si>
  <si>
    <t>开启边几/ 奶白架/ 带灯/ 长虹玻璃/ 30*30cm</t>
  </si>
  <si>
    <t>36*36*37</t>
  </si>
  <si>
    <t>62. 52</t>
  </si>
  <si>
    <t>4. 4</t>
  </si>
  <si>
    <t>84. 92</t>
  </si>
  <si>
    <t>】257开启边几-详情页</t>
  </si>
  <si>
    <t>/ cdG9Z7WS1k EK</t>
  </si>
  <si>
    <t>【WPS 云文档】 257 开启边几-买家秀</t>
  </si>
  <si>
    <t>docs . cn/ l / cdV AdVKkh5e D</t>
  </si>
  <si>
    <t>淘宝：同杰、周澄             拼</t>
  </si>
  <si>
    <t>多多：周澄</t>
  </si>
  <si>
    <t>【WPS云文档】 257 开启边几-包装图</t>
  </si>
  <si>
    <t>docs . cn/ l / ca U R2l qUl Hj k</t>
  </si>
  <si>
    <t>开启边几/ 黑色架/ 带灯/ 长虹玻璃/ 30*30cm</t>
  </si>
  <si>
    <t>61. 35</t>
  </si>
  <si>
    <t>83. 75</t>
  </si>
  <si>
    <t>开启边几/ 奶白架/ 带灯/ 长虹玻璃/ 35*35cm</t>
  </si>
  <si>
    <t>41*41*37</t>
  </si>
  <si>
    <t>6. 15</t>
  </si>
  <si>
    <t>70. 48</t>
  </si>
  <si>
    <t>5. 3</t>
  </si>
  <si>
    <t>95. 78</t>
  </si>
  <si>
    <t>开启边几/ 黑色架/ 带灯/ 长虹玻璃/ 35*35cm</t>
  </si>
  <si>
    <t>69. 1</t>
  </si>
  <si>
    <t>94. 4</t>
  </si>
  <si>
    <t>开启边几/ 奶白架/ 带灯/ 长虹玻璃/ 40*40cm</t>
  </si>
  <si>
    <t>46*46*37</t>
  </si>
  <si>
    <t>7. 25</t>
  </si>
  <si>
    <t>78. 72</t>
  </si>
  <si>
    <t>6. 3</t>
  </si>
  <si>
    <t>107. 02</t>
  </si>
  <si>
    <t>开启边几/ 黑色架/ 带灯/ 长虹玻璃/ 40*40cm</t>
  </si>
  <si>
    <t>77. 1</t>
  </si>
  <si>
    <t>105. 4</t>
  </si>
  <si>
    <t>开启边几/ 奶白架/ 带灯/ 长虹玻璃/ 40*50cm</t>
  </si>
  <si>
    <t>56*46*37</t>
  </si>
  <si>
    <t>8. 4</t>
  </si>
  <si>
    <t>86. 9</t>
  </si>
  <si>
    <t>120. 9</t>
  </si>
  <si>
    <t>4. 3</t>
  </si>
  <si>
    <t>开启边几/ 黑色架/ 带灯/ 长虹玻璃/ 40*50cm</t>
  </si>
  <si>
    <t>84. 8</t>
  </si>
  <si>
    <t>118. 8</t>
  </si>
  <si>
    <t>开启边几/ 奶白架/ 带灯/ 长虹玻璃/ 40*60cm</t>
  </si>
  <si>
    <t>66*46*37</t>
  </si>
  <si>
    <t>9. 5</t>
  </si>
  <si>
    <t>95. 7</t>
  </si>
  <si>
    <t>136. 7</t>
  </si>
  <si>
    <t>3. 3</t>
  </si>
  <si>
    <t>开启边几/ 黑色架/ 带灯/ 长虹玻璃/ 40*60cm</t>
  </si>
  <si>
    <t>93. 3</t>
  </si>
  <si>
    <t>134. 3</t>
  </si>
  <si>
    <t>开启边几/ 奶白架/ 带灯/ 长虹玻璃/ 40*70cm</t>
  </si>
  <si>
    <t>76*46*37</t>
  </si>
  <si>
    <t>10. 65</t>
  </si>
  <si>
    <t>102. 5</t>
  </si>
  <si>
    <t>145. 5</t>
  </si>
  <si>
    <t>开启边几/ 黑色架/ 带灯/ 长虹玻璃/ 40*70cm</t>
  </si>
  <si>
    <t>99. 8</t>
  </si>
  <si>
    <t>142. 8</t>
  </si>
  <si>
    <t>256小山沙发</t>
  </si>
  <si>
    <t>元宝椅/ 猫爪皮/ 米白+1 个同色抱枕</t>
  </si>
  <si>
    <t>89*80*66cm</t>
  </si>
  <si>
    <t>14. 3</t>
  </si>
  <si>
    <t>58. 74</t>
  </si>
  <si>
    <t>268. 0</t>
  </si>
  <si>
    <t>】256小山沙发-详情图</t>
  </si>
  <si>
    <t>/ ckKJ r mnKv 1 r v</t>
  </si>
  <si>
    <t>【WPS 云文档】 256 小山沙发-买家秀</t>
  </si>
  <si>
    <t>docs . cn/ l / cnz 9t 7TOf 7Ke</t>
  </si>
  <si>
    <t>小山沙发/ 猫抓皮/ 170cm+2 个同色抱枕</t>
  </si>
  <si>
    <t>171*81*74cm</t>
  </si>
  <si>
    <t>6. 0</t>
  </si>
  <si>
    <t>小山沙发/ 猫抓皮/ 200cm+3 个同色抱枕</t>
  </si>
  <si>
    <t>201*81*74cm</t>
  </si>
  <si>
    <t>645. 0</t>
  </si>
  <si>
    <t>小山沙发/ 猫抓皮/ 230cm+4 个同色抱枕</t>
  </si>
  <si>
    <t>231*81*74cm</t>
  </si>
  <si>
    <t>724. 0</t>
  </si>
  <si>
    <t>255卫星圆几</t>
  </si>
  <si>
    <t>卫星圆几/ 奶白脚/ 纯白岩板/ 直径40cm</t>
  </si>
  <si>
    <t>59*16*43</t>
  </si>
  <si>
    <t>7. 2</t>
  </si>
  <si>
    <t>5. 074</t>
  </si>
  <si>
    <t>52. 44</t>
  </si>
  <si>
    <t>4. 5</t>
  </si>
  <si>
    <t>83. 9</t>
  </si>
  <si>
    <t>】255卫星圆几-详情图</t>
  </si>
  <si>
    <t>/ ct aj y Zc CRW 3N</t>
  </si>
  <si>
    <t>【WPS 云文档】 255 卫星圆几-买家秀</t>
  </si>
  <si>
    <t>docs . cn/ l / ck7 YNqqqHLek</t>
  </si>
  <si>
    <t>淘宝：鑫炜 拼多多： 杨晨京东：诗琪</t>
  </si>
  <si>
    <t>【WPS云文档】 255 卫星圆几-包装图</t>
  </si>
  <si>
    <t>docs . cn/ l / cad FS8Oz Og M0</t>
  </si>
  <si>
    <t>卫星圆几/ 黑色脚/ 纯白岩板/ 直径40cm</t>
  </si>
  <si>
    <t>51. 45</t>
  </si>
  <si>
    <t>83. 0</t>
  </si>
  <si>
    <t>卫星圆几/ 黑色脚/ 宝格丽黑玻 / 直径40cm</t>
  </si>
  <si>
    <t>6. 5</t>
  </si>
  <si>
    <t>59. 95</t>
  </si>
  <si>
    <t>88. 5</t>
  </si>
  <si>
    <t>卫星圆几/ 奶白脚/ 纯白岩板/ 直径50cm</t>
  </si>
  <si>
    <t>59*16*53</t>
  </si>
  <si>
    <t>6. 254</t>
  </si>
  <si>
    <t>58. 94</t>
  </si>
  <si>
    <t>93. 9</t>
  </si>
  <si>
    <t>卫星圆几/ 黑色脚/ 纯白岩板/ 直径50cm</t>
  </si>
  <si>
    <t>57. 95</t>
  </si>
  <si>
    <t>93. 0</t>
  </si>
  <si>
    <t>卫星圆几/ 黑色脚/ 宝格丽黑玻 / 直径50cm</t>
  </si>
  <si>
    <t>7. 7</t>
  </si>
  <si>
    <t>69. 45</t>
  </si>
  <si>
    <t>101. 5</t>
  </si>
  <si>
    <t>254奔驰茶几</t>
  </si>
  <si>
    <t>奔驰茶几/ 单桌/ 60cm</t>
  </si>
  <si>
    <t>64*64*50</t>
  </si>
  <si>
    <t>220. 0</t>
  </si>
  <si>
    <t>3. 8</t>
  </si>
  <si>
    <t>】254奔驰茶几-详情图</t>
  </si>
  <si>
    <t>/ ci dvg 3w0uA Se</t>
  </si>
  <si>
    <t>【WPS 云文档】 254 奔驰茶几-买家秀</t>
  </si>
  <si>
    <t>ht t ps : / / www. k docs . cn/ l / co O go QNNDJ U6</t>
  </si>
  <si>
    <t>奔驰茶几/ 单桌/ 70cm</t>
  </si>
  <si>
    <t>74*74*50</t>
  </si>
  <si>
    <t>262. 0</t>
  </si>
  <si>
    <t>奔驰茶几/ 单桌/ 80cm</t>
  </si>
  <si>
    <t>84*84*50</t>
  </si>
  <si>
    <t>303. 0</t>
  </si>
  <si>
    <t>奔驰茶几/ 组合/ 大桌60cm/ 小桌45cm</t>
  </si>
  <si>
    <t>340. 0</t>
  </si>
  <si>
    <t>奔驰茶几/ 组合/ 大桌70cm/ 小桌50cm</t>
  </si>
  <si>
    <t>402. 0</t>
  </si>
  <si>
    <t>5. 2</t>
  </si>
  <si>
    <t>奔驰茶几/ 组合/ 大桌80cm/ 小桌60cm</t>
  </si>
  <si>
    <t>463. 0</t>
  </si>
  <si>
    <t>253马鞍边几</t>
  </si>
  <si>
    <t>马鞍边几/ 灰色</t>
  </si>
  <si>
    <t>28*68*44</t>
  </si>
  <si>
    <t>10. 472</t>
  </si>
  <si>
    <t>5. 1</t>
  </si>
  <si>
    <t>】253马鞍边几-详情页</t>
  </si>
  <si>
    <t>/ cr pRyg 1y Qr WF</t>
  </si>
  <si>
    <t>【WPS 云文档】 253 马鞍边几-买家秀</t>
  </si>
  <si>
    <t>docs . cn/ l / cuR 8d5l dhy 6j</t>
  </si>
  <si>
    <t>马鞍边几/ 黑色</t>
  </si>
  <si>
    <t>马鞍边几/ 咖色</t>
  </si>
  <si>
    <t>252 猫窝凳</t>
  </si>
  <si>
    <t>猫窝凳/ 黑色+猫垫</t>
  </si>
  <si>
    <t>40*40*34cm</t>
  </si>
  <si>
    <t>6. 8</t>
  </si>
  <si>
    <t>44. 5</t>
  </si>
  <si>
    <t>74. 5</t>
  </si>
  <si>
    <t>】252猫窝凳</t>
  </si>
  <si>
    <t>/ cpo SdDVn7K 2O</t>
  </si>
  <si>
    <t>【WPS 云文档】 252 猫窝凳-买家秀</t>
  </si>
  <si>
    <t>ht t ps : / / www. k docs . cn/ l / cda yl 57l R2dN</t>
  </si>
  <si>
    <t>京东：杨晨    抖店：杨晨</t>
  </si>
  <si>
    <t>【WPS云文档】 252 猫窝凳-包装图</t>
  </si>
  <si>
    <t>ht t ps : / / www. k docs . cn/ l / cqU QJ wms j J 16</t>
  </si>
  <si>
    <t>猫窝凳/ 奶白+猫垫</t>
  </si>
  <si>
    <t>251方圆茶几</t>
  </si>
  <si>
    <t>方圆茶几/ 直径60cm</t>
  </si>
  <si>
    <t>底座43*43*44    面板 69*10*71</t>
  </si>
  <si>
    <t>12. 5kg</t>
  </si>
  <si>
    <t>210. 0</t>
  </si>
  <si>
    <t>】251方圆茶几-详情图</t>
  </si>
  <si>
    <t>/ cdLx B7l Vgh WY</t>
  </si>
  <si>
    <t>【WPS 云文档】 251 方圆茶几-买家秀</t>
  </si>
  <si>
    <t>docs . cn/ l / cdG j AAz DLQX8</t>
  </si>
  <si>
    <t>方圆茶几/ 直径70cm</t>
  </si>
  <si>
    <t>底座43*43*44    面板 79*10*81</t>
  </si>
  <si>
    <t>13kg</t>
  </si>
  <si>
    <t>235. 0</t>
  </si>
  <si>
    <t>方圆茶几/ 直径80cm</t>
  </si>
  <si>
    <t>底座53*53*44    面板 89*10*91</t>
  </si>
  <si>
    <t>13. 8kg</t>
  </si>
  <si>
    <t>260. 0</t>
  </si>
  <si>
    <t>三球茶几/ 黑面黑球/ 高36cm</t>
  </si>
  <si>
    <t>面板：85*85*21cm球脚：69*27*27cm</t>
  </si>
  <si>
    <t>桌面： 18. 4㎏球脚：2. 9 ㎏</t>
  </si>
  <si>
    <t>4. 7</t>
  </si>
  <si>
    <t>】250三球茶几-详情图</t>
  </si>
  <si>
    <t>【WPS 云文档】</t>
  </si>
  <si>
    <t>250 三球茶几-买家秀</t>
  </si>
  <si>
    <t>三球茶几/ 黑面白球/ 高36cm</t>
  </si>
  <si>
    <t>三球茶几/ 白面白球/ 高36cm</t>
  </si>
  <si>
    <t>三球茶几/ 白面黑球/ 高36cm</t>
  </si>
  <si>
    <t>250三球茶几</t>
  </si>
  <si>
    <t>不指定                        鼎立含包装</t>
  </si>
  <si>
    <t>三球茶几/ 黑面黑球/ 高41cm</t>
  </si>
  <si>
    <t>面板：85*85*21cm球脚：</t>
  </si>
  <si>
    <t>77*29. 5*29. 5cm</t>
  </si>
  <si>
    <t>桌面： 15. 4㎏球脚：2㎏</t>
  </si>
  <si>
    <t>/ cv R0NnOVqe J H</t>
  </si>
  <si>
    <t>ht t ps : / / www. k docs . cn/ l / cuO x Wr qn8Ne 3</t>
  </si>
  <si>
    <t>三球茶几/ 黑面白球/ 高41cm</t>
  </si>
  <si>
    <t>三球茶几/ 白面白球/ 高41cm</t>
  </si>
  <si>
    <t>三球茶几/ 白面黑球/ 高41cm</t>
  </si>
  <si>
    <t>249方韵边几</t>
  </si>
  <si>
    <t>方韵边几/ 奶白脚/ 茶色玻璃</t>
  </si>
  <si>
    <t>45*10. 5*45cm</t>
  </si>
  <si>
    <t>5kg</t>
  </si>
  <si>
    <t>48. 0</t>
  </si>
  <si>
    <t>】249方韵边几-详情图</t>
  </si>
  <si>
    <t>/ ckI o 0u4bQa gr</t>
  </si>
  <si>
    <t>【WPS 云文档】 249 方韵边几-买家秀</t>
  </si>
  <si>
    <t>ht t ps : / / www. k docs . cn/ l / cs J GZBMFPLFd</t>
  </si>
  <si>
    <t>淘宝：诗琪 拼多多： 周澄京东：诗琪</t>
  </si>
  <si>
    <t>【WPS云文档】 249 方韵边几-包装图</t>
  </si>
  <si>
    <t>ht t ps : / / www. k docs . cn/ l / cj v qPVJ 7dXs I</t>
  </si>
  <si>
    <t>方韵边几/ 黑色脚/ 茶色玻璃</t>
  </si>
  <si>
    <t>方韵边几/ 奶白脚/ 长虹玻璃</t>
  </si>
  <si>
    <t>方韵边几/ 黑色脚/ 长虹玻璃</t>
  </si>
  <si>
    <t>248乙月边几</t>
  </si>
  <si>
    <t>乙月边几/ 奶白脚/ 纯白岩板/ 直径40cm</t>
  </si>
  <si>
    <t>桌脚：43*30*60  桌面：44*6*44</t>
  </si>
  <si>
    <t>桌脚：4. 6 ㎏桌面：4㎏</t>
  </si>
  <si>
    <t>63. 5</t>
  </si>
  <si>
    <t>95. 5</t>
  </si>
  <si>
    <t>3. 9</t>
  </si>
  <si>
    <t>】248乙月边几-详情图</t>
  </si>
  <si>
    <t>/ cnON3bi hW9 xm</t>
  </si>
  <si>
    <t>【 WPS 云文档</t>
  </si>
  <si>
    <t>】248 乙月边几</t>
  </si>
  <si>
    <t>ht t ps : / / www. k docs . cn/ l / cdZ r Znhq4qPF</t>
  </si>
  <si>
    <t>淘宝：诗琪 拼多多： 鑫炜京东：不指定</t>
  </si>
  <si>
    <t>【WPS云文档】 248 乙月边几-包装图</t>
  </si>
  <si>
    <t>ht t ps : / / www. k docs . cn/ l / chx 8HO8OTVyw</t>
  </si>
  <si>
    <t>乙月边几/ 黑色脚/ 纯白岩板/ 直径40cm</t>
  </si>
  <si>
    <t>乙月边几/ 奶白脚/ 纯白岩板/ 直径50cm</t>
  </si>
  <si>
    <t>桌脚：43*30*60   桌面：54*6*54</t>
  </si>
  <si>
    <t>桌脚：4. 6 ㎏桌面：5. 6 ㎏</t>
  </si>
  <si>
    <t>乙月边几/ 黑色脚/ 纯白岩板/ 直径50cm</t>
  </si>
  <si>
    <t>乙月边几/ 黑色脚/ 宝格丽黑玻 / 直径50cm</t>
  </si>
  <si>
    <t>81. 25</t>
  </si>
  <si>
    <t>119. 25</t>
  </si>
  <si>
    <t>乙月边几/ 黑色脚/ 天鹅白玻/ 直径50cm</t>
  </si>
  <si>
    <t>247方寸茶几</t>
  </si>
  <si>
    <t>方寸茶几/ 黑色岩板/ 黑色底座/ 带轮/ 70cm</t>
  </si>
  <si>
    <t>280. 0</t>
  </si>
  <si>
    <t>】247方寸茶几-详情图</t>
  </si>
  <si>
    <t>/ ccp0I Wl j Ki 2H</t>
  </si>
  <si>
    <t>【WPS 云文档】 247 方寸茶几-买家秀</t>
  </si>
  <si>
    <t>docs . cn/ l / ce R 6QSHAKX38</t>
  </si>
  <si>
    <t>方寸茶几/ 雪山白岩板/ 米白底座/ 带轮/ 70cm</t>
  </si>
  <si>
    <t>方寸茶几/ 黑色岩板/ 黑色底座/ 100cm</t>
  </si>
  <si>
    <t>360. 0</t>
  </si>
  <si>
    <t>11. 3</t>
  </si>
  <si>
    <t>方寸茶几/ 雪山白岩板/ 黑色底座/ 100cm</t>
  </si>
  <si>
    <t>方寸茶几/ 雪山白岩板/ 米白底座/ 100cm</t>
  </si>
  <si>
    <t>方寸茶几/ 胡桃多层板/ 黑色底座/ 100cm</t>
  </si>
  <si>
    <t>380. 0</t>
  </si>
  <si>
    <t>20. 0</t>
  </si>
  <si>
    <t>方寸茶几/ 胡桃多层板/ 米白底座/ 100cm</t>
  </si>
  <si>
    <t>方寸茶几/ 黑色岩板/ 黑色底座/ 120cm</t>
  </si>
  <si>
    <t>375. 0</t>
  </si>
  <si>
    <t>7. 8</t>
  </si>
  <si>
    <t>方寸茶几/ 雪山白岩板/ 黑色底座/ 120cm</t>
  </si>
  <si>
    <t>方寸茶几/ 雪山白岩板/ 米白底座/ 120cm</t>
  </si>
  <si>
    <t>方寸茶几/ 胡桃多层板/ 黑色底座/ 120cm</t>
  </si>
  <si>
    <t>395. 0</t>
  </si>
  <si>
    <t>10. 2</t>
  </si>
  <si>
    <t>方寸茶几/ 胡桃多层板/ 米白底座/ 120cm</t>
  </si>
  <si>
    <t>方寸茶几/ 黑色岩板/ 黑色底座/ 130cm</t>
  </si>
  <si>
    <t>390. 0</t>
  </si>
  <si>
    <t>方寸茶几/ 雪山白岩板/ 黑色底座/ 130cm</t>
  </si>
  <si>
    <t>方寸茶几/ 雪山白岩板/ 米白底座/ 130cm</t>
  </si>
  <si>
    <t>方寸茶几/ 胡桃多层板/ 黑色底座/ 130cm</t>
  </si>
  <si>
    <t>410. 0</t>
  </si>
  <si>
    <t>6. 1</t>
  </si>
  <si>
    <t>方寸茶几/ 胡桃多层板/ 米白底座/ 130cm</t>
  </si>
  <si>
    <t>246圆其边几</t>
  </si>
  <si>
    <t>圆其边几/ 奶白架/ 带灯/ 长虹玻璃/ 直径35cm</t>
  </si>
  <si>
    <t>41*41*39cm</t>
  </si>
  <si>
    <t>7. 05</t>
  </si>
  <si>
    <t>70. 4</t>
  </si>
  <si>
    <t>95. 6</t>
  </si>
  <si>
    <t>】246圆其边几-详情页</t>
  </si>
  <si>
    <t>/ ci egs hs x 0c 9S</t>
  </si>
  <si>
    <t>【WPS 云文档】 246 圆其边几-买家秀</t>
  </si>
  <si>
    <t>docs . cn/ l / chR 8OM8Evo BW</t>
  </si>
  <si>
    <t>淘宝：同杰 拼多多： 杨晨京东：杨晨</t>
  </si>
  <si>
    <t>【WPS云文档】 246 圆其边几-包装图</t>
  </si>
  <si>
    <t>docs . cn/ l / coy e GWo VYz g 9</t>
  </si>
  <si>
    <t>圆其边几/ 黑色架/ 带灯/ 长虹玻璃/ 直径35cm</t>
  </si>
  <si>
    <t>68. 75</t>
  </si>
  <si>
    <t>94. 0</t>
  </si>
  <si>
    <t>圆其边几/ 黑色架/ 带灯/ 亮黑玻璃/ 直径35cm</t>
  </si>
  <si>
    <t>74. 2</t>
  </si>
  <si>
    <t>99. 4</t>
  </si>
  <si>
    <t>圆其边几/ 奶白架/ 带灯/ 长虹玻璃/ 直径40cm</t>
  </si>
  <si>
    <t>46*46*39cm</t>
  </si>
  <si>
    <t>8. 35</t>
  </si>
  <si>
    <t>79. 9</t>
  </si>
  <si>
    <t>6. 2</t>
  </si>
  <si>
    <t>108. 1</t>
  </si>
  <si>
    <t>3. 7</t>
  </si>
  <si>
    <t>圆其边几/ 黑色架/ 带灯/ 长虹玻璃/ 直径40cm</t>
  </si>
  <si>
    <t>77. 8</t>
  </si>
  <si>
    <t>106. 0</t>
  </si>
  <si>
    <t>3. 5</t>
  </si>
  <si>
    <t>圆其边几/ 黑色架/ 带灯/ 亮黑玻璃/ 直径40cm</t>
  </si>
  <si>
    <t>82. 8</t>
  </si>
  <si>
    <t>111. 0</t>
  </si>
  <si>
    <t>245陀螺茶几</t>
  </si>
  <si>
    <t>（实木）</t>
  </si>
  <si>
    <t>陀螺茶几/ 黑色实木/ 75cm</t>
  </si>
  <si>
    <t>80*36*80</t>
  </si>
  <si>
    <t>18. 3</t>
  </si>
  <si>
    <t>23. 04</t>
  </si>
  <si>
    <t>408. 0</t>
  </si>
  <si>
    <t>】245陀螺茶几-详情图</t>
  </si>
  <si>
    <t>/ chPex W7d2o kW</t>
  </si>
  <si>
    <t>【WPS 云文档】 213 飞碟茶几-买家秀</t>
  </si>
  <si>
    <t>ht t ps : / / kdocs</t>
  </si>
  <si>
    <t>. cn/ l / cl e SWTL Et i Kw</t>
  </si>
  <si>
    <t>匠郢家具</t>
  </si>
  <si>
    <t>陀螺茶几/ 白色实木/ 75cm</t>
  </si>
  <si>
    <t>陀螺茶几/ 黑色实木/ 90cm</t>
  </si>
  <si>
    <t>95*36*95</t>
  </si>
  <si>
    <t>26. 2</t>
  </si>
  <si>
    <t>484. 0</t>
  </si>
  <si>
    <t>4. 9</t>
  </si>
  <si>
    <t>陀螺茶几/ 白色实木/ 90cm</t>
  </si>
  <si>
    <t>244面包沙发</t>
  </si>
  <si>
    <t>元宝椅/ 科技布/ 蓝白</t>
  </si>
  <si>
    <t>310. 0</t>
  </si>
  <si>
    <t>5. 4</t>
  </si>
  <si>
    <t>】244面包沙发( 蓝白) -详情图</t>
  </si>
  <si>
    <t>/ cvmxv Svpky HZ</t>
  </si>
  <si>
    <t>【WPS 云文档】 244面包沙发</t>
  </si>
  <si>
    <t>( 蓝白) -买家秀</t>
  </si>
  <si>
    <t>ht t ps : / / www. k docs . cn/ l / cf e s 2c 8Aj hQc</t>
  </si>
  <si>
    <t>面包沙发/ 科技布/ 蓝白色/ 160cm</t>
  </si>
  <si>
    <t>164*87*65</t>
  </si>
  <si>
    <t>584. 0</t>
  </si>
  <si>
    <t>面包沙发/ 科技布/ 蓝白色/ 200cm</t>
  </si>
  <si>
    <t>204*87*65</t>
  </si>
  <si>
    <t>695. 0</t>
  </si>
  <si>
    <t>面包沙发/ 科技布/ 蓝白色/ 230cm</t>
  </si>
  <si>
    <t>234*87*65</t>
  </si>
  <si>
    <t>772. 0</t>
  </si>
  <si>
    <t>元宝椅/ 科技布/ 米白</t>
  </si>
  <si>
    <t>】244面包沙发( 米白) -详情图</t>
  </si>
  <si>
    <t>/ cs J y AbAs Fq Sh</t>
  </si>
  <si>
    <t>( 米白) -买家秀 ht t ps : / / www. k docs . cn/ l / ckG f qBDZg Ro Y</t>
  </si>
  <si>
    <t>面包沙发/ 科技布/ 米白色/ 160cm</t>
  </si>
  <si>
    <t>面包沙发/ 科技布/ 米白色/ 200cm</t>
  </si>
  <si>
    <t>面包沙发/ 科技布/ 米白色/ 230cm</t>
  </si>
  <si>
    <t>243 归圆衣帽架</t>
  </si>
  <si>
    <t>归圆衣帽架/ 雪山白岩板/ 白架/ 白圆饼</t>
  </si>
  <si>
    <t>12. 81</t>
  </si>
  <si>
    <t>1. 2</t>
  </si>
  <si>
    <t>21. 5</t>
  </si>
  <si>
    <t>25. 8</t>
  </si>
  <si>
    <t>】243归圆衣帽架-详情页 ht t ps : / / www</t>
  </si>
  <si>
    <t>/ cmppH1XVBr c C</t>
  </si>
  <si>
    <t>【WPS 云文档】 243归圆衣帽架</t>
  </si>
  <si>
    <t>ht t ps : / / www. k docs . cn/ l / cl W 4XKFBNDUu</t>
  </si>
  <si>
    <t>淘宝：同杰 拼多多： 鑫炜京东：不指定</t>
  </si>
  <si>
    <t>【WPS云文档】 243 归圆衣帽架-包装图</t>
  </si>
  <si>
    <t>ht t ps : / / www. k docs . cn/ l / cox KGxvpu723</t>
  </si>
  <si>
    <t>铁华容、玻璃安彩</t>
  </si>
  <si>
    <t>铁华容、玻</t>
  </si>
  <si>
    <t>璃安彩</t>
  </si>
  <si>
    <t>刘招刘招刘招刘招刘招刘招刘招刘招刘招刘招刘招刘招刘招刘招刘招刘招刘招刘招</t>
  </si>
  <si>
    <t>铁光明、岩板拓航</t>
  </si>
  <si>
    <t>归圆衣帽架/ 雪山白岩板/ 白架/ 绿圆饼</t>
  </si>
  <si>
    <t>归圆衣帽架/ 雪山白岩板/ 金架/ 绿圆饼</t>
  </si>
  <si>
    <t>归圆衣帽架/ 劳伦黑岩板/ 黑架/ 黑圆饼</t>
  </si>
  <si>
    <t>242 时支衣帽架</t>
  </si>
  <si>
    <t>时支衣帽架 / 白架/ 白圆饼</t>
  </si>
  <si>
    <t>13*5*43cm</t>
  </si>
  <si>
    <t>13. 31</t>
  </si>
  <si>
    <t>0. 8</t>
  </si>
  <si>
    <t>19. 1</t>
  </si>
  <si>
    <t>19. 9</t>
  </si>
  <si>
    <t>25. 2</t>
  </si>
  <si>
    <t>【WPS云文档】 242 时支衣帽架-包装图</t>
  </si>
  <si>
    <t>ht t ps : / / www. k docs . cn/ l / cc 4 EUv AFg O8G</t>
  </si>
  <si>
    <t>时支衣帽架 / 白架/ 绿圆饼</t>
  </si>
  <si>
    <t>时支衣帽架 / 金架/ 绿圆饼</t>
  </si>
  <si>
    <t>时支衣帽架 / 黑架/ 黑圆饼</t>
  </si>
  <si>
    <t>241长奇边几</t>
  </si>
  <si>
    <t>长奇边几/ 奶白架/ 带灯/ 长虹玻璃/ 40*50cm</t>
  </si>
  <si>
    <t>56*46*36. 5cm</t>
  </si>
  <si>
    <t>9. 4</t>
  </si>
  <si>
    <t>9. 4024</t>
  </si>
  <si>
    <t>】241长奇边几-详情图</t>
  </si>
  <si>
    <t>/ cpQXl z 1J Tz og</t>
  </si>
  <si>
    <t>【WPS 云文档】 241 长奇边几-买家秀</t>
  </si>
  <si>
    <t>docs . cn/ l / cbI 49j GI J BSE</t>
  </si>
  <si>
    <t>淘宝：诗琪、鑫炜             拼</t>
  </si>
  <si>
    <t>多多：鑫炜</t>
  </si>
  <si>
    <t>【WPS云文档】 241 长奇边几-包装图</t>
  </si>
  <si>
    <t>docs . cn/ l / cc 9 5r PbPdr KL</t>
  </si>
  <si>
    <t>长奇边几/ 黑色架/ 带灯/ 长虹玻璃/ 40*50cm</t>
  </si>
  <si>
    <t>长奇边几/ 黑色架/ 带灯/ 亮黑玻璃/ 40*50cm</t>
  </si>
  <si>
    <t>长奇边几/ 奶白架/ 带灯/ 长虹玻璃/ 40*60cm</t>
  </si>
  <si>
    <t>66*46*36. 5cm</t>
  </si>
  <si>
    <t>9. 6</t>
  </si>
  <si>
    <t>13. 85175</t>
  </si>
  <si>
    <t>长奇边几/ 黑色架/ 带灯/ 长虹玻璃/ 40*60cm</t>
  </si>
  <si>
    <t>长奇边几/ 黑色架/ 带灯/ 亮黑玻璃/ 40*60cm</t>
  </si>
  <si>
    <t>长奇边几/ 奶白架/ 带灯/ 长虹玻璃/ 40*70cm</t>
  </si>
  <si>
    <t>76*46*36. 5cm</t>
  </si>
  <si>
    <t>10. 5</t>
  </si>
  <si>
    <t>15. 9505</t>
  </si>
  <si>
    <t>96. 38</t>
  </si>
  <si>
    <t>139. 4</t>
  </si>
  <si>
    <t>3. 0</t>
  </si>
  <si>
    <t>长奇边几/ 黑色架/ 带灯/ 长虹玻璃/ 40*70cm</t>
  </si>
  <si>
    <t>94. 7</t>
  </si>
  <si>
    <t>137. 7</t>
  </si>
  <si>
    <t>长奇边几/ 黑色架/ 带灯/ 亮黑玻璃/ 40*70cm</t>
  </si>
  <si>
    <t>240圆片鞋架</t>
  </si>
  <si>
    <t>圆片鞋架/ 3 层/ 白色</t>
  </si>
  <si>
    <t>38*27. 5*27cm</t>
  </si>
  <si>
    <t>1. 4</t>
  </si>
  <si>
    <t>3. 526875</t>
  </si>
  <si>
    <t>12. 9</t>
  </si>
  <si>
    <t>8. 0</t>
  </si>
  <si>
    <t>25. 1</t>
  </si>
  <si>
    <t>29. 8</t>
  </si>
  <si>
    <t>】240圆片鞋架-详情页</t>
  </si>
  <si>
    <t>/ couz N38Zas I p</t>
  </si>
  <si>
    <t>【WPS 云文档】 240 圆片鞋架-买家秀</t>
  </si>
  <si>
    <t>docs . cn/ l / cvw Vg U0dz hMc</t>
  </si>
  <si>
    <t>圆片鞋架/ 3 层/ 黑色</t>
  </si>
  <si>
    <t>圆片鞋架/ 3 层/ 金色</t>
  </si>
  <si>
    <t>14. 5</t>
  </si>
  <si>
    <t>26. 7</t>
  </si>
  <si>
    <t>32. 8</t>
  </si>
  <si>
    <t>圆片鞋架/ 4 层/ 白色</t>
  </si>
  <si>
    <t>1. 6</t>
  </si>
  <si>
    <t>14. 9</t>
  </si>
  <si>
    <t>27. 1</t>
  </si>
  <si>
    <t>39. 8</t>
  </si>
  <si>
    <t>圆片鞋架/ 4 层/ 黑色</t>
  </si>
  <si>
    <t>圆片鞋架/ 4 层/ 金色</t>
  </si>
  <si>
    <t>16. 5</t>
  </si>
  <si>
    <t>28. 7</t>
  </si>
  <si>
    <t>42. 8</t>
  </si>
  <si>
    <t>圆片鞋架/ 5 层/ 白色</t>
  </si>
  <si>
    <t>18. 6</t>
  </si>
  <si>
    <t>30. 8</t>
  </si>
  <si>
    <t>49. 8</t>
  </si>
  <si>
    <t>圆片鞋架/ 5 层/ 黑色</t>
  </si>
  <si>
    <t>圆片鞋架/ 5 层/ 金色</t>
  </si>
  <si>
    <t>33. 2</t>
  </si>
  <si>
    <t>52. 8</t>
  </si>
  <si>
    <t>圆片鞋架/ 6 层/ 白色</t>
  </si>
  <si>
    <t>21. 1</t>
  </si>
  <si>
    <t>33. 3</t>
  </si>
  <si>
    <t>59. 8</t>
  </si>
  <si>
    <t>圆片鞋架/ 6 层/ 黑色</t>
  </si>
  <si>
    <t>圆片鞋架/ 6 层/ 金色</t>
  </si>
  <si>
    <t>35. 7</t>
  </si>
  <si>
    <t>62. 8</t>
  </si>
  <si>
    <t>圆片鞋架/ 7 层/ 白色</t>
  </si>
  <si>
    <t>24. 8</t>
  </si>
  <si>
    <t>37. 0</t>
  </si>
  <si>
    <t>69. 8</t>
  </si>
  <si>
    <t>圆片鞋架/ 7 层/ 黑色</t>
  </si>
  <si>
    <t>圆片鞋架/ 7 层/ 金色</t>
  </si>
  <si>
    <t>40. 2</t>
  </si>
  <si>
    <t>72. 8</t>
  </si>
  <si>
    <t>圆片鞋架/ 8 层/ 白色</t>
  </si>
  <si>
    <t>27. 3</t>
  </si>
  <si>
    <t>39. 5</t>
  </si>
  <si>
    <t>79. 8</t>
  </si>
  <si>
    <t>圆片鞋架/ 8 层/ 黑色</t>
  </si>
  <si>
    <t>圆片鞋架/ 8 层/ 金色</t>
  </si>
  <si>
    <t>30. 5</t>
  </si>
  <si>
    <t>42. 7</t>
  </si>
  <si>
    <t>239 沐光衣帽架</t>
  </si>
  <si>
    <t>沐光衣帽架/ 白石纹玻璃/ 奶白杆/ 白球</t>
  </si>
  <si>
    <t>48*10. 5*32cm</t>
  </si>
  <si>
    <t>3. 65</t>
  </si>
  <si>
    <t>2. 016</t>
  </si>
  <si>
    <t>28. 5</t>
  </si>
  <si>
    <t>45. 5</t>
  </si>
  <si>
    <t>【WPS 云文档</t>
  </si>
  <si>
    <t>】239 沐光衣帽架-详情图 ht t ps : / / www</t>
  </si>
  <si>
    <t>/ ci l SOMNk2A HS</t>
  </si>
  <si>
    <t>【WPS 云文档】 239 沐光衣帽架</t>
  </si>
  <si>
    <t>ht t ps : / / www. k docs . cn/ l / ct N s a Xj 4J g Ae</t>
  </si>
  <si>
    <t>淘宝：诗琪 拼多多： 杨晨京东：杨晨</t>
  </si>
  <si>
    <t>【WPS云文档】 239 沐光衣帽架-包装图</t>
  </si>
  <si>
    <t>ht t ps : / / www. k docs . cn/ l / cf a J 7cbj DYs Z</t>
  </si>
  <si>
    <t>沐光衣帽架/ 黑石纹玻璃/ 黑色杆/ 绿球</t>
  </si>
  <si>
    <t>沐光衣帽架/ 黑石纹玻璃/ 金色杆/ 绿球</t>
  </si>
  <si>
    <t>沐光衣帽架/ 白石纹玻璃/ 金色杆/ 绿球</t>
  </si>
  <si>
    <t>迷齐边几/ 奶白/ 不带灯/ 30*30cm</t>
  </si>
  <si>
    <t>36*36*40cm</t>
  </si>
  <si>
    <t>5. 8</t>
  </si>
  <si>
    <t>57. 52</t>
  </si>
  <si>
    <t>】238迷齐边几-详情图</t>
  </si>
  <si>
    <t>【WPS 云文档】 238 迷齐边几-</t>
  </si>
  <si>
    <t>【WPS云文档】 238 迷齐边几-包</t>
  </si>
  <si>
    <t>迷齐边几/ 黑色/ 不带灯/ 30*30cm</t>
  </si>
  <si>
    <t>56. 35</t>
  </si>
  <si>
    <t>78. 8</t>
  </si>
  <si>
    <t>迷齐边几/ 奶白/ 带灯/ 30*30cm</t>
  </si>
  <si>
    <t>84. 9</t>
  </si>
  <si>
    <t>迷齐边几/ 黑色/ 带灯/ 30*30cm</t>
  </si>
  <si>
    <t>83. 8</t>
  </si>
  <si>
    <t>迷齐边几/ 黑色架/ 带灯/ 亮黑玻璃/ 30*30cm（停）</t>
  </si>
  <si>
    <t>238迷齐边几</t>
  </si>
  <si>
    <t>迷齐边几/ 奶白/ 带灯/ 35*35cm</t>
  </si>
  <si>
    <t>95. 8</t>
  </si>
  <si>
    <t>/ cnj z bo Ht nB s G</t>
  </si>
  <si>
    <t>买家秀</t>
  </si>
  <si>
    <t>装图</t>
  </si>
  <si>
    <t>迷齐边几/ 黑色/ 带灯/ 35*35cm</t>
  </si>
  <si>
    <t>docs . cn/ l / cda hUed7Yz 7J</t>
  </si>
  <si>
    <t>docs . cn/ l / ci M w9QC8N6EM</t>
  </si>
  <si>
    <t>迷齐边几/ 黑色架/ 带灯/ 亮黑玻璃/ 35*35cm（停）</t>
  </si>
  <si>
    <t>迷齐边几/ 奶白/ 带灯/ 40*40cm</t>
  </si>
  <si>
    <t>10. 3155</t>
  </si>
  <si>
    <t>107. 0</t>
  </si>
  <si>
    <t>迷齐边几/ 黑色/ 带灯/ 40*40cm</t>
  </si>
  <si>
    <t>迷齐边几/ 黑色架/ 带灯/ 亮黑玻璃/ 40*40cm（停）</t>
  </si>
  <si>
    <t>237钢琴沙发</t>
  </si>
  <si>
    <t>钢琴沙发/ 橙色/ 科技皮/ 85cm+1 个抱枕（橙色）</t>
  </si>
  <si>
    <t>86*73*74cm</t>
  </si>
  <si>
    <t>379. 0</t>
  </si>
  <si>
    <t>】237钢琴沙发-详情图</t>
  </si>
  <si>
    <t>/ cb0gmPwNN2 VR</t>
  </si>
  <si>
    <t>【WPS 云文档】 237 钢琴沙发-买家秀</t>
  </si>
  <si>
    <t>docs . cn/ l / cf y 3he 9z qYGA</t>
  </si>
  <si>
    <t>钢琴沙发/ 灰色/ 科技皮/ 85cm+1 个抱枕（灰色）</t>
  </si>
  <si>
    <t>钢琴沙发/ 咖色/ 科技皮/ 85cm+1 个抱枕（咖色）</t>
  </si>
  <si>
    <t>钢琴沙发/ 橙色/ 科技皮/ 170cm+2 个抱枕（ 橙色）</t>
  </si>
  <si>
    <t>171*73*74cm</t>
  </si>
  <si>
    <t>609. 0</t>
  </si>
  <si>
    <t>钢琴沙发/ 灰色/ 科技皮/ 170cm+2 个抱枕（ 灰色）</t>
  </si>
  <si>
    <t>钢琴沙发/ 咖色/ 科技皮/ 170cm+2 个抱枕（ 咖色）</t>
  </si>
  <si>
    <t>钢琴沙发/ 橙色/ 科技皮/ 200cm+3 个抱枕（ 橙色）</t>
  </si>
  <si>
    <t>201*73*74cm</t>
  </si>
  <si>
    <t>699. 0</t>
  </si>
  <si>
    <t>7. 9</t>
  </si>
  <si>
    <t>钢琴沙发/ 灰色/ 科技皮/ 200cm+3 个抱枕（ 灰色）</t>
  </si>
  <si>
    <t>钢琴沙发/ 咖色/ 科技皮/ 200cm+3 个抱枕（ 咖色）</t>
  </si>
  <si>
    <t>钢琴沙发/ 橙色/ 科技皮/ 230cm+4 个抱枕（ 橙色）</t>
  </si>
  <si>
    <t>231*73*74cm</t>
  </si>
  <si>
    <t>769. 0</t>
  </si>
  <si>
    <t>钢琴沙发/ 灰色/ 科技皮/ 230cm+4 个抱枕（ 灰色）</t>
  </si>
  <si>
    <t>钢琴沙发/ 咖色/ 科技皮/ 230cm+4 个抱枕（ 咖色）</t>
  </si>
  <si>
    <t>236手枪沙发</t>
  </si>
  <si>
    <t>手枪沙发/ 磨砂绒/ 米白/ 79cm</t>
  </si>
  <si>
    <t>80*80*79cm</t>
  </si>
  <si>
    <t>290. 0</t>
  </si>
  <si>
    <t>】236手枪沙发-详情图</t>
  </si>
  <si>
    <t>/ cf FJ e 5s 45e z W</t>
  </si>
  <si>
    <t>【WPS 云文档】 236 手枪沙发-买家秀</t>
  </si>
  <si>
    <t>docs . cn/ l / ca 9 BOv SUKRo 1</t>
  </si>
  <si>
    <t>手枪沙发/ 磨砂绒/ 黑色/ 79cm</t>
  </si>
  <si>
    <t>手枪沙发/ 磨砂绒/ 米白/ 170cm</t>
  </si>
  <si>
    <t>171*80*79cm</t>
  </si>
  <si>
    <t>553. 0</t>
  </si>
  <si>
    <t>手枪沙发/ 磨砂绒/ 黑色/ 170cm</t>
  </si>
  <si>
    <t>手枪沙发/ 磨砂绒/ 米白/ 210cm</t>
  </si>
  <si>
    <t>211*80*79cm</t>
  </si>
  <si>
    <t>640. 0</t>
  </si>
  <si>
    <t>手枪沙发/ 磨砂绒/ 黑色/ 210cm</t>
  </si>
  <si>
    <t>手枪沙发/ 磨砂绒/ 米白/ 240cm</t>
  </si>
  <si>
    <t>241*80*79cm</t>
  </si>
  <si>
    <t>715. 0</t>
  </si>
  <si>
    <t>手枪沙发/ 磨砂绒/ 黑色/ 240cm</t>
  </si>
  <si>
    <t>235月牙沙发</t>
  </si>
  <si>
    <t>企鹅椅/ 白橙色/ 荔枝皮+1个抱枕（橙色）</t>
  </si>
  <si>
    <t>70*69*71cm</t>
  </si>
  <si>
    <t>295. 0</t>
  </si>
  <si>
    <t>】235月牙沙发-详情图</t>
  </si>
  <si>
    <t>/ cg Ei nBv QSR l f</t>
  </si>
  <si>
    <t>【WPS 云文档】 235 月牙沙发-买家秀</t>
  </si>
  <si>
    <t>docs . cn/ l / ck8 97OJ uKOOy</t>
  </si>
  <si>
    <t>月牙沙发/ 荔枝皮/ 170cm+2 个抱枕（橙色）</t>
  </si>
  <si>
    <t>170*92*69cm</t>
  </si>
  <si>
    <t>589. 0</t>
  </si>
  <si>
    <t>月牙沙发/ 荔枝皮/ 200cm+3 个抱枕（1白+2 橙）</t>
  </si>
  <si>
    <t>200*92*69cm</t>
  </si>
  <si>
    <t>158. 7</t>
  </si>
  <si>
    <t>647. 7</t>
  </si>
  <si>
    <t>月牙沙发/ 荔枝皮/ 230cm+4 个抱枕（2白+2 橙）</t>
  </si>
  <si>
    <t>230*92*69cm</t>
  </si>
  <si>
    <t>182. 5</t>
  </si>
  <si>
    <t>705. 5</t>
  </si>
  <si>
    <t>月牙沙发/ 荔枝皮/ 260cm+4 个抱枕（2白+2 橙）</t>
  </si>
  <si>
    <t>260*92*69cm</t>
  </si>
  <si>
    <t>206. 3</t>
  </si>
  <si>
    <t>827. 3</t>
  </si>
  <si>
    <t>234拿铁沙发</t>
  </si>
  <si>
    <t>企鹅椅/ 棕白色/ 科技皮+1个抱枕（棕色）</t>
  </si>
  <si>
    <t>】234拿铁沙发-详情图</t>
  </si>
  <si>
    <t>/ cv 4bp06f KK O3</t>
  </si>
  <si>
    <t>直接用233 、 232这两款产品的买家秀去晒</t>
  </si>
  <si>
    <t>拿铁沙发/ 科技皮/ 170cm+2 个抱枕（棕色）</t>
  </si>
  <si>
    <t>拿铁沙发/ 科技皮/ 200cm+3 个抱枕（1白+2 棕）</t>
  </si>
  <si>
    <t>拿铁沙发/ 科技皮/ 230cm+4 个抱枕（2白+2 棕）</t>
  </si>
  <si>
    <t>拿铁沙发/ 科技皮/ 260cm+4 个抱枕（2白+2 棕）</t>
  </si>
  <si>
    <t>鼎立  不含</t>
  </si>
  <si>
    <t>包装</t>
  </si>
  <si>
    <t>233墨弧沙发</t>
  </si>
  <si>
    <t>企鹅椅/ 黑色/ 科技皮+1个抱枕</t>
  </si>
  <si>
    <t>】233墨弧沙发-详情图</t>
  </si>
  <si>
    <t>/ chBZ61z c Qs J Y</t>
  </si>
  <si>
    <t>【WPS 云文档】 233 墨弧沙发-买家秀</t>
  </si>
  <si>
    <t>ht t ps : / / www. k docs . cn/ l / cl H Lmhs NPr gk</t>
  </si>
  <si>
    <t>墨弧沙发/ 科技皮/ 170cm+2 个抱枕</t>
  </si>
  <si>
    <t>墨弧沙发/ 科技皮/ 200cm+3 个抱枕</t>
  </si>
  <si>
    <t>墨弧沙发/ 科技皮/ 230cm+4 个抱枕</t>
  </si>
  <si>
    <t>墨弧沙发/ 科技皮/ 260cm+4 个抱枕</t>
  </si>
  <si>
    <t>232珊瑚沙发</t>
  </si>
  <si>
    <t>企鹅椅/ 灰橙色/ 荔枝皮+1个抱枕（橙色）</t>
  </si>
  <si>
    <t>】232珊瑚沙发-详情图</t>
  </si>
  <si>
    <t>/ cm7qCwI Ub7 HL</t>
  </si>
  <si>
    <t>【WPS 云文档】 232 珊瑚沙发-买家秀</t>
  </si>
  <si>
    <t>docs . cn/ l / ct e TH8WhI pl l</t>
  </si>
  <si>
    <t>珊瑚沙发/ 荔枝皮/ 170cm+2 个抱枕（橙色）</t>
  </si>
  <si>
    <t>珊瑚沙发/ 荔枝皮/ 200cm+3 个抱枕（1灰+2 橙）</t>
  </si>
  <si>
    <t>珊瑚沙发/ 荔枝皮/ 230cm+4 个抱枕（2灰+2 橙）</t>
  </si>
  <si>
    <t>珊瑚沙发/ 荔枝皮/ 260cm+4 个抱枕（2灰+2 橙）</t>
  </si>
  <si>
    <t>拓航整件代发</t>
  </si>
  <si>
    <t>拓航整件代</t>
  </si>
  <si>
    <t>发</t>
  </si>
  <si>
    <t>231胡桃方几</t>
  </si>
  <si>
    <t>胖圆边几/ 黑色脚/ 灰色玻璃/ 50cm</t>
  </si>
  <si>
    <t>桌脚29*29*43. 5 ； 桌面55*5. 5*55cm</t>
  </si>
  <si>
    <t>97. 0</t>
  </si>
  <si>
    <t>】231胡桃方几-详情图</t>
  </si>
  <si>
    <t>/ camDt f ch21 j T</t>
  </si>
  <si>
    <t>【WPS 云文档】 231 胡桃方几-买家秀</t>
  </si>
  <si>
    <t>ht t ps : / / www. k docs . cn/ l / co 2 6i 0a 5j wt m</t>
  </si>
  <si>
    <t>胖圆边几/ 米色脚/ 灰色玻璃/ 50cm</t>
  </si>
  <si>
    <t>胡桃方几/ 黑色柜/ 70x 70cm</t>
  </si>
  <si>
    <t>74*74*38cm</t>
  </si>
  <si>
    <t>294. 0</t>
  </si>
  <si>
    <t>胡桃方几/ 米色柜/ 70x 70cm</t>
  </si>
  <si>
    <t>胡桃方几/ 黑色柜/ 80x 80cm</t>
  </si>
  <si>
    <t>84*84*38cm</t>
  </si>
  <si>
    <t>330. 0</t>
  </si>
  <si>
    <t>5. 9</t>
  </si>
  <si>
    <t>胡桃方几/ 米色柜/ 80x 80cm</t>
  </si>
  <si>
    <t>胡桃方几/ 黑色柜/ 70x 70cm+胖圆边几/ 黑色脚</t>
  </si>
  <si>
    <t>桌脚29*29*43. 5 ；柜子74*74*38cm</t>
  </si>
  <si>
    <t>405. 0</t>
  </si>
  <si>
    <t>6. 4</t>
  </si>
  <si>
    <t>胡桃方几/ 米色柜/ 70x 70cm+胖圆边几/ 米色脚</t>
  </si>
  <si>
    <t>胡桃方几/ 黑色柜/ 80x 80cm+胖圆边几/ 黑色脚</t>
  </si>
  <si>
    <t>桌脚29*29*43. 5 ；柜子84*84*38cm</t>
  </si>
  <si>
    <t>453. 0</t>
  </si>
  <si>
    <t>6. 9</t>
  </si>
  <si>
    <t>胡桃方几/ 米色柜/ 80x 80cm+胖圆边几/ 米色脚</t>
  </si>
  <si>
    <t>230 胡桃芒果几</t>
  </si>
  <si>
    <t>胡桃圆边几/ 黑色脚/ 灰色玻璃/ 50cm</t>
  </si>
  <si>
    <t>】230胡桃芒果几-详情图 ht t ps : / / www</t>
  </si>
  <si>
    <t>/ cnt gxr Fh0G HL</t>
  </si>
  <si>
    <t>【WPS 云文档】 230胡桃芒果几</t>
  </si>
  <si>
    <t>ht t ps : / / www. k docs . cn/ l / cj x Z6wOBSFe K</t>
  </si>
  <si>
    <t>胡桃圆边几/ 杏色脚/ 灰色玻璃/ 50cm</t>
  </si>
  <si>
    <t>胡桃芒果几/ 黑色柜/ 120cm</t>
  </si>
  <si>
    <t>127*66*37cm</t>
  </si>
  <si>
    <t>460. 0</t>
  </si>
  <si>
    <t>胡桃芒果几/ 杏色柜/ 120cm</t>
  </si>
  <si>
    <t>胡桃芒果几/ 黑色柜/ 120cm+胡桃圆边几 / 黑色脚</t>
  </si>
  <si>
    <t>桌脚29*29*43. 5 ；柜子 127*66*37cm</t>
  </si>
  <si>
    <t>552. 0</t>
  </si>
  <si>
    <t>胡桃芒果几/ 杏色柜/ 120cm+胡桃圆边几 / 杏色脚</t>
  </si>
  <si>
    <t>229 雅韵椭圆几</t>
  </si>
  <si>
    <t>雅韵椭圆几 / 黑色/ 100cm</t>
  </si>
  <si>
    <t>66*48*44cm +</t>
  </si>
  <si>
    <t>105*7*60cm</t>
  </si>
  <si>
    <t>338. 0</t>
  </si>
  <si>
    <t>7. 5</t>
  </si>
  <si>
    <t>】229雅韵椭圆几-详情图 ht t ps : / / www</t>
  </si>
  <si>
    <t>/ cs SZv G45Zv Es</t>
  </si>
  <si>
    <t>【WPS 云文档】 229雅韵椭圆几</t>
  </si>
  <si>
    <t>ht t ps : / / www. k docs . cn/ l / cht 4GHQ4bUd6</t>
  </si>
  <si>
    <t>雅韵椭圆几 / 杏色/ 100cm</t>
  </si>
  <si>
    <t>雅韵椭圆几 / 黑色/ 120cm</t>
  </si>
  <si>
    <t>125*7*65cm</t>
  </si>
  <si>
    <t>351. 0</t>
  </si>
  <si>
    <t>雅韵椭圆几 / 杏色/ 120cm</t>
  </si>
  <si>
    <t>雅韵椭圆几 / 黑色/ 130cm</t>
  </si>
  <si>
    <t>135*7*70cm</t>
  </si>
  <si>
    <t>365. 0</t>
  </si>
  <si>
    <t>雅韵椭圆几 / 杏色/ 130cm</t>
  </si>
  <si>
    <t>228银圈圆几</t>
  </si>
  <si>
    <t>54*50*54cm</t>
  </si>
  <si>
    <t>135. 0</t>
  </si>
  <si>
    <t>】228银圈圆几-详情图</t>
  </si>
  <si>
    <t>/ cuSI mi Zr I y s M</t>
  </si>
  <si>
    <t>【WPS 云文档】 228 银圈圆几-买家秀</t>
  </si>
  <si>
    <t>docs . cn/ l / cn2 9Uwa 6r z kq</t>
  </si>
  <si>
    <t>银圈圆几/ 宝格丽纹钢化玻璃 / 直径70cm</t>
  </si>
  <si>
    <t>4. 1</t>
  </si>
  <si>
    <t>银圈圆几/ 黑色钢化玻璃 / 直径70cm</t>
  </si>
  <si>
    <t>54*50*54cm +</t>
  </si>
  <si>
    <t>5. 0</t>
  </si>
  <si>
    <t>银圈圆几/ 宝格丽纹钢化玻璃 / 直径80cm</t>
  </si>
  <si>
    <t>415. 0</t>
  </si>
  <si>
    <t>银圈圆几/ 黑色钢化玻璃 / 直径80cm</t>
  </si>
  <si>
    <t>545. 0</t>
  </si>
  <si>
    <t>227摩登方几</t>
  </si>
  <si>
    <t>（ PVC柜）</t>
  </si>
  <si>
    <t>54*41*54cm</t>
  </si>
  <si>
    <t>131. 0</t>
  </si>
  <si>
    <t>5. 5</t>
  </si>
  <si>
    <t>【 WPS云文档】227 摩登方几-详情图 ht t ps : / / www</t>
  </si>
  <si>
    <t>/ coz qi CO6TY f T</t>
  </si>
  <si>
    <t>【WPS 云文档】 227 摩登方几-买家秀</t>
  </si>
  <si>
    <t>docs . cn/ l / cci v 5kVJ Xvea</t>
  </si>
  <si>
    <t>摩登方几/ 黑色钢化玻璃 / 70*70cm</t>
  </si>
  <si>
    <t>摩登方几/ 亮面雪山白岩板 / 70*70cm</t>
  </si>
  <si>
    <t>264. 0</t>
  </si>
  <si>
    <t>6. 7</t>
  </si>
  <si>
    <t>摩登方几/ 哑光纯黑岩板 / 70*70cm</t>
  </si>
  <si>
    <t>54*41*54cm +</t>
  </si>
  <si>
    <t>416. 0</t>
  </si>
  <si>
    <t>386. 0</t>
  </si>
  <si>
    <t>7. 0</t>
  </si>
  <si>
    <t>摩登方几/ 黑色钢化玻璃 / 80*80cm</t>
  </si>
  <si>
    <t>325. 0</t>
  </si>
  <si>
    <t>摩登方几/ 亮面雪山白岩板 / 80*80cm</t>
  </si>
  <si>
    <t>摩登方几/ 哑光纯黑岩板 / 80*80cm</t>
  </si>
  <si>
    <t>450. 0</t>
  </si>
  <si>
    <t>420. 0</t>
  </si>
  <si>
    <t>226 年轮置物架</t>
  </si>
  <si>
    <t>年轮置物架/ 奶白</t>
  </si>
  <si>
    <t>171*7*37</t>
  </si>
  <si>
    <t>101. 2</t>
  </si>
  <si>
    <t>144. 7</t>
  </si>
  <si>
    <t>】226年轮置物架-详情图 ht t ps : / / www</t>
  </si>
  <si>
    <t>/ cc LQbYTMYi 3Z</t>
  </si>
  <si>
    <t>【WPS 云文档】 226年轮置物架</t>
  </si>
  <si>
    <t>ht t ps : / / www. k docs . cn/ l / cj 7 aj y UWe Wf 1</t>
  </si>
  <si>
    <t>淘宝：鑫炜 拼多多： 周澄京东：诗琪</t>
  </si>
  <si>
    <t>【WPS云文档】 226 年轮置物架-包装图</t>
  </si>
  <si>
    <t>docs . cn/ l / cnC CL8SMOZDD</t>
  </si>
  <si>
    <t>刘招</t>
  </si>
  <si>
    <t>年轮置物架/ 黑色</t>
  </si>
  <si>
    <t>5. 536125</t>
  </si>
  <si>
    <t>98. 5</t>
  </si>
  <si>
    <t>142. 0</t>
  </si>
  <si>
    <t>天平衣帽架/ 白石纹玻璃/ 奶白杆</t>
  </si>
  <si>
    <t>46*9*34</t>
  </si>
  <si>
    <t>17. 6</t>
  </si>
  <si>
    <t>32. 1</t>
  </si>
  <si>
    <t>】225天平衣帽架-详情图</t>
  </si>
  <si>
    <t>】 225 天平衣帽架-买家秀</t>
  </si>
  <si>
    <t>淘宝：同杰</t>
  </si>
  <si>
    <t>【WPS云文档】</t>
  </si>
  <si>
    <t>225 天平衣帽架-包装图</t>
  </si>
  <si>
    <t>铁刘招，玻</t>
  </si>
  <si>
    <t>天平衣帽架/ 黑石纹玻璃/ 黑色杆</t>
  </si>
  <si>
    <t>铁刘招，玻璃安彩</t>
  </si>
  <si>
    <t>天平衣帽架/ 黑石纹玻璃/ 金色杆</t>
  </si>
  <si>
    <t>/ ccr e HLddH7 AZ</t>
  </si>
  <si>
    <t>ht t ps : / / www. k docs . cn/ l / caz XuI j wmTB3</t>
  </si>
  <si>
    <t>ht t ps : / / www. k docs . cn/ l / ci 1 u2qNDCUc 2</t>
  </si>
  <si>
    <t>天平衣帽架/ 白石纹玻璃/ 金色杆</t>
  </si>
  <si>
    <t>224 老虎椅</t>
  </si>
  <si>
    <t>老虎椅/ 猫抓皮/ 橙色</t>
  </si>
  <si>
    <t>75*69*67</t>
  </si>
  <si>
    <t>】224老虎椅</t>
  </si>
  <si>
    <t>/ ct f 7bt ankV ON</t>
  </si>
  <si>
    <t>【WPS 云文档】 224 老虎椅-买家秀</t>
  </si>
  <si>
    <t>docs . cn/ l / ca B Mt pl 5x V7d</t>
  </si>
  <si>
    <t>【WPS云文档】 224 老虎椅-包装图</t>
  </si>
  <si>
    <t>docs . cn/ l / ct L Vys Ge YKe X</t>
  </si>
  <si>
    <t>老虎椅/ 猫抓皮/ 灰色</t>
  </si>
  <si>
    <t>老虎椅/ 猫抓皮/ 咖啡色</t>
  </si>
  <si>
    <t>223锥形茶几</t>
  </si>
  <si>
    <t>（ 钢化玻璃桌面）</t>
  </si>
  <si>
    <t>锥形茶几/ 磨砂黑玻璃 / 75cm</t>
  </si>
  <si>
    <t>246. 0</t>
  </si>
  <si>
    <t>】223锥形茶几-详情图</t>
  </si>
  <si>
    <t>/ cv FPf a Xi 2m UO</t>
  </si>
  <si>
    <t>【WPS 云文档】 223 锥形茶几-买家秀</t>
  </si>
  <si>
    <t>docs . cn/ l / cbH o T2bXnGBn</t>
  </si>
  <si>
    <t>淘宝：周澄</t>
  </si>
  <si>
    <t>拼多多： 周澄/ 杨晨             京</t>
  </si>
  <si>
    <t>东：杨晨</t>
  </si>
  <si>
    <t>铁-宏昌五</t>
  </si>
  <si>
    <t>金</t>
  </si>
  <si>
    <t>锥形茶几/ 磨砂白玻璃 / 75cm</t>
  </si>
  <si>
    <t>铁-宏昌五金</t>
  </si>
  <si>
    <t>锥形茶几/ 磨砂黑玻璃 / 90cm</t>
  </si>
  <si>
    <t>318. 0</t>
  </si>
  <si>
    <t>锥形茶几/ 磨砂白玻璃 / 90cm</t>
  </si>
  <si>
    <t>222 飘带椅</t>
  </si>
  <si>
    <t>飘带椅/ 猫抓皮/ 橙色/ 可旋转</t>
  </si>
  <si>
    <t>58*51*81</t>
  </si>
  <si>
    <t>9. 7</t>
  </si>
  <si>
    <t>】222飘带椅</t>
  </si>
  <si>
    <t>/ ci RBr ZLRr g I Z</t>
  </si>
  <si>
    <t>【WPS 云文档】 222 飘带椅-买家秀</t>
  </si>
  <si>
    <t>docs . cn/ l / cn8 0a 0SqZ8ca</t>
  </si>
  <si>
    <t>飘带椅/ 猫抓皮/ 黑色/ 可旋转</t>
  </si>
  <si>
    <t>飘带椅/ 猫抓皮/ 灰色/ 可旋转</t>
  </si>
  <si>
    <t>飘带椅/ 猫抓皮/ 米白色/ 可旋转</t>
  </si>
  <si>
    <t>飘带椅/ 磨砂绒/ 橙色/ 可旋转</t>
  </si>
  <si>
    <t>飘带椅/ 磨砂绒/ 黑色/ 可旋转</t>
  </si>
  <si>
    <t>飘带椅/ 磨砂绒/ 灰色/ 可旋转</t>
  </si>
  <si>
    <t>飘带椅/ 磨砂绒/ 酒红色/ 可旋转</t>
  </si>
  <si>
    <t>飘带椅/ 磨砂绒/ 米白色/ 可旋转</t>
  </si>
  <si>
    <t>221 拼接椅</t>
  </si>
  <si>
    <t>拼接椅/ 猫抓皮/ 米白色</t>
  </si>
  <si>
    <t>73*74*78</t>
  </si>
  <si>
    <t>16. 25</t>
  </si>
  <si>
    <t>4. 2</t>
  </si>
  <si>
    <t>】221拼接椅</t>
  </si>
  <si>
    <t>/ cv RYMChKN8 Dd</t>
  </si>
  <si>
    <t>【WPS 云文档】 221 拼接椅-买家秀</t>
  </si>
  <si>
    <t>ht t ps : / / www. k docs . cn/ l / cne Lal PNEBd3</t>
  </si>
  <si>
    <t>拼接椅/ 猫抓皮/ 黑色</t>
  </si>
  <si>
    <t>拼接椅/ 猫抓皮/ 灰色</t>
  </si>
  <si>
    <t>拼接椅/ 磨砂绒/ 橙色</t>
  </si>
  <si>
    <t>鼎立含包装鼎立含包装鼎立含包装</t>
  </si>
  <si>
    <t>拼接椅/ 磨砂绒/ 黑色</t>
  </si>
  <si>
    <t>拼接椅/ 磨砂绒/ 黄色</t>
  </si>
  <si>
    <t>拼接椅/ 磨砂绒/ 灰色</t>
  </si>
  <si>
    <t>拼接椅/ 磨砂绒/ 橘红</t>
  </si>
  <si>
    <t>拼接椅/ 磨砂绒/ 绿色</t>
  </si>
  <si>
    <t>拼接椅/ 磨砂绒/ 米白</t>
  </si>
  <si>
    <t>220优月沙发</t>
  </si>
  <si>
    <t>】220优月沙发-详情图</t>
  </si>
  <si>
    <t>/ cg Tx FXs TR0 Sp</t>
  </si>
  <si>
    <t>【WPS 云文档】 220 优月沙发-买家秀</t>
  </si>
  <si>
    <t>. cn/ l / cl anKGO x Coz k</t>
  </si>
  <si>
    <t>优月沙发/ 170cm+2 个同色抱枕</t>
  </si>
  <si>
    <t>170*82*68cm</t>
  </si>
  <si>
    <t>118. 49</t>
  </si>
  <si>
    <t>448. 0</t>
  </si>
  <si>
    <t>优月沙发/ 200cm+3 个同色抱枕</t>
  </si>
  <si>
    <t>200*82*68cm</t>
  </si>
  <si>
    <t>514. 0</t>
  </si>
  <si>
    <t>优月沙发/ 230cm+4 个同色抱枕</t>
  </si>
  <si>
    <t>230*82*68cm</t>
  </si>
  <si>
    <t>160. 31</t>
  </si>
  <si>
    <t>602. 0</t>
  </si>
  <si>
    <t>219 木脚K字椅</t>
  </si>
  <si>
    <t>木脚K字椅/ 猫抓皮/ 橙色</t>
  </si>
  <si>
    <t>78*81. 5*81. 5cm</t>
  </si>
  <si>
    <t>20kg</t>
  </si>
  <si>
    <t>】219 木脚K字椅-详情图 ht t ps : / / kdo cs . cn/ l / ca Z f c 9x DGLE3</t>
  </si>
  <si>
    <t>【WPS 云文档】 219木脚K字椅-买家秀</t>
  </si>
  <si>
    <t>. cn/ l / ci Rl Bnh v Zv Z7</t>
  </si>
  <si>
    <t>木脚K字椅/ 猫抓皮/ 卡其色</t>
  </si>
  <si>
    <t>木脚K字椅/ 猫抓皮/ 米白色</t>
  </si>
  <si>
    <t>木脚K字椅/ 猫抓皮/ 藻绿色</t>
  </si>
  <si>
    <t>木脚K字椅/ 磨砂绒/ 橙色</t>
  </si>
  <si>
    <t>木脚K字椅/ 磨砂绒/ 卡其色</t>
  </si>
  <si>
    <t>木脚K字椅/ 磨砂绒/ 米白色</t>
  </si>
  <si>
    <t>木脚K字椅/ 磨砂绒/ 墨绿色</t>
  </si>
  <si>
    <t>木脚K字椅/ 磨砂绒/ 深灰色</t>
  </si>
  <si>
    <t>218 元宝椅</t>
  </si>
  <si>
    <t>90*78*68</t>
  </si>
  <si>
    <t>13. 65</t>
  </si>
  <si>
    <t>】218元宝椅</t>
  </si>
  <si>
    <t>/ cdY3ULRNTU G2</t>
  </si>
  <si>
    <t>【WPS 云文档】 218 元宝椅-买家秀</t>
  </si>
  <si>
    <t>. cn/ l / cl yz 07H s I 4Li</t>
  </si>
  <si>
    <t>元宝椅/ 磨砂绒/ 米白</t>
  </si>
  <si>
    <t>元宝椅/ 磨砂绒/ 橙色</t>
  </si>
  <si>
    <t>元宝椅/ 磨砂绒/ 粉色</t>
  </si>
  <si>
    <t>元宝椅/ 磨砂绒/ 灰色</t>
  </si>
  <si>
    <t>元宝椅/ 磨砂绒/ 绿色</t>
  </si>
  <si>
    <t>217 舌头椅</t>
  </si>
  <si>
    <t>96*86*69</t>
  </si>
  <si>
    <t>】217舌头椅</t>
  </si>
  <si>
    <t>-详情图 ht t ps : / / kdo cs . cn/ l / ckc s MSz C6pmR</t>
  </si>
  <si>
    <t>【WPS 云文档】 217 舌头椅-买家秀</t>
  </si>
  <si>
    <t>. cn/ l / cr MTf 0T t J 0i q</t>
  </si>
  <si>
    <t>只做铁板   鼎立含包装</t>
  </si>
  <si>
    <t>舌头椅/ 磨砂绒/ 白色</t>
  </si>
  <si>
    <t>舌头椅/ 磨砂绒/ 橙色</t>
  </si>
  <si>
    <t>舌头椅/ 磨砂绒/ 粉色</t>
  </si>
  <si>
    <t>舌头椅/ 磨砂绒/ 灰色</t>
  </si>
  <si>
    <t>舌头椅/ 磨砂绒/ 蓝色</t>
  </si>
  <si>
    <t>舌头椅/ 磨砂绒/ 绿色</t>
  </si>
  <si>
    <t>216 面包椅</t>
  </si>
  <si>
    <t>面包椅/ 白色羊羔绒+1 个同色抱枕</t>
  </si>
  <si>
    <t>69*73*83</t>
  </si>
  <si>
    <t>18. 1</t>
  </si>
  <si>
    <t>】216面包椅</t>
  </si>
  <si>
    <t>/ ct 58Wl EObp Z9</t>
  </si>
  <si>
    <t>【WPS 云文档】 216 面包椅-买家秀</t>
  </si>
  <si>
    <t>. cn/ l / cpl 1Mo 5 REOEP</t>
  </si>
  <si>
    <t>面包椅/ 黑色羊羔绒+1 个同色抱枕</t>
  </si>
  <si>
    <t>215 雪梨椅</t>
  </si>
  <si>
    <t>雪梨椅/ 白色羊羔绒 / 可旋转</t>
  </si>
  <si>
    <t>86*66*64cm</t>
  </si>
  <si>
    <t>45. 408</t>
  </si>
  <si>
    <t>】215雪梨椅</t>
  </si>
  <si>
    <t>-详情图 ht t ps : / / kdo</t>
  </si>
  <si>
    <t>cs . cn/ l / cv W</t>
  </si>
  <si>
    <t>qWODa 2WYp</t>
  </si>
  <si>
    <t>【WPS 云文档】 215 雪梨椅-买家秀</t>
  </si>
  <si>
    <t>. cn/ l / cb5l wM5 wo 9Z5</t>
  </si>
  <si>
    <t>雪梨椅/ 粉色羊羔绒 / 可旋转</t>
  </si>
  <si>
    <t>雪梨椅/ 灰色绒布/ 可旋转</t>
  </si>
  <si>
    <t>雪梨椅/ 千鸟格/ 可旋转</t>
  </si>
  <si>
    <t>214三指沙发</t>
  </si>
  <si>
    <t>格栅茶几/ 高50cm/ 直径60cm</t>
  </si>
  <si>
    <t>桌面69*9*71cm桌脚40*40*55cm</t>
  </si>
  <si>
    <t>桌面8kg ，桌脚</t>
  </si>
  <si>
    <t>4. 5kg</t>
  </si>
  <si>
    <t>137. 0</t>
  </si>
  <si>
    <t>】214三指沙发-详情图</t>
  </si>
  <si>
    <t>/ cd4PmEVHFQ SM</t>
  </si>
  <si>
    <t>【WPS 云文档】 214 三指沙发-买家秀</t>
  </si>
  <si>
    <t>. cn/ l / cuai ggk 5f gmf</t>
  </si>
  <si>
    <t>三指沙发/ 橙色/ 单人</t>
  </si>
  <si>
    <t>83*72*72cm</t>
  </si>
  <si>
    <t>14. 8kg</t>
  </si>
  <si>
    <t>270. 0</t>
  </si>
  <si>
    <t>三指沙发/ 黑色/ 单人</t>
  </si>
  <si>
    <t>三指沙发/ 红色/ 单人</t>
  </si>
  <si>
    <t>鼎立含包装鼎立含包装</t>
  </si>
  <si>
    <t>三指沙发/ 灰色/ 单人</t>
  </si>
  <si>
    <t>三指沙发/ 咖色/ 单人</t>
  </si>
  <si>
    <t>三指沙发/ 米白色/ 单人</t>
  </si>
  <si>
    <t>三指沙发/ 米黄色/ 单人</t>
  </si>
  <si>
    <t>三指沙发/ 墨绿色/ 单人</t>
  </si>
  <si>
    <t>三指沙发/ 牛油果绿/ 单人</t>
  </si>
  <si>
    <t>三指沙发/ 深橙色/ 单人</t>
  </si>
  <si>
    <t>三指沙发/ 脏粉色/ 单人</t>
  </si>
  <si>
    <t>53. 78</t>
  </si>
  <si>
    <t>213飞碟茶几</t>
  </si>
  <si>
    <t>（铁板桌面）</t>
  </si>
  <si>
    <t>飞碟茶几/ 奶白/ 75cm（停）</t>
  </si>
  <si>
    <t>28. 80</t>
  </si>
  <si>
    <t>238. 0</t>
  </si>
  <si>
    <t>】213飞碟茶几-详情图</t>
  </si>
  <si>
    <t>/ cj 0i axf a Qd BP</t>
  </si>
  <si>
    <t>淘宝：周澄 拼多多： 周澄京东：不限制</t>
  </si>
  <si>
    <t>飞碟茶几/ 黑色/ 75cm</t>
  </si>
  <si>
    <t>240. 0</t>
  </si>
  <si>
    <t>飞碟茶几/ 奶白/ 90cm（停）</t>
  </si>
  <si>
    <t>40. 61</t>
  </si>
  <si>
    <t>5. 7</t>
  </si>
  <si>
    <t>飞碟茶几/ 黑色/ 90cm（停）</t>
  </si>
  <si>
    <t>211通长茶几</t>
  </si>
  <si>
    <t>（玻璃厚8mm）</t>
  </si>
  <si>
    <t>通长茶几/ 黑脚/ 灰色玻璃/ 120*60cm</t>
  </si>
  <si>
    <t>126*9*66</t>
  </si>
  <si>
    <t>19. 4</t>
  </si>
  <si>
    <t>9. 36</t>
  </si>
  <si>
    <t>88. 8</t>
  </si>
  <si>
    <t>125. 8</t>
  </si>
  <si>
    <t>】211通长茶几-详情图</t>
  </si>
  <si>
    <t>/ ccv 2y 7cx FK z S</t>
  </si>
  <si>
    <t>【WPS 云文档】 211 通长茶几-买家秀</t>
  </si>
  <si>
    <t>ht t ps : / / www. k docs . cn/ l / ca L g PY4B56s k</t>
  </si>
  <si>
    <t>淘宝：诗琪 拼多多： 鑫炜京东：诗琪</t>
  </si>
  <si>
    <t>通长茶几/ 黑脚/ 亮面黑玻璃 / 120*60cm</t>
  </si>
  <si>
    <t>17. 7</t>
  </si>
  <si>
    <t>103. 2</t>
  </si>
  <si>
    <t>140. 2</t>
  </si>
  <si>
    <t>通长茶几/ 黑脚/ 磨砂黑玻璃 / 120*60cm</t>
  </si>
  <si>
    <t>通长茶几/ 白脚/ 磨砂白玻璃 / 120*60cm</t>
  </si>
  <si>
    <t>153. 0</t>
  </si>
  <si>
    <t>通长茶几/ 黑脚/ 水波纹玻璃 / 120*60cm</t>
  </si>
  <si>
    <t>15. 4</t>
  </si>
  <si>
    <t>187. 0</t>
  </si>
  <si>
    <t>玻璃安彩、</t>
  </si>
  <si>
    <t>脚-泉卓方</t>
  </si>
  <si>
    <t>模具有限公司</t>
  </si>
  <si>
    <t>通长茶几/ 黑脚/ 灰色玻璃/ 140*70cm</t>
  </si>
  <si>
    <t>146*9*76</t>
  </si>
  <si>
    <t>24. 7</t>
  </si>
  <si>
    <t>12. 48</t>
  </si>
  <si>
    <t>105. 7</t>
  </si>
  <si>
    <t>149. 7</t>
  </si>
  <si>
    <t>通长茶几/ 黑脚/ 亮面黑玻璃 / 140*70cm</t>
  </si>
  <si>
    <t>125. 3</t>
  </si>
  <si>
    <t>169. 3</t>
  </si>
  <si>
    <t>通长茶几/ 黑脚/ 磨砂黑玻璃 / 140*70cm</t>
  </si>
  <si>
    <t>通长茶几/ 白脚/ 磨砂白玻璃 / 140*70cm</t>
  </si>
  <si>
    <t>186. 0</t>
  </si>
  <si>
    <t>通长茶几/ 黑脚/ 水波纹玻璃 / 140*70cm</t>
  </si>
  <si>
    <t>233. 0</t>
  </si>
  <si>
    <t>贯正方几/ 黑脚/ 灰色玻璃/ 70*70cm</t>
  </si>
  <si>
    <t>76*9*76</t>
  </si>
  <si>
    <t>6. 50</t>
  </si>
  <si>
    <t>73. 85</t>
  </si>
  <si>
    <t>106. 9</t>
  </si>
  <si>
    <t>贯正方几/ 黑脚/ 茶色玻璃/ 70*70cm</t>
  </si>
  <si>
    <t>76. 3</t>
  </si>
  <si>
    <t>109. 3</t>
  </si>
  <si>
    <t>贯正方几/ 黑脚/ 亮面黑玻璃/ 70*70cm</t>
  </si>
  <si>
    <t>83. 65</t>
  </si>
  <si>
    <t>116. 7</t>
  </si>
  <si>
    <t>贯正方几/ 黑脚/ 磨砂黑玻璃/ 70*70cm</t>
  </si>
  <si>
    <t>210贯正方几</t>
  </si>
  <si>
    <t>贯正方几/ 白脚/ 磨砂白玻璃/ 70*70cm</t>
  </si>
  <si>
    <t>126. 0</t>
  </si>
  <si>
    <t>】210贯正方几-详情图</t>
  </si>
  <si>
    <t>/ ce Ooyqv 868 VL</t>
  </si>
  <si>
    <t>【WPS 云文档】 210 贯正方几-买家秀</t>
  </si>
  <si>
    <t>docs . cn/ l / cg 2 VpwBUus St</t>
  </si>
  <si>
    <t>淘宝：同杰 拼多多： 杨晨京东：诗琪</t>
  </si>
  <si>
    <t>贯正方几/ 黑脚/ 水波纹玻璃/ 70*70cm</t>
  </si>
  <si>
    <t>115. 5</t>
  </si>
  <si>
    <t>148. 5</t>
  </si>
  <si>
    <t>贯正方几/ 黑脚/ 灰色玻璃/ 80*80cm</t>
  </si>
  <si>
    <t>86*9*86</t>
  </si>
  <si>
    <t>8. 32</t>
  </si>
  <si>
    <t>83. 6</t>
  </si>
  <si>
    <t>118. 6</t>
  </si>
  <si>
    <t>贯正方几/ 黑脚/ 茶色玻璃/ 80*80cm</t>
  </si>
  <si>
    <t>125. 0</t>
  </si>
  <si>
    <t>贯正方几/ 黑脚/ 亮面黑玻璃/ 80*80cm</t>
  </si>
  <si>
    <t>96. 4</t>
  </si>
  <si>
    <t>131. 4</t>
  </si>
  <si>
    <t>脚-泉卓方模具有限公</t>
  </si>
  <si>
    <t>司</t>
  </si>
  <si>
    <t>贯正方几/ 黑脚/ 磨砂黑玻璃/ 80*80cm</t>
  </si>
  <si>
    <t>贯正方几/ 白脚/ 磨砂白玻璃/ 80*80cm</t>
  </si>
  <si>
    <t>143. 0</t>
  </si>
  <si>
    <t>贯正方几/ 黑脚/ 水波纹玻璃/ 80*80cm</t>
  </si>
  <si>
    <t>173. 0</t>
  </si>
  <si>
    <t>贯正方几/ 黑脚/ 灰色玻璃/ 90*90cm</t>
  </si>
  <si>
    <t>96*9*96</t>
  </si>
  <si>
    <t>10. 37</t>
  </si>
  <si>
    <t>94. 65</t>
  </si>
  <si>
    <t>135. 7</t>
  </si>
  <si>
    <t>贯正方几/ 黑脚/ 茶色玻璃/ 90*90cm</t>
  </si>
  <si>
    <t>18. 9</t>
  </si>
  <si>
    <t>98. 7</t>
  </si>
  <si>
    <t>139. 7</t>
  </si>
  <si>
    <t>贯正方几/ 黑脚/ 亮面黑玻璃/ 90*90cm</t>
  </si>
  <si>
    <t>110. 85</t>
  </si>
  <si>
    <t>151. 9</t>
  </si>
  <si>
    <t>贯正方几/ 黑脚/ 磨砂黑玻璃/ 90*90cm</t>
  </si>
  <si>
    <t>贯正方几/ 白脚/ 磨砂白玻璃/ 90*90cm</t>
  </si>
  <si>
    <t>166. 0</t>
  </si>
  <si>
    <t>贯正方几/ 黑脚/ 水波纹玻璃/ 90*90cm</t>
  </si>
  <si>
    <t>163. 5</t>
  </si>
  <si>
    <t>204. 5</t>
  </si>
  <si>
    <t>209穿圆茶几</t>
  </si>
  <si>
    <t>穿圆茶几/ 黑脚/ 灰色玻璃/ 直径70cm</t>
  </si>
  <si>
    <t>74*9*74</t>
  </si>
  <si>
    <t>11. 45</t>
  </si>
  <si>
    <t>6. 16</t>
  </si>
  <si>
    <t>65. 3</t>
  </si>
  <si>
    <t>96. 3</t>
  </si>
  <si>
    <t>10. 9</t>
  </si>
  <si>
    <t>】209穿圆茶几-详情图</t>
  </si>
  <si>
    <t>/ cez a S3K18w 8v</t>
  </si>
  <si>
    <t>【WPS 云文档】 209 穿圆茶几-买家秀</t>
  </si>
  <si>
    <t>docs . cn/ l / cdq El Hj Pux Fy</t>
  </si>
  <si>
    <t>淘宝：周澄 拼多多： 杨晨京东：杨晨</t>
  </si>
  <si>
    <t>穿圆茶几/ 黑脚/ 茶色玻璃/ 直径70cm</t>
  </si>
  <si>
    <t>10. 4</t>
  </si>
  <si>
    <t>62. 85</t>
  </si>
  <si>
    <t>8. 7</t>
  </si>
  <si>
    <t>穿圆茶几/ 黑脚/ 亮面黑玻璃/ 直径70cm</t>
  </si>
  <si>
    <t>72. 65</t>
  </si>
  <si>
    <t>103. 7</t>
  </si>
  <si>
    <t>穿圆茶几/ 黑脚/ 磨砂黑玻璃/ 直径70cm</t>
  </si>
  <si>
    <t>穿圆茶几/ 白脚/ 磨砂白玻璃/ 直径70cm</t>
  </si>
  <si>
    <t>81. 5</t>
  </si>
  <si>
    <t>112. 5</t>
  </si>
  <si>
    <t>穿圆茶几/ 黑脚/ 水波纹玻璃/ 直径70cm</t>
  </si>
  <si>
    <t>136. 0</t>
  </si>
  <si>
    <t>穿圆茶几/ 黑脚/ 灰色玻璃/ 直径80cm</t>
  </si>
  <si>
    <t>84*9*84</t>
  </si>
  <si>
    <t>14. 4</t>
  </si>
  <si>
    <t>7. 94</t>
  </si>
  <si>
    <t>72. 6</t>
  </si>
  <si>
    <t>107. 6</t>
  </si>
  <si>
    <t>穿圆茶几/ 黑脚/ 茶色玻璃/ 直径80cm</t>
  </si>
  <si>
    <t>12. 75</t>
  </si>
  <si>
    <t>75. 8</t>
  </si>
  <si>
    <t>110. 8</t>
  </si>
  <si>
    <t>27. 4</t>
  </si>
  <si>
    <t>穿圆茶几/ 黑脚/ 亮面黑玻璃/ 直径80cm</t>
  </si>
  <si>
    <t>12. 7</t>
  </si>
  <si>
    <t>85. 4</t>
  </si>
  <si>
    <t>120. 4</t>
  </si>
  <si>
    <t>穿圆茶几/ 黑脚/ 磨砂黑玻璃/ 直径80cm</t>
  </si>
  <si>
    <t>穿圆茶几/ 白脚/ 磨砂白玻璃/ 直径80cm</t>
  </si>
  <si>
    <t>96. 5</t>
  </si>
  <si>
    <t>131. 5</t>
  </si>
  <si>
    <t>穿圆茶几/ 黑脚/ 水波纹玻璃/ 直径80cm</t>
  </si>
  <si>
    <t>162. 0</t>
  </si>
  <si>
    <t>穿圆茶几/ 黑脚/ 灰色玻璃/ 直径90cm</t>
  </si>
  <si>
    <t>94*9*94</t>
  </si>
  <si>
    <t>9. 94</t>
  </si>
  <si>
    <t>122. 7</t>
  </si>
  <si>
    <t>穿圆茶几/ 黑脚/ 茶色玻璃/ 直径90cm</t>
  </si>
  <si>
    <t>87. 7</t>
  </si>
  <si>
    <t>126. 7</t>
  </si>
  <si>
    <t>穿圆茶几/ 黑脚/ 亮面黑玻璃/ 直径90cm</t>
  </si>
  <si>
    <t>15. 1</t>
  </si>
  <si>
    <t>99. 85</t>
  </si>
  <si>
    <t>138. 9</t>
  </si>
  <si>
    <t>穿圆茶几/ 黑脚/ 磨砂黑玻璃/ 直径90cm</t>
  </si>
  <si>
    <t>穿圆茶几/ 白脚/ 磨砂白玻璃/ 直径90cm</t>
  </si>
  <si>
    <t>113. 5</t>
  </si>
  <si>
    <t>152. 5</t>
  </si>
  <si>
    <t>穿圆茶几/ 黑脚/ 水波纹玻璃/ 直径90cm</t>
  </si>
  <si>
    <t>191. 5</t>
  </si>
  <si>
    <t>208 透三角茶几</t>
  </si>
  <si>
    <t>透三角茶几/ 黑脚/ 灰色玻璃/ 80cm</t>
  </si>
  <si>
    <t>86*9*63</t>
  </si>
  <si>
    <t>6. 10</t>
  </si>
  <si>
    <t>61. 55</t>
  </si>
  <si>
    <t>91. 6</t>
  </si>
  <si>
    <t>】208透三角茶几-详情图 ht t ps : / / www</t>
  </si>
  <si>
    <t>/ cj s Oacr Y20 b6</t>
  </si>
  <si>
    <t>【WPS 云文档】 208透三角茶几</t>
  </si>
  <si>
    <t>ht t ps : / / www. k docs . cn/ l / coz BAo G4FLwg</t>
  </si>
  <si>
    <t>淘宝：鑫炜/ 周澄拼多多： 鑫炜</t>
  </si>
  <si>
    <t>京东：杨晨</t>
  </si>
  <si>
    <t>透三角茶几/ 黑脚/ 亮面黑玻璃/ 80cm</t>
  </si>
  <si>
    <t>9. 55</t>
  </si>
  <si>
    <t>70. 95</t>
  </si>
  <si>
    <t>101. 0</t>
  </si>
  <si>
    <t>透三角茶几/ 黑脚/ 磨砂黑玻璃/ 80cm</t>
  </si>
  <si>
    <t>透三角茶几/ 白脚/ 磨砂白玻璃/ 80cm</t>
  </si>
  <si>
    <t>109. 5</t>
  </si>
  <si>
    <t>透三角茶几/ 黑脚/ 水波纹玻璃/ 80cm</t>
  </si>
  <si>
    <t>127. 0</t>
  </si>
  <si>
    <t>玻璃安彩、脚-泉卓方模具有限公</t>
  </si>
  <si>
    <t>透三角茶几 / 黑脚/ 灰色玻璃/ 110cm</t>
  </si>
  <si>
    <t>118*9*88</t>
  </si>
  <si>
    <t>18. 35</t>
  </si>
  <si>
    <t>11. 68</t>
  </si>
  <si>
    <t>92. 1</t>
  </si>
  <si>
    <t>134. 1</t>
  </si>
  <si>
    <t>透三角茶几/ 黑脚/ 亮面黑玻璃/ 110cm</t>
  </si>
  <si>
    <t>16. 65</t>
  </si>
  <si>
    <t>110. 9</t>
  </si>
  <si>
    <t>152. 9</t>
  </si>
  <si>
    <t>透三角茶几/ 黑脚/ 磨砂黑玻璃/ 110cm</t>
  </si>
  <si>
    <t>透三角茶几/ 白脚/ 磨砂白玻璃/ 110cm</t>
  </si>
  <si>
    <t>126. 5</t>
  </si>
  <si>
    <t>168. 5</t>
  </si>
  <si>
    <t>透三角茶几/ 黑脚/ 水波纹玻璃/ 110cm</t>
  </si>
  <si>
    <t>214. 0</t>
  </si>
  <si>
    <t>207双面沙发</t>
  </si>
  <si>
    <t>双面沙发/ 黑色猫抓皮/ 160cm+2 个黑抱枕</t>
  </si>
  <si>
    <t>162*100*42 ；</t>
  </si>
  <si>
    <t>84*27*38</t>
  </si>
  <si>
    <t>466. 0</t>
  </si>
  <si>
    <t>6. 6</t>
  </si>
  <si>
    <t>】 207双面沙发-详情图 ht t ps : / / kdo cs . cn/ l / cj R WRZx Oal Bf</t>
  </si>
  <si>
    <t>【金山文档】 207 双面沙发-买家秀</t>
  </si>
  <si>
    <t>. cn/ l / cu4ef Hk GLLUn</t>
  </si>
  <si>
    <t>双面沙发/ 米白色猫抓皮 / 160cm+2 个米白抱枕</t>
  </si>
  <si>
    <t>双面沙发/ 黑色猫抓皮/ 180cm+2 个黑抱枕</t>
  </si>
  <si>
    <t>182*100*42 ；</t>
  </si>
  <si>
    <t>533. 0</t>
  </si>
  <si>
    <t>双面沙发/ 米白色猫抓皮 / 180cm+2 个米白抱枕</t>
  </si>
  <si>
    <t>双面沙发/ 黑色猫抓皮/ 210cm+2 个黑抱枕</t>
  </si>
  <si>
    <t>212*100*42 ；</t>
  </si>
  <si>
    <t>136*27*38</t>
  </si>
  <si>
    <t>623. 0</t>
  </si>
  <si>
    <t>双面沙发/ 米白色猫抓皮 / 210cm+2 个米白抱枕</t>
  </si>
  <si>
    <t>206玄月沙发</t>
  </si>
  <si>
    <t>螃蟹椅/ 橙灰色</t>
  </si>
  <si>
    <t>97*77*66</t>
  </si>
  <si>
    <t>61. 62</t>
  </si>
  <si>
    <t>】206玄月沙发-详情图</t>
  </si>
  <si>
    <t>ht t ps : / / kdo</t>
  </si>
  <si>
    <t>cs . cn/ l / cr V Ge Lg Cnf xa</t>
  </si>
  <si>
    <t>【WPS 云文档】 206 玄月沙发-买家秀</t>
  </si>
  <si>
    <t>. cn/ l / cv Kl Tl Q WdMNK</t>
  </si>
  <si>
    <t>螃蟹椅/ 灰色</t>
  </si>
  <si>
    <t>玄月沙发/ 橙灰色/ 170cm+2 个抱枕（1橙+1 深灰）</t>
  </si>
  <si>
    <t>170*92*69</t>
  </si>
  <si>
    <t>134. 90</t>
  </si>
  <si>
    <t>45. 12</t>
  </si>
  <si>
    <t>130. 00</t>
  </si>
  <si>
    <t>566. 1</t>
  </si>
  <si>
    <t>玄月沙发/ 灰色/ 170cm+2 个抱枕（1浅灰+1 深灰）</t>
  </si>
  <si>
    <t>玄月沙发/ 橙灰色/ 200cm+3 个抱枕（1橙+2 深灰）</t>
  </si>
  <si>
    <t>200*92*69</t>
  </si>
  <si>
    <t>158. 70</t>
  </si>
  <si>
    <t>50. 43</t>
  </si>
  <si>
    <t>150. 00</t>
  </si>
  <si>
    <t>619. 4</t>
  </si>
  <si>
    <t>玄月沙发/ 灰色/ 200cm+3 个抱枕（1浅灰+2 深灰）</t>
  </si>
  <si>
    <t>玄月沙发/ 橙灰色/ 230cm+4 个抱枕（2橙+2 深灰）</t>
  </si>
  <si>
    <t>230*92*69</t>
  </si>
  <si>
    <t>182. 51</t>
  </si>
  <si>
    <t>53. 94</t>
  </si>
  <si>
    <t>175. 00</t>
  </si>
  <si>
    <t>677. 9</t>
  </si>
  <si>
    <t>玄月沙发/ 灰色/ 230cm+4 个抱枕（2浅灰+2 深灰）</t>
  </si>
  <si>
    <t>玄月沙发/ 橙灰色/ 260cm+4 个抱枕（2橙+2 深灰）</t>
  </si>
  <si>
    <t>260*92*69</t>
  </si>
  <si>
    <t>206. 31</t>
  </si>
  <si>
    <t>195. 00</t>
  </si>
  <si>
    <t>792. 9</t>
  </si>
  <si>
    <t>玄月沙发/ 灰色/ 260cm+4 个抱枕（2浅灰+2 深灰）</t>
  </si>
  <si>
    <t>205星璃茶几</t>
  </si>
  <si>
    <t>星璃茶几/ PVC柜/ 70cm</t>
  </si>
  <si>
    <t>76*76*36</t>
  </si>
  <si>
    <t>25. 99</t>
  </si>
  <si>
    <t>230. 7</t>
  </si>
  <si>
    <t>】205星璃茶几-详情图</t>
  </si>
  <si>
    <t>ht t ps : / / kdo cs . cn/ l / cl C 7WAj 1r Wmh</t>
  </si>
  <si>
    <t>【WPS 云文档】 205 星璃茶几-买家秀</t>
  </si>
  <si>
    <t>. cn/ l / cc 4t 2ao u4Woq</t>
  </si>
  <si>
    <t>淘宝：同杰/ 鑫炜拼多多： 鑫炜</t>
  </si>
  <si>
    <t>星璃茶几/ PVC柜/ 80cm</t>
  </si>
  <si>
    <t>86*86*36</t>
  </si>
  <si>
    <t>33. 28</t>
  </si>
  <si>
    <t>299. 5</t>
  </si>
  <si>
    <t>星璃茶几/ 实木柜/ 70cm</t>
  </si>
  <si>
    <t>300. 7</t>
  </si>
  <si>
    <t>星璃茶几/ 实木柜/ 80cm</t>
  </si>
  <si>
    <t>369. 5</t>
  </si>
  <si>
    <t>铁-华容、</t>
  </si>
  <si>
    <t>玻璃、安彩</t>
  </si>
  <si>
    <t>、柜子匠郢</t>
  </si>
  <si>
    <t>星璃茶几/ PVC柜/ 70cm+立圆边几/ 黑色</t>
  </si>
  <si>
    <t>76*76*36+55*9*55</t>
  </si>
  <si>
    <t>29. 40</t>
  </si>
  <si>
    <t>179. 7</t>
  </si>
  <si>
    <t>293. 7</t>
  </si>
  <si>
    <t>星璃茶几/ PVC柜/ 80cm+立圆边几/ 黑色</t>
  </si>
  <si>
    <t>86*86*36+55*9*55</t>
  </si>
  <si>
    <t>36. 69</t>
  </si>
  <si>
    <t>227. 7</t>
  </si>
  <si>
    <t>17. 8</t>
  </si>
  <si>
    <t>345. 5</t>
  </si>
  <si>
    <t>星璃茶几/ 实木柜/ 70cm+立圆边几/ 黑色</t>
  </si>
  <si>
    <t>249. 7</t>
  </si>
  <si>
    <t>380. 7</t>
  </si>
  <si>
    <t>星璃茶几/ 实木柜/ 80cm+立圆边几/ 黑色</t>
  </si>
  <si>
    <t>297. 7</t>
  </si>
  <si>
    <t>432. 5</t>
  </si>
  <si>
    <t>204简构子母茶几</t>
  </si>
  <si>
    <t>简构子母茶几/ 60+45cm</t>
  </si>
  <si>
    <t>66*25*66</t>
  </si>
  <si>
    <t>13. 61</t>
  </si>
  <si>
    <t>168. 7</t>
  </si>
  <si>
    <t>】204简构子母茶几-详情图</t>
  </si>
  <si>
    <t>cs . cn/ l / cop UPcs qhLI 2</t>
  </si>
  <si>
    <t>【WPS 云文档】 204简构子母茶几-买家秀</t>
  </si>
  <si>
    <t>. cn/ l / ca Uf u44 r Xbpr</t>
  </si>
  <si>
    <t>玻璃安彩</t>
  </si>
  <si>
    <t>简构子母茶几/ 80+60cm</t>
  </si>
  <si>
    <t>86*25*86</t>
  </si>
  <si>
    <t>23. 11</t>
  </si>
  <si>
    <t>171. 5</t>
  </si>
  <si>
    <t>10. 16</t>
  </si>
  <si>
    <t>231. 2</t>
  </si>
  <si>
    <t>203格度茶几</t>
  </si>
  <si>
    <t>格度茶几/ 直径60cm</t>
  </si>
  <si>
    <t>66*23*66</t>
  </si>
  <si>
    <t>17. 4</t>
  </si>
  <si>
    <t>12. 52</t>
  </si>
  <si>
    <t>6. 81</t>
  </si>
  <si>
    <t>175. 8</t>
  </si>
  <si>
    <t>】203格度茶几-详情图</t>
  </si>
  <si>
    <t>ht t ps : / / kdo cs . cn/ l / cbA J I j I OTe 0Y</t>
  </si>
  <si>
    <t>【WPS 云文档】 203 格度茶几-买家秀</t>
  </si>
  <si>
    <t>. cn/ l / cj y Kwr E BARv F</t>
  </si>
  <si>
    <t>格度茶几/ 直径70cm</t>
  </si>
  <si>
    <t>76*23*76</t>
  </si>
  <si>
    <t>16. 61</t>
  </si>
  <si>
    <t>8. 19</t>
  </si>
  <si>
    <t>210. 2</t>
  </si>
  <si>
    <t>铁-刘招、</t>
  </si>
  <si>
    <t>玻璃安彩、柜子拓航</t>
  </si>
  <si>
    <t>格度茶几/ 直径80cm</t>
  </si>
  <si>
    <t>86*23*86</t>
  </si>
  <si>
    <t>27. 15</t>
  </si>
  <si>
    <t>21. 26</t>
  </si>
  <si>
    <t>236. 7</t>
  </si>
  <si>
    <t>202立圆边几</t>
  </si>
  <si>
    <t>立圆边几/ 奶白脚/ 灰色玻璃</t>
  </si>
  <si>
    <t>55*9*55</t>
  </si>
  <si>
    <t>6. 55</t>
  </si>
  <si>
    <t>3. 40</t>
  </si>
  <si>
    <t>37. 24</t>
  </si>
  <si>
    <t>61. 5</t>
  </si>
  <si>
    <t>】 202立圆边几-详情图 ht t ps : / / kdo cs . cn/ l / ci w e Hf Nr Cr hV</t>
  </si>
  <si>
    <t>【WPS 云文档】 202 立圆边几-买家秀</t>
  </si>
  <si>
    <t>. cn/ l / ct Qj u23 UT7po</t>
  </si>
  <si>
    <t>淘宝：同杰 拼多多： 鑫炜京东：杨晨</t>
  </si>
  <si>
    <t>立圆边几/ 黑色脚/ 灰色玻璃</t>
  </si>
  <si>
    <t>36. 7</t>
  </si>
  <si>
    <t>61. 0</t>
  </si>
  <si>
    <t>201小熊边几</t>
  </si>
  <si>
    <t>小熊边几/ 黑色脚/ 黑色面</t>
  </si>
  <si>
    <t>41*7*41</t>
  </si>
  <si>
    <t>1. 47</t>
  </si>
  <si>
    <t>42. 5</t>
  </si>
  <si>
    <t>】201小熊边几-详情图</t>
  </si>
  <si>
    <t>ht t ps : / / kdo cs . cn/ l / cf z kDv 4g YUbe</t>
  </si>
  <si>
    <t>【WPS 云文档】 201 小熊边几-买家秀</t>
  </si>
  <si>
    <t>. cn/ l / cuuW7y 4 a 5s s f</t>
  </si>
  <si>
    <t>小熊边几/ 奶白脚/ 白色面</t>
  </si>
  <si>
    <t>木板-匠郢</t>
  </si>
  <si>
    <t>、铁-华容</t>
  </si>
  <si>
    <t>小熊边几/ 黑色脚/ 木纹面（停）</t>
  </si>
  <si>
    <t>小熊边几/ 奶白脚/ 木纹面</t>
  </si>
  <si>
    <t>200软包云朵茶几</t>
  </si>
  <si>
    <t>软包云朵茶几 / 白色/ 100cm长</t>
  </si>
  <si>
    <t>103*64*14. 5+</t>
  </si>
  <si>
    <t>33. 5*33. 5*34. 5</t>
  </si>
  <si>
    <t>16. 79</t>
  </si>
  <si>
    <t>250. 0</t>
  </si>
  <si>
    <t>】200软包云朵茶几-详情图</t>
  </si>
  <si>
    <t>ht t ps : / / kdo cs . cn/ l / cv U 4Cqf Nj f y P</t>
  </si>
  <si>
    <t>【WPS 云文档】 200软包云朵茶几-买家秀</t>
  </si>
  <si>
    <t>. cn/ l / ck0cf 6P QBf o X</t>
  </si>
  <si>
    <t>淘宝：周澄 拼多多： 鑫炜京东：杨晨</t>
  </si>
  <si>
    <t>软包云朵茶几 / 黑色/ 100cm长</t>
  </si>
  <si>
    <t>软包云朵茶几 / 白色/ 120cm长</t>
  </si>
  <si>
    <t>124*77. 5*14. 5+</t>
  </si>
  <si>
    <t>17. 85</t>
  </si>
  <si>
    <t>22. 26</t>
  </si>
  <si>
    <t>软包云朵茶几 / 黑色/ 120cm长</t>
  </si>
  <si>
    <t>软包云朵茶几 / 白色/ 130cm长</t>
  </si>
  <si>
    <t>134*82*14. 5+</t>
  </si>
  <si>
    <t>24. 76</t>
  </si>
  <si>
    <t>软包云朵茶几 / 黑色/ 130cm长</t>
  </si>
  <si>
    <t>199对棱花架</t>
  </si>
  <si>
    <t>对棱花架/ 奶白支架/ 雪山白岩板</t>
  </si>
  <si>
    <t>65. 5*9. 5*32. 5</t>
  </si>
  <si>
    <t>2. 53</t>
  </si>
  <si>
    <t>33. 5</t>
  </si>
  <si>
    <t>】199对棱花架-详情图</t>
  </si>
  <si>
    <t>ht t ps : / / kdo cs . cn/ l / cqH 9r 2l 0Es VX</t>
  </si>
  <si>
    <t>【WPS 云文档】 199 对棱花架-买家秀</t>
  </si>
  <si>
    <t>. cn/ l / cpGWwPK 6MPgs</t>
  </si>
  <si>
    <t>对棱花架/ 黑色支架/ 劳伦黑岩板</t>
  </si>
  <si>
    <t>铁-光明、</t>
  </si>
  <si>
    <t>岩板拓航</t>
  </si>
  <si>
    <t>对棱花架/ 金色支架/ 雪山白岩板</t>
  </si>
  <si>
    <t>198三戟花架</t>
  </si>
  <si>
    <t>三戟花架/ 奶白支架/ 雪山白岩板</t>
  </si>
  <si>
    <t>20. 5</t>
  </si>
  <si>
    <t>33. 0</t>
  </si>
  <si>
    <t>】198三戟花架-详情页</t>
  </si>
  <si>
    <t>ht t ps : / / kdo cs . cn/ l / ct F 2upLg LDo T</t>
  </si>
  <si>
    <t>【WPS 云文档】 198 三戟花架-买家秀</t>
  </si>
  <si>
    <t>. cn/ l / ce 0ef LB et uhD</t>
  </si>
  <si>
    <t>三戟花架/ 黑色支架/ 劳伦黑岩板</t>
  </si>
  <si>
    <t>三戟花架/ 金色支架/ 雪山白岩板</t>
  </si>
  <si>
    <t>197 机器置物架</t>
  </si>
  <si>
    <t>机器置物架/ 奶白</t>
  </si>
  <si>
    <t>114*7*58</t>
  </si>
  <si>
    <t>8. 6</t>
  </si>
  <si>
    <t>5. 79</t>
  </si>
  <si>
    <t>104. 5</t>
  </si>
  <si>
    <t>134. 5</t>
  </si>
  <si>
    <t>】197机器置物架-详情页 ht t ps : / / kdo cs . cn/ l / cmJ 9a 7t PbVYb</t>
  </si>
  <si>
    <t>【WPS 云文档】 197机器置物架</t>
  </si>
  <si>
    <t>. cn/ l / cb7Q55D 5T9MD</t>
  </si>
  <si>
    <t>【WPS云文档】 197 机器置物架-包装图</t>
  </si>
  <si>
    <t>docs . cn/ l / cj x ChX0Pi bkP</t>
  </si>
  <si>
    <t>机器置物架/ 黑色</t>
  </si>
  <si>
    <t>196 贝托衣帽架</t>
  </si>
  <si>
    <t>（100 个起批）</t>
  </si>
  <si>
    <t>贝托衣帽架/ 白石纹玻璃/ 奶白杆（停）</t>
  </si>
  <si>
    <t>54*8. 5*32. 5</t>
  </si>
  <si>
    <t>1. 86</t>
  </si>
  <si>
    <t>55. 0</t>
  </si>
  <si>
    <t>】196贝托衣帽架-详情页 ht t ps : / / kdo cs . cn/ l / cum YMj pxa FUC</t>
  </si>
  <si>
    <t>【WPS 云文档】 196贝托衣帽架</t>
  </si>
  <si>
    <t>. cn/ l / ca O5t j 8 Bo Oz v</t>
  </si>
  <si>
    <t>淘宝：鑫炜 拼多多： 周澄京东：杨晨</t>
  </si>
  <si>
    <t>贝托衣帽架/ 黑石纹玻璃/ 黑色杆（停）</t>
  </si>
  <si>
    <t>贝托衣帽架/ 黑石纹玻璃/ 金色杆（停）</t>
  </si>
  <si>
    <t>贝托衣帽架/ 白石纹玻璃/ 金色杆（停）</t>
  </si>
  <si>
    <t>195鞋柜隔架</t>
  </si>
  <si>
    <t>鞋柜隔架/ 黑色</t>
  </si>
  <si>
    <t>42*15. 6*2. 2</t>
  </si>
  <si>
    <t>0. 18</t>
  </si>
  <si>
    <t>13. 0</t>
  </si>
  <si>
    <t>】 195鞋柜隔架-详情图 ht t ps : / / kdo cs . cn/ l / cuu ns hht QmOJ</t>
  </si>
  <si>
    <t>【WPS 云文档】 195 鞋柜隔架-买家秀</t>
  </si>
  <si>
    <t>. cn/ l / cg Lt Lq2 Fyi c 6</t>
  </si>
  <si>
    <t>【WPS云文档】 195 鞋柜隔架-包装图</t>
  </si>
  <si>
    <t>ht t ps : / / www. k docs . cn/ l / ca N Baf uEHOj Y</t>
  </si>
  <si>
    <t>鞋柜隔架/ 白色</t>
  </si>
  <si>
    <t>王清萍</t>
  </si>
  <si>
    <t>194太极茶几</t>
  </si>
  <si>
    <t>太极茶几/ 奶白架/ 粉白玻璃</t>
  </si>
  <si>
    <t>51*16*51</t>
  </si>
  <si>
    <t>5. 20</t>
  </si>
  <si>
    <t>118. 0</t>
  </si>
  <si>
    <t>】 194太极茶几-详情图 ht t ps : / / kdo cs . cn/ l / ca R j BCkNndNi</t>
  </si>
  <si>
    <t>【WPS 云文档】 194 太极茶几-买家秀</t>
  </si>
  <si>
    <t>. cn/ l / ct UvbDr FMEuD</t>
  </si>
  <si>
    <t>太极茶几/ 奶白架/ 黑白玻璃</t>
  </si>
  <si>
    <t>太极茶几/ 黑色架/ 粉白玻璃</t>
  </si>
  <si>
    <t>太极茶几/ 黑色架/ 黑白玻璃</t>
  </si>
  <si>
    <t>193双V方几</t>
  </si>
  <si>
    <t>双V方几/ 黑色/ 小桌</t>
  </si>
  <si>
    <t>65. 5*16*45</t>
  </si>
  <si>
    <t>5. 90</t>
  </si>
  <si>
    <t>72. 45</t>
  </si>
  <si>
    <t>5. 00</t>
  </si>
  <si>
    <t>15. 00</t>
  </si>
  <si>
    <t>14. 00</t>
  </si>
  <si>
    <t>106. 4</t>
  </si>
  <si>
    <t>109. 00</t>
  </si>
  <si>
    <t>】193 双V方几-详情页</t>
  </si>
  <si>
    <t>cs . cn/ l / ct N KdE9I z u5R</t>
  </si>
  <si>
    <t>【WPS 云文档】 193双V方几-买家秀</t>
  </si>
  <si>
    <t>. cn/ l / ci VR4r J 4o 3Bv</t>
  </si>
  <si>
    <t>双V方几/ 奶白/ 小桌</t>
  </si>
  <si>
    <t>73. 53</t>
  </si>
  <si>
    <t>107. 5</t>
  </si>
  <si>
    <t>双V方几/ 黑色/ 大桌</t>
  </si>
  <si>
    <t>127. 5*12. 5*67</t>
  </si>
  <si>
    <t>13. 35</t>
  </si>
  <si>
    <t>152. 81</t>
  </si>
  <si>
    <t>10. 00</t>
  </si>
  <si>
    <t>32. 00</t>
  </si>
  <si>
    <t>25. 00</t>
  </si>
  <si>
    <t>219. 8</t>
  </si>
  <si>
    <t>225. 00</t>
  </si>
  <si>
    <t>43. 3</t>
  </si>
  <si>
    <t>双V方几/ 奶白/ 大桌</t>
  </si>
  <si>
    <t>154. 57</t>
  </si>
  <si>
    <t>221. 6</t>
  </si>
  <si>
    <t>192熊猫子母茶几</t>
  </si>
  <si>
    <t>熊猫单茶几/ 白色小桌 50cm</t>
  </si>
  <si>
    <t>52*52*47</t>
  </si>
  <si>
    <t>15. 89</t>
  </si>
  <si>
    <t>205. 0</t>
  </si>
  <si>
    <t>】 192熊猫子母茶几-详情图</t>
  </si>
  <si>
    <t>cs . cn/ l / ct 2 1M7nJ 37z d</t>
  </si>
  <si>
    <t>【WPS 云文档】 192熊猫子母茶几-买家秀</t>
  </si>
  <si>
    <t>. cn/ l / cj Po PHx Pz Bdx</t>
  </si>
  <si>
    <t>熊猫单茶几/ 黑色小桌 50cm</t>
  </si>
  <si>
    <t>熊猫单茶几/ 白色大桌 75cm</t>
  </si>
  <si>
    <t>78*78*41</t>
  </si>
  <si>
    <t>14. 2</t>
  </si>
  <si>
    <t>31. 18</t>
  </si>
  <si>
    <t>熊猫单茶几/ 黑色大桌 75cm</t>
  </si>
  <si>
    <t>熊猫子母茶几/ 白色大桌 75cm/ 白色小桌 50cm</t>
  </si>
  <si>
    <t>52*52*47+78*78*41</t>
  </si>
  <si>
    <t>22. 2</t>
  </si>
  <si>
    <t>47. 07</t>
  </si>
  <si>
    <t>500. 0</t>
  </si>
  <si>
    <t>熊猫子母茶几/ 黑色大桌 75cm/ 黑色小桌 50cm</t>
  </si>
  <si>
    <t>熊猫子母茶几/ 白色大桌 75cm/ 黑色小桌 50cm</t>
  </si>
  <si>
    <t>熊猫子母茶几/ 黑色大桌 75cm/ 白色小桌 50cm</t>
  </si>
  <si>
    <t>191 焕新衣帽架</t>
  </si>
  <si>
    <t>焕新衣帽架/ 白色大理石/ 白色树枝</t>
  </si>
  <si>
    <t>1. 16</t>
  </si>
  <si>
    <t>25. 3</t>
  </si>
  <si>
    <t>32. 9</t>
  </si>
  <si>
    <t>】 191焕新衣帽架-详情图</t>
  </si>
  <si>
    <t>ht t ps : / / kdo cs . cn/ l / cs l CJ e 6bubpr</t>
  </si>
  <si>
    <t>【WPS 云文档】 191焕新衣帽架</t>
  </si>
  <si>
    <t>. cn/ l / cl e 0bFY 747J S</t>
  </si>
  <si>
    <t>淘宝：同杰 拼多多： 周澄京东：杨晨</t>
  </si>
  <si>
    <t>焕新衣帽架/ 白色大理石/ 金色树枝</t>
  </si>
  <si>
    <t>焕新衣帽架/ 黑色大理石/ 黑色树枝</t>
  </si>
  <si>
    <t>焕新衣帽架/ 黑色大理石/ 金色树枝</t>
  </si>
  <si>
    <t>190双影花架</t>
  </si>
  <si>
    <t>双影花架/ 奶白</t>
  </si>
  <si>
    <t>78*6*26. 5</t>
  </si>
  <si>
    <t>1. 55</t>
  </si>
  <si>
    <t>43. 5</t>
  </si>
  <si>
    <t>】190双影花架-详情图</t>
  </si>
  <si>
    <t>ht t ps : / / kdo cs . cn/ l / cgw 5dHUc EMj L</t>
  </si>
  <si>
    <t>【WPS 云文档】 190 双影花架-买家秀</t>
  </si>
  <si>
    <t>. cn/ l / ckal 2of YYv Hm</t>
  </si>
  <si>
    <t>淘宝：诗琪 拼多多： 周澄京东：杨晨</t>
  </si>
  <si>
    <t>双影花架/ 黑色</t>
  </si>
  <si>
    <t>双影花架/ 金色</t>
  </si>
  <si>
    <t>189合叶花架</t>
  </si>
  <si>
    <t>合叶花架/ 奶白</t>
  </si>
  <si>
    <t>73. 5*7. 5*26. 5</t>
  </si>
  <si>
    <t>1. 83</t>
  </si>
  <si>
    <t>40. 0</t>
  </si>
  <si>
    <t>】189合叶花架-详情页</t>
  </si>
  <si>
    <t>ht t ps : / / kdo cs . cn/ l / cs O Lx Oh8BqEP</t>
  </si>
  <si>
    <t>【WPS 云文档】 189 合叶花架-买家秀</t>
  </si>
  <si>
    <t>. cn/ l / ckz EHZ5 dCi cq</t>
  </si>
  <si>
    <t>合叶花架/ 黑色</t>
  </si>
  <si>
    <t>合叶花架/ 金色</t>
  </si>
  <si>
    <t>188 夹缝置物架</t>
  </si>
  <si>
    <t>夹缝置物架 / 3层/ 奶白</t>
  </si>
  <si>
    <t>41*21*63</t>
  </si>
  <si>
    <t>6. 78</t>
  </si>
  <si>
    <t>50. 58</t>
  </si>
  <si>
    <t>69. 6</t>
  </si>
  <si>
    <t>-119. 0</t>
  </si>
  <si>
    <t>】188夹缝置物架-详情图 ht t ps : / / kdo cs . cn/ l / ct 4 FkG6H7Ay P</t>
  </si>
  <si>
    <t>【WPS 云文档】 188夹缝置物架</t>
  </si>
  <si>
    <t>. cn/ l / cqv 7Rhk J H7s a</t>
  </si>
  <si>
    <t>淘宝：诗琪 拼多多： 周澄</t>
  </si>
  <si>
    <t>京东：暂不限制</t>
  </si>
  <si>
    <t>夹缝置物架 / 3层/ 黑色</t>
  </si>
  <si>
    <t>49. 65</t>
  </si>
  <si>
    <t>68. 7</t>
  </si>
  <si>
    <t>197. 1</t>
  </si>
  <si>
    <t>夹缝置物架 / 3层/ 金色</t>
  </si>
  <si>
    <t>54. 3</t>
  </si>
  <si>
    <t>73. 3</t>
  </si>
  <si>
    <t>44. 1</t>
  </si>
  <si>
    <t>夹缝置物架 / 5层/ 奶白</t>
  </si>
  <si>
    <t>41*21*108. 5</t>
  </si>
  <si>
    <t>60. 0</t>
  </si>
  <si>
    <t>夹缝置物架 / 5层/ 黑色</t>
  </si>
  <si>
    <t>86. 5</t>
  </si>
  <si>
    <t>116. 5</t>
  </si>
  <si>
    <t>34. 3</t>
  </si>
  <si>
    <t>夹缝置物架 / 5层/ 金色</t>
  </si>
  <si>
    <t>124. 0</t>
  </si>
  <si>
    <t>187 立枝衣帽架</t>
  </si>
  <si>
    <t>立枝衣帽架/ 白石纹玻璃/ 奶白杆</t>
  </si>
  <si>
    <t>57*8*33</t>
  </si>
  <si>
    <t>1. 88</t>
  </si>
  <si>
    <t>】187立枝衣帽架-详情图 ht t ps : / / kdo cs . cn/ l / ces qj 4et J nkv</t>
  </si>
  <si>
    <t>【WPS 云文档】 187立枝衣帽架</t>
  </si>
  <si>
    <t>. cn/ l / chr qCKE 2cqyk</t>
  </si>
  <si>
    <t>淘宝：同杰 拼多多： 鑫炜</t>
  </si>
  <si>
    <t>立枝衣帽架/ 黑石纹玻璃/ 黑色杆</t>
  </si>
  <si>
    <t>立枝衣帽架/ 黑石纹玻璃/ 金色杆</t>
  </si>
  <si>
    <t>立枝衣帽架/ 白石纹玻璃/ 金色杆</t>
  </si>
  <si>
    <t>186 绿末纸巾架</t>
  </si>
  <si>
    <t>绿末纸巾架/ 奶白支架/ 白色大理石</t>
  </si>
  <si>
    <t>36. 5*5. 5*24. 5</t>
  </si>
  <si>
    <t>0. 61</t>
  </si>
  <si>
    <t>12. 3</t>
  </si>
  <si>
    <t>】186绿末纸巾架-详情图 ht t ps : / / kdo cs . cn/ l / cc W t TNRuu54j</t>
  </si>
  <si>
    <t>【WPS 云文档】 186绿末纸巾架</t>
  </si>
  <si>
    <t>. cn/ l / ca QWLI C ckz 8A</t>
  </si>
  <si>
    <t>【WPS云文档】 186 绿末纸巾架-包装图</t>
  </si>
  <si>
    <t>ht t ps : / / www. k docs . cn/ l / cc G j 3dS9r 9y W</t>
  </si>
  <si>
    <t>绿末纸巾架/ 黑色支架/ 黑色大理石</t>
  </si>
  <si>
    <t>12. 8</t>
  </si>
  <si>
    <t>绿末纸巾架/ 金色支架/ 白色大理石</t>
  </si>
  <si>
    <t>绿末纸巾架/ 金色支架/ 黑色大理石</t>
  </si>
  <si>
    <t>185踏青鞋架</t>
  </si>
  <si>
    <t>踏青鞋架/ 奶白</t>
  </si>
  <si>
    <t>94*8. 5*32</t>
  </si>
  <si>
    <t>3. 20</t>
  </si>
  <si>
    <t>65. 0</t>
  </si>
  <si>
    <t>】185踏青鞋架-详情图</t>
  </si>
  <si>
    <t>cs . cn/ l / cuM 4Ui 7nl QXE</t>
  </si>
  <si>
    <t>【WPS 云文档】 185 踏青鞋架-买家秀</t>
  </si>
  <si>
    <t>. cn/ l / cmxooe 5 Cf HEX</t>
  </si>
  <si>
    <t>【WPS云文档】 185 踏青鞋架-包装图</t>
  </si>
  <si>
    <t>docs . cn/ l / cg 2 j f f uV5Ndv</t>
  </si>
  <si>
    <t>踏青鞋架/ 黑色</t>
  </si>
  <si>
    <t>踏青鞋架/ 金色</t>
  </si>
  <si>
    <t>184幻竞方桌</t>
  </si>
  <si>
    <t>幻竞方桌/ 白架/ 亚光白玻/ 长100cm</t>
  </si>
  <si>
    <t>108*15*57. 5</t>
  </si>
  <si>
    <t>11. 64</t>
  </si>
  <si>
    <t>8. 52</t>
  </si>
  <si>
    <t>225. 5</t>
  </si>
  <si>
    <t>】 184幻竞方桌-详情图 ht t ps : / / kdo cs . cn/ l / cc R e Fes j xwc W</t>
  </si>
  <si>
    <t>【WPS 云文档】 184 幻竞方桌-买家秀</t>
  </si>
  <si>
    <t>. cn/ l / cj e 4kZ1 Ryj TK</t>
  </si>
  <si>
    <t>淘宝：周澄 拼多多： 周澄京东：诗琪</t>
  </si>
  <si>
    <t>幻竞方桌/ 黑架/ 亚光黑玻/ 长100cm</t>
  </si>
  <si>
    <t>幻竞方桌/ 白架/ 亚光白玻/ 长120cm</t>
  </si>
  <si>
    <t>128*15*67. 5</t>
  </si>
  <si>
    <t>16. 20</t>
  </si>
  <si>
    <t>10. 95</t>
  </si>
  <si>
    <t>271. 0</t>
  </si>
  <si>
    <t>幻竞方桌/ 黑架/ 亚光黑玻/ 长120cm</t>
  </si>
  <si>
    <t>幻竞方桌/ 白架/ 亚光白玻/ 长140cm</t>
  </si>
  <si>
    <t>148*15*77. 5</t>
  </si>
  <si>
    <t>21. 51</t>
  </si>
  <si>
    <t>13. 68</t>
  </si>
  <si>
    <t>317. 7</t>
  </si>
  <si>
    <t>幻竞方桌/ 黑架/ 亚光黑玻/ 长140cm</t>
  </si>
  <si>
    <t>183简合桌椅</t>
  </si>
  <si>
    <t>简合桌椅/ 1桌2椅/ 黑色</t>
  </si>
  <si>
    <t>66*66*22</t>
  </si>
  <si>
    <t>11. 98</t>
  </si>
  <si>
    <t>207. 5</t>
  </si>
  <si>
    <t>】 183简合桌椅-详情图 ht t ps : / / kdo cs . cn/ l / ce Q t t yl uYo AH</t>
  </si>
  <si>
    <t>【WPS 云文档】 183 简合桌椅-买家秀</t>
  </si>
  <si>
    <t>. cn/ l / cbMB16S l 7i b5</t>
  </si>
  <si>
    <t>淘宝：诗琪 拼多多： 鑫炜</t>
  </si>
  <si>
    <t>简合桌椅/ 1桌2椅/ 奶白</t>
  </si>
  <si>
    <t>芒果茶几/ 白色柜/ 熊猫玻璃/ 100cm</t>
  </si>
  <si>
    <t>106*56*40</t>
  </si>
  <si>
    <t>29. 68</t>
  </si>
  <si>
    <t>256. 5</t>
  </si>
  <si>
    <t>359. 5</t>
  </si>
  <si>
    <t>芒果茶几/ 白色柜/ 幽梦玻璃/ 100cm</t>
  </si>
  <si>
    <t>芒果茶几/ 黑色柜/ 熊猫玻璃/ 100cm</t>
  </si>
  <si>
    <t>芒果茶几/ 黑色柜/ 幽梦玻璃/ 100cm</t>
  </si>
  <si>
    <t>芒果茶几/ 白色柜/ 熊猫玻璃/ 120cm</t>
  </si>
  <si>
    <t>芒果茶几/ 白色柜/ 幽梦玻璃/ 120cm</t>
  </si>
  <si>
    <t>128*66*40</t>
  </si>
  <si>
    <t>29             42. 24</t>
  </si>
  <si>
    <t>20        75</t>
  </si>
  <si>
    <t>40       451. 0</t>
  </si>
  <si>
    <t>182芒果茶几</t>
  </si>
  <si>
    <t>芒果茶几/ 黑色柜/ 熊猫玻璃/ 120cm</t>
  </si>
  <si>
    <t>】 182芒果茶几-详情图 ht t ps : / / kdo cs . cn/ l / cbO Rj Sbz XxhQ</t>
  </si>
  <si>
    <t>【WPS 云文档】 182 芒果茶几-买家秀</t>
  </si>
  <si>
    <t>. cn/ l / cdJ wqkD 5KJ 8T</t>
  </si>
  <si>
    <t>淘宝： 同杰拼多多：鑫炜京东： 杨晨</t>
  </si>
  <si>
    <t>芒果茶几/ 黑色柜/ 幽梦玻璃/ 120cm</t>
  </si>
  <si>
    <t>芒果茶几/ 白柜/ 熊猫玻/ 100cm+ 云柱圆几/ 白柱/ 灰玻</t>
  </si>
  <si>
    <t>芒果茶几 100cm+云柱小圆几（具体见上下表 ）</t>
  </si>
  <si>
    <t>22kg+4. 5kg+5. 8k g</t>
  </si>
  <si>
    <t>39. 424875</t>
  </si>
  <si>
    <t>462. 0</t>
  </si>
  <si>
    <t>芒果茶几/ 白柜/ 幽梦玻/ 100cm+ 云柱圆几/ 白柱/ 灰玻</t>
  </si>
  <si>
    <t>芒果茶几/ 黑柜/ 熊猫玻/ 100cm+ 云柱圆几/ 黑柱/ 灰玻</t>
  </si>
  <si>
    <t>芒果茶几/ 黑柜/ 幽梦玻/ 100cm+ 云柱圆几/ 黑柱/ 灰玻</t>
  </si>
  <si>
    <t>芒果茶几/ 白柜/ 熊猫玻/ 120cm+ 云柱圆几/ 白柱/ 灰玻</t>
  </si>
  <si>
    <t>芒果茶几 120cm+云柱小圆几（具体见上下表 ）</t>
  </si>
  <si>
    <t>29kg+4. 5kg+5. 8k g</t>
  </si>
  <si>
    <t>52. 462875</t>
  </si>
  <si>
    <t>376. 5</t>
  </si>
  <si>
    <t>549. 5</t>
  </si>
  <si>
    <t>芒果茶几/ 白柜/ 幽梦玻/ 120cm+ 云柱圆几/ 白柱/ 灰玻</t>
  </si>
  <si>
    <t>芒果茶几/ 黑柜/ 熊猫玻/ 120cm+ 云柱圆几/ 黑柱/ 灰玻</t>
  </si>
  <si>
    <t>芒果茶几/ 黑柜/ 幽梦玻/ 120cm+ 云柱圆几/ 黑柱/ 灰玻</t>
  </si>
  <si>
    <t>181 云柱小圆几</t>
  </si>
  <si>
    <t>云柱小圆几/ 奶白柱/ 灰色玻璃</t>
  </si>
  <si>
    <t>桌脚：29*29*43. 5 ；桌面：65*5. 5*65</t>
  </si>
  <si>
    <t>5. 5+桌面5. 8kg</t>
  </si>
  <si>
    <t>7. 477625</t>
  </si>
  <si>
    <t>60. 5</t>
  </si>
  <si>
    <t>】181云柱小圆几-详情图 ht t ps : / / kdo cs . cn/ l / cc 2 r i e 1x I a Vy</t>
  </si>
  <si>
    <t>【WPS 云文档】 181云柱小圆几</t>
  </si>
  <si>
    <t>. cn/ l / cbXnbRn KREdG</t>
  </si>
  <si>
    <t>云柱小圆几/ 黑色柱/ 灰色玻璃</t>
  </si>
  <si>
    <t>云柱小圆几/ 黑色柱/ 亚光黑玻</t>
  </si>
  <si>
    <t>91. 5</t>
  </si>
  <si>
    <t>云柱小圆几/ 奶白柱/ 亚光白玻</t>
  </si>
  <si>
    <t>180旋梯花架</t>
  </si>
  <si>
    <t>旋梯花架/ 奶白</t>
  </si>
  <si>
    <t>86. 5*29*5</t>
  </si>
  <si>
    <t>1. 57</t>
  </si>
  <si>
    <t>34. 96</t>
  </si>
  <si>
    <t>46. 0</t>
  </si>
  <si>
    <t>】180旋梯花架-详情图</t>
  </si>
  <si>
    <t>ht t ps : / / kdo cs . cn/ l / cu0 38DqI Z5c B</t>
  </si>
  <si>
    <t>【WPS 云文档】 180 旋梯花架-买家秀</t>
  </si>
  <si>
    <t>. cn/ l / ca Uz MED l r Ou3</t>
  </si>
  <si>
    <t>淘宝：同杰 拼多多： 鑫炜京东：诗琪</t>
  </si>
  <si>
    <t>旋梯花架/ 黑色</t>
  </si>
  <si>
    <t>45. 3</t>
  </si>
  <si>
    <t>旋梯花架/ 金色</t>
  </si>
  <si>
    <t>37. 6</t>
  </si>
  <si>
    <t>48. 6</t>
  </si>
  <si>
    <t>179浮双花架</t>
  </si>
  <si>
    <t>浮双花架/ 奶白支架/ 雪山白岩板</t>
  </si>
  <si>
    <t>69*8*33</t>
  </si>
  <si>
    <t>2. 28</t>
  </si>
  <si>
    <t>18. 24</t>
  </si>
  <si>
    <t>29. 7</t>
  </si>
  <si>
    <t>】179浮双花架-详情图</t>
  </si>
  <si>
    <t>cs . cn/ l / ce F Vl 6UWPOVU</t>
  </si>
  <si>
    <t>【WPS 云文档】 179 浮双花架-买家秀</t>
  </si>
  <si>
    <t>. cn/ l / cg Sr j xo AGM2j</t>
  </si>
  <si>
    <t>淘宝：同杰 拼多多： 周澄京东：诗琪</t>
  </si>
  <si>
    <t>浮双花架/ 黑色支架/ 劳伦黑岩板</t>
  </si>
  <si>
    <t>29. 2</t>
  </si>
  <si>
    <t>浮双花架/ 金色支架/ 雪山白岩板</t>
  </si>
  <si>
    <t>20. 4</t>
  </si>
  <si>
    <t>31. 9</t>
  </si>
  <si>
    <t>178 螃蟹椅</t>
  </si>
  <si>
    <t>螃蟹椅/ 橙色</t>
  </si>
  <si>
    <t>350. 0</t>
  </si>
  <si>
    <t>9. 8</t>
  </si>
  <si>
    <t>】178螃蟹椅</t>
  </si>
  <si>
    <t>-详情</t>
  </si>
  <si>
    <t>ht t ps : / / kdo cs . cn/ l / cj 1 t uC9z s kTD</t>
  </si>
  <si>
    <t>【WPS 云文档】 178 螃蟹椅-买家秀</t>
  </si>
  <si>
    <t>. cn/ l / cdCco 8k u9SCk</t>
  </si>
  <si>
    <t>螃蟹椅/ 咖色</t>
  </si>
  <si>
    <t>螃蟹椅/ 绿色</t>
  </si>
  <si>
    <t>177 随行全身镜</t>
  </si>
  <si>
    <t>随行全身镜/ 奶白</t>
  </si>
  <si>
    <t>157. 5*52. 5*13. 5</t>
  </si>
  <si>
    <t>17. 5</t>
  </si>
  <si>
    <t>13. 95</t>
  </si>
  <si>
    <t>122. 06</t>
  </si>
  <si>
    <t>190. 1</t>
  </si>
  <si>
    <t>-3166. 7</t>
  </si>
  <si>
    <t>】177随行全身镜-详情图 ht t ps : / / kdo cs . cn/ l / cuo 6e Bvaa PMh</t>
  </si>
  <si>
    <t>【WPS 云文档】 177随行全身镜</t>
  </si>
  <si>
    <t>. cn/ l / cg N1LPj 9j RPa</t>
  </si>
  <si>
    <t>淘宝：诗琪 拼多多： 鑫炜京东：杨晨</t>
  </si>
  <si>
    <t>随行全身镜/ 黑色</t>
  </si>
  <si>
    <t>120. 05</t>
  </si>
  <si>
    <t>188. 1</t>
  </si>
  <si>
    <t>97. 4</t>
  </si>
  <si>
    <t>176 柱底小边几</t>
  </si>
  <si>
    <t>柱底小边几 / 橙皮玻璃</t>
  </si>
  <si>
    <t>43. 5*43. 5*36. 5</t>
  </si>
  <si>
    <t>8. 63</t>
  </si>
  <si>
    <t>106. 5</t>
  </si>
  <si>
    <t>43. 6</t>
  </si>
  <si>
    <t>】176柱底小边几-详情图 ht t ps : / / kdo cs . cn/ l / cr v Moyc S7c YZ</t>
  </si>
  <si>
    <t>【WPS 云文档】 176柱边小边几</t>
  </si>
  <si>
    <t>. cn/ l / ccz KS0t 1u5R8</t>
  </si>
  <si>
    <t>【WPS云文档】 176 柱底小边几-包装图</t>
  </si>
  <si>
    <t>ht t ps : / / www. k docs . cn/ l / cp5 t 5YpPj d1u</t>
  </si>
  <si>
    <t>柱底小边几 / 白皮玻璃</t>
  </si>
  <si>
    <t>175 云栖衣帽架</t>
  </si>
  <si>
    <t>云栖衣帽架/ 奶白</t>
  </si>
  <si>
    <t>82*28. 5*18</t>
  </si>
  <si>
    <t>5. O</t>
  </si>
  <si>
    <t>5. 26</t>
  </si>
  <si>
    <t>42. 6</t>
  </si>
  <si>
    <t>8. 9</t>
  </si>
  <si>
    <t>】175云栖衣帽架-详情图 ht t ps : / / kdo cs . cn/ l / ci 0 xhXr bJ Ej P</t>
  </si>
  <si>
    <t>【WPS 云文档】 175云栖衣帽架</t>
  </si>
  <si>
    <t>. cn/ l / cr g 4i s z h3y I Z</t>
  </si>
  <si>
    <t>云栖衣帽架/ 黑色</t>
  </si>
  <si>
    <t>云栖衣帽架/ 金色</t>
  </si>
  <si>
    <t>174 清新全身镜</t>
  </si>
  <si>
    <t>清新全身镜 / 奶白曲叶</t>
  </si>
  <si>
    <t>172*14. 5*45</t>
  </si>
  <si>
    <t>15. 2</t>
  </si>
  <si>
    <t>14. 03</t>
  </si>
  <si>
    <t>137. 12</t>
  </si>
  <si>
    <t>209. 1</t>
  </si>
  <si>
    <t>】174清新全身镜-详情图 ht t ps : / / kdo cs . cn/ l / cgv VMwBf f G3L</t>
  </si>
  <si>
    <t>【WPS 云文档】 174清新全身镜</t>
  </si>
  <si>
    <t>. cn/ l / cnj N1HN Yf 4Ag</t>
  </si>
  <si>
    <t>清新全身镜 / 黑色曲叶</t>
  </si>
  <si>
    <t>136. 1</t>
  </si>
  <si>
    <t>208. 1</t>
  </si>
  <si>
    <t>清新全身镜 / 金色曲叶</t>
  </si>
  <si>
    <t>141. 2</t>
  </si>
  <si>
    <t>213. 2</t>
  </si>
  <si>
    <t>173微笑沙发</t>
  </si>
  <si>
    <t>微笑沙发/ 米白色羊羔绒</t>
  </si>
  <si>
    <t>82*63*77</t>
  </si>
  <si>
    <t>11. 4</t>
  </si>
  <si>
    <t>49. 72</t>
  </si>
  <si>
    <t>285. 0</t>
  </si>
  <si>
    <t>】173微笑椅</t>
  </si>
  <si>
    <t>/ chPvy 2t na W I I</t>
  </si>
  <si>
    <t>【WPS 云文档】 173 微笑沙发-买家秀</t>
  </si>
  <si>
    <t>. cn/ l / ckWN2f g 1r Uen</t>
  </si>
  <si>
    <t>172忆饰边几</t>
  </si>
  <si>
    <t>忆饰边几/ 茶色玻璃</t>
  </si>
  <si>
    <t>61. 5*53*6cm</t>
  </si>
  <si>
    <t>3. 9kg</t>
  </si>
  <si>
    <t>3. 465</t>
  </si>
  <si>
    <t>各平台不要乱价------</t>
  </si>
  <si>
    <t>】172忆饰边几-详情图</t>
  </si>
  <si>
    <t>cs . cn/ l / ca P h7L3ZPl Sa</t>
  </si>
  <si>
    <t>【WPS 云文档】 172 忆饰边几-买家秀</t>
  </si>
  <si>
    <t>. cn/ l / cf UFOuo AXHYO</t>
  </si>
  <si>
    <t>忆饰边几/ 灰色玻璃</t>
  </si>
  <si>
    <t>171 箱包衣帽架</t>
  </si>
  <si>
    <t>箱包衣帽架/ 奶白架/ 60cm</t>
  </si>
  <si>
    <t>66*36. 5*44. 5</t>
  </si>
  <si>
    <t>8kg</t>
  </si>
  <si>
    <t>14. 858</t>
  </si>
  <si>
    <t>140. 5</t>
  </si>
  <si>
    <t>-280. 0</t>
  </si>
  <si>
    <t>】171箱包衣帽架-详情图 ht t ps : / / kdo cs . cn/ l / chS Dge I ho Gp4</t>
  </si>
  <si>
    <t>【WPS云文档 171箱包衣帽架</t>
  </si>
  <si>
    <t>. cn/ l / cdl 87r m J 2bVj</t>
  </si>
  <si>
    <t>淘宝：鑫炜 拼多多： 周澄</t>
  </si>
  <si>
    <t>170异形茶几</t>
  </si>
  <si>
    <t>异形茶几/ 奶白架/ 原木色玻璃</t>
  </si>
  <si>
    <t>129*69. 5*46. 5</t>
  </si>
  <si>
    <t>33kg</t>
  </si>
  <si>
    <t>91. 1498</t>
  </si>
  <si>
    <t>321. 6</t>
  </si>
  <si>
    <t>462. 6</t>
  </si>
  <si>
    <t>】170异形茶几-详情图</t>
  </si>
  <si>
    <t>ht t ps : / / kdo cs . cn/ l / cr Z 3YEgz v 8SX</t>
  </si>
  <si>
    <t>【WPS 云文档】 170 异形茶几-买家秀</t>
  </si>
  <si>
    <t>. cn/ l / cl Egcpf 89f 3Z</t>
  </si>
  <si>
    <t>异形茶几/ 黑色架/ 胡桃色玻璃</t>
  </si>
  <si>
    <t>323. 52</t>
  </si>
  <si>
    <t>464. 5</t>
  </si>
  <si>
    <t>169简学方桌</t>
  </si>
  <si>
    <t>简学方桌/ 白脚/ 亚光白玻/ 80*40cm</t>
  </si>
  <si>
    <t>88*12*53. 5</t>
  </si>
  <si>
    <t>10kg</t>
  </si>
  <si>
    <t>7. 7175</t>
  </si>
  <si>
    <t>67. 3</t>
  </si>
  <si>
    <t>100. 3</t>
  </si>
  <si>
    <t>】169简学方桌-详情图</t>
  </si>
  <si>
    <t>ht t ps : / / kdo cs . cn/ l / co Y LNz w5Hwpf</t>
  </si>
  <si>
    <t>【WPS 云文档】 169 简学方桌-买家秀</t>
  </si>
  <si>
    <t>. cn/ l / cb0auXB PJ DHT</t>
  </si>
  <si>
    <t>简学方桌/ 黑脚/ 亚光黑玻/ 80*40cm</t>
  </si>
  <si>
    <t>简学方桌/ 白脚/ 亚光白玻/ 100*50cm</t>
  </si>
  <si>
    <t>108*12*57. 5</t>
  </si>
  <si>
    <t>12kg</t>
  </si>
  <si>
    <t>11. 3575</t>
  </si>
  <si>
    <t>82. 75</t>
  </si>
  <si>
    <t>12. 87</t>
  </si>
  <si>
    <t>122. 6</t>
  </si>
  <si>
    <t>简学方桌/ 黑脚/ 亚光黑玻/ 100*50cm</t>
  </si>
  <si>
    <t>简学方桌/ 白脚/ 亚光白玻/ 120*60cm</t>
  </si>
  <si>
    <t>128*12*67. 5</t>
  </si>
  <si>
    <t>15kg</t>
  </si>
  <si>
    <t>15. 6975</t>
  </si>
  <si>
    <t>104. 8</t>
  </si>
  <si>
    <t>17. 26</t>
  </si>
  <si>
    <t>152. 1</t>
  </si>
  <si>
    <t>简学方桌/ 黑脚/ 亚光黑玻/ 120*60cm</t>
  </si>
  <si>
    <t>简学方桌/ 白脚/ 亚光白玻/ 140*70cm</t>
  </si>
  <si>
    <t>148*12*77. 5</t>
  </si>
  <si>
    <t>20. 7375</t>
  </si>
  <si>
    <t>125. 25</t>
  </si>
  <si>
    <t>22. 3</t>
  </si>
  <si>
    <t>185. 6</t>
  </si>
  <si>
    <t>简学方桌/ 黑脚/ 亚光黑玻/ 140*70cm</t>
  </si>
  <si>
    <t>168 箱包床头柜</t>
  </si>
  <si>
    <t>46*45*20. 5cm</t>
  </si>
  <si>
    <t>6. 204</t>
  </si>
  <si>
    <t>89. 5</t>
  </si>
  <si>
    <t>4. 67</t>
  </si>
  <si>
    <t>126. 2</t>
  </si>
  <si>
    <t>】168箱包床头柜-详情图 ht t ps : / / kdo cs . cn/ l / cr D hqs g Wl TQe</t>
  </si>
  <si>
    <t>【WPS 云文档】 168箱包床头柜</t>
  </si>
  <si>
    <t>. cn/ l / ckV1Vwc 4MXJ j</t>
  </si>
  <si>
    <t>箱包化妆桌 / 60cm</t>
  </si>
  <si>
    <t>柜体：65*20*44cm桌脚：15*9*65cm</t>
  </si>
  <si>
    <t>柜体：9. 5kg  桌脚：2. 5kg</t>
  </si>
  <si>
    <t>9. 80</t>
  </si>
  <si>
    <t>115. 67</t>
  </si>
  <si>
    <t>5. 19</t>
  </si>
  <si>
    <t>箱包化妆桌 / 72cm</t>
  </si>
  <si>
    <t>柜体：77*20*44cm桌脚：15*9*65cm</t>
  </si>
  <si>
    <t>柜体：10. 5kg 桌脚：2. 5kg</t>
  </si>
  <si>
    <t>11. 31</t>
  </si>
  <si>
    <t>134. 6</t>
  </si>
  <si>
    <t>5. 78</t>
  </si>
  <si>
    <t>173. 4</t>
  </si>
  <si>
    <t>167 箱包化妆桌</t>
  </si>
  <si>
    <t>箱包化妆桌/ 100cm</t>
  </si>
  <si>
    <t>柜体：105*20*44cm桌脚：15*9*65cm</t>
  </si>
  <si>
    <t>柜体：16kg   桌脚：2. 5kg</t>
  </si>
  <si>
    <t>14. 86</t>
  </si>
  <si>
    <t>182. 87</t>
  </si>
  <si>
    <t>7. 15</t>
  </si>
  <si>
    <t>232. 0</t>
  </si>
  <si>
    <t>】167箱包化妆桌-详情图 ht t ps : / / kdo cs . cn/ l / cs 1 x 3NKDyf 0S</t>
  </si>
  <si>
    <t>【WPS 云文档】 167箱包化妆桌</t>
  </si>
  <si>
    <t>. cn/ l / cc 6L5qp O3l ZN</t>
  </si>
  <si>
    <t>134. 81</t>
  </si>
  <si>
    <t>箱包化妆桌/ 60cm+甜甜圈椅/ 白绒</t>
  </si>
  <si>
    <t>甜甜圈椅： 42*39*15cm</t>
  </si>
  <si>
    <t>甜甜圈椅：5. 3kg</t>
  </si>
  <si>
    <t>/ 9. 5+2. 5+5. 3=18</t>
  </si>
  <si>
    <t>kg</t>
  </si>
  <si>
    <t>13. 24</t>
  </si>
  <si>
    <t>197. 61</t>
  </si>
  <si>
    <t>234. 8</t>
  </si>
  <si>
    <t>箱包化妆桌 72cm+甜甜圈椅/ 白绒</t>
  </si>
  <si>
    <t>/ 10. 5+2. 5+5. 3=1</t>
  </si>
  <si>
    <t>9kg</t>
  </si>
  <si>
    <t>14. 75</t>
  </si>
  <si>
    <t>216. 54</t>
  </si>
  <si>
    <t>255. 3</t>
  </si>
  <si>
    <t>箱包化妆桌 / 100cm+甜甜圈椅/ 白绒</t>
  </si>
  <si>
    <t>/ 16+2. 5+5. 3=24k</t>
  </si>
  <si>
    <t>g</t>
  </si>
  <si>
    <t>18. 30</t>
  </si>
  <si>
    <t>264. 81</t>
  </si>
  <si>
    <t>314. 0</t>
  </si>
  <si>
    <t>箱包化妆桌/ 60cm+云朵镜</t>
  </si>
  <si>
    <t>云朵镜：</t>
  </si>
  <si>
    <t>49. 5*7. 5*59cm</t>
  </si>
  <si>
    <t>云朵镜：2. 75kg</t>
  </si>
  <si>
    <t>/ 9. 5+2. 5+2. 75=1</t>
  </si>
  <si>
    <t>6kg</t>
  </si>
  <si>
    <t>156. 67</t>
  </si>
  <si>
    <t>193. 9</t>
  </si>
  <si>
    <t>箱包化妆桌/ 72cm+云朵镜</t>
  </si>
  <si>
    <t>/ 10. 5+2. 5+2. 75=</t>
  </si>
  <si>
    <t>17kg</t>
  </si>
  <si>
    <t>175. 6</t>
  </si>
  <si>
    <t>214. 4</t>
  </si>
  <si>
    <t>箱包化妆桌/ 100cm+ 云朵镜</t>
  </si>
  <si>
    <t>/ 16+2. 5+2. 75=22</t>
  </si>
  <si>
    <t>223. 87</t>
  </si>
  <si>
    <t>277. 0</t>
  </si>
  <si>
    <t>箱包化妆桌/ 60cm+云朵镜+甜甜圈椅/ 白绒</t>
  </si>
  <si>
    <t>如上</t>
  </si>
  <si>
    <t>9. 5+2. 5+2. 75+5.</t>
  </si>
  <si>
    <t>3=22kg</t>
  </si>
  <si>
    <t>238. 61</t>
  </si>
  <si>
    <t>275. 8</t>
  </si>
  <si>
    <t>箱包化妆桌/ 72cm+云朵镜+甜甜圈椅/ 白绒</t>
  </si>
  <si>
    <t>10. 5+2. 5+2. 75+5</t>
  </si>
  <si>
    <t>. 3=23kg</t>
  </si>
  <si>
    <t>257. 54</t>
  </si>
  <si>
    <t>296. 3</t>
  </si>
  <si>
    <t>箱包化妆桌/ 100cm+ 云朵镜+甜甜圈椅/ 白绒</t>
  </si>
  <si>
    <t>16+2. 5+2. 75+5. 3</t>
  </si>
  <si>
    <t>=28kg</t>
  </si>
  <si>
    <t>305. 81</t>
  </si>
  <si>
    <t>359. 0</t>
  </si>
  <si>
    <t>166经典子母茶几</t>
  </si>
  <si>
    <t>经典子母茶几/ 奶白脚/ 白石纹玻璃/ 60+45cm</t>
  </si>
  <si>
    <t>66*12*66cm</t>
  </si>
  <si>
    <t>9. 50kg</t>
  </si>
  <si>
    <t>8. 092</t>
  </si>
  <si>
    <t>71. 2</t>
  </si>
  <si>
    <t>】165网红子母茶几-详情图</t>
  </si>
  <si>
    <t>ht t ps : / / kdo cs . cn/ l / ce R 3AH68ZZLQ</t>
  </si>
  <si>
    <t>【WPS 云文档】 165网红子母茶几-买家秀</t>
  </si>
  <si>
    <t>. cn/ l / cbV870r Ewgnq</t>
  </si>
  <si>
    <t>经典子母茶几/ 黑色脚/ 黑石纹玻璃/ 60+45cm</t>
  </si>
  <si>
    <t>经典子母茶几 / 黑色脚/ 白石纹玻璃 60cm/ 黑石纹玻璃 45cm</t>
  </si>
  <si>
    <t>经典子母茶几/ 奶白脚/ 白石纹玻璃/ 70+50cm</t>
  </si>
  <si>
    <t>76*12*76cm</t>
  </si>
  <si>
    <t>10. 647</t>
  </si>
  <si>
    <t>85. 5</t>
  </si>
  <si>
    <t>经典子母茶几/ 黑色脚/ 黑石纹玻璃/ 70+50cm</t>
  </si>
  <si>
    <t>经典子母茶几 / 黑色脚/ 白石纹玻璃 70cm/ 黑石纹玻璃 50cm</t>
  </si>
  <si>
    <t>经典子母茶几/ 奶白脚/ 白石纹玻璃/ 80+60cm</t>
  </si>
  <si>
    <t>86*12*86cm</t>
  </si>
  <si>
    <t>13. 552</t>
  </si>
  <si>
    <t>103. 6</t>
  </si>
  <si>
    <t>13. 5</t>
  </si>
  <si>
    <t>150. 1</t>
  </si>
  <si>
    <t>经典子母茶几/ 黑色脚/ 黑石纹玻璃/ 80+60cm</t>
  </si>
  <si>
    <t>经典子母茶几 / 黑色脚/ 白石纹玻璃 80cm/ 黑石纹玻璃 60cm</t>
  </si>
  <si>
    <t>165网红子母茶几</t>
  </si>
  <si>
    <t>网红子母茶几 / 奶白脚/ 白石纹玻璃/ 白柜/ 60+45cm</t>
  </si>
  <si>
    <t>66*25*66cm</t>
  </si>
  <si>
    <t>15. 606</t>
  </si>
  <si>
    <t>116. 2</t>
  </si>
  <si>
    <t>154. 3</t>
  </si>
  <si>
    <t>网红子母茶几 / 黑色脚/ 黑石纹玻璃/ 白柜/ 60+45cm</t>
  </si>
  <si>
    <t>网红子母茶几 / 奶白脚/ 白石纹玻璃/ 白柜/ 70+50cm</t>
  </si>
  <si>
    <t>76*25*76cm</t>
  </si>
  <si>
    <t>20. 5335</t>
  </si>
  <si>
    <t>135. 5</t>
  </si>
  <si>
    <t>183. 5</t>
  </si>
  <si>
    <t>网红子母茶几 / 黑色脚/ 黑石纹玻璃/ 白柜/ 70+50cm</t>
  </si>
  <si>
    <t>网红子母茶几 / 奶白脚/ 白石纹玻璃/ 白柜/ 80+60cm</t>
  </si>
  <si>
    <t>86*25*86cm</t>
  </si>
  <si>
    <t>26. 136</t>
  </si>
  <si>
    <t>153. 6</t>
  </si>
  <si>
    <t>209. 6</t>
  </si>
  <si>
    <t>网红子母茶几 / 黑色脚/ 黑石纹玻璃/ 白柜/ 80+60cm</t>
  </si>
  <si>
    <t>164 柱底衣帽架</t>
  </si>
  <si>
    <t>柱底衣帽架/ 奶白支架/ 绿色椭球</t>
  </si>
  <si>
    <t>【分两个包裹 】 支架：92*4. 5*26cm</t>
  </si>
  <si>
    <t>底座：</t>
  </si>
  <si>
    <t>36. 5*36. 5*32cm</t>
  </si>
  <si>
    <t>【分两个包裹】支架： 1. 3kg   底座：4. 1kg</t>
  </si>
  <si>
    <t>90. 0</t>
  </si>
  <si>
    <t>】164柱底衣帽架-详情图 ht t ps : / / kdo cs . cn/ l / cuc v 3HCg Z4LI</t>
  </si>
  <si>
    <t>【WPS 云文档】 164柱底衣帽架</t>
  </si>
  <si>
    <t>. cn/ l / ct ay F1I t 489O</t>
  </si>
  <si>
    <t>柱底衣帽架/ 黑色支架/ 绿色椭球</t>
  </si>
  <si>
    <t>柱底衣帽架/ 金色支架/ 绿色椭球</t>
  </si>
  <si>
    <t>163 节节高花架</t>
  </si>
  <si>
    <t>节节高花架/ 奶白</t>
  </si>
  <si>
    <t>77*6. 5*31cm</t>
  </si>
  <si>
    <t>3. 5kg</t>
  </si>
  <si>
    <t>2. 496</t>
  </si>
  <si>
    <t>45. 0</t>
  </si>
  <si>
    <t>】163节节高花架-详情图 ht t ps : / / kdo cs . cn/ l / cr T 8Xbz y ZZFD</t>
  </si>
  <si>
    <t>【WPS 云文档】 163节节高花架</t>
  </si>
  <si>
    <t>. cn/ l / co TcwFN Xnn90</t>
  </si>
  <si>
    <t>【WPS云文档】 163 节节高花架-包装图</t>
  </si>
  <si>
    <t>ht t ps : / / www. k docs . cn/ l / cnx 2XFz 8pf 70</t>
  </si>
  <si>
    <t>节节高花架/ 黑色</t>
  </si>
  <si>
    <t>节节高花架/ 金色</t>
  </si>
  <si>
    <t>50. 0</t>
  </si>
  <si>
    <t>162雕花茶几</t>
  </si>
  <si>
    <t>雕花茶几/ 黑色架/ 茶色玻璃/ 长70cm（停）</t>
  </si>
  <si>
    <t>77*9*57. 5cm</t>
  </si>
  <si>
    <t>】162雕花茶几-详情图</t>
  </si>
  <si>
    <t>cs . cn/ l / cm5 f WRl 4uNx K</t>
  </si>
  <si>
    <t>【WPS 云文档】 162 雕花茶几-买家秀</t>
  </si>
  <si>
    <t>. cn/ l / cj I J 4Ae Vb6TU</t>
  </si>
  <si>
    <t>雕花茶几/ 奶白架/ 茶色玻璃/ 长70cm（停）</t>
  </si>
  <si>
    <t>雕花茶几/ 奶白架/ 长虹玻璃/ 长70cm</t>
  </si>
  <si>
    <t>雕花茶几/ 黑色架/ 茶色玻璃/ 长90cm（停）</t>
  </si>
  <si>
    <t>97*9*57. 5cm</t>
  </si>
  <si>
    <t>99. 0</t>
  </si>
  <si>
    <t>雕花茶几/ 奶白架/ 茶色玻璃/ 长90cm（停）</t>
  </si>
  <si>
    <t>雕花茶几/ 奶白架/ 长虹玻璃/ 长90cm（停）</t>
  </si>
  <si>
    <t>雕花茶几/ 黑色架/ 茶色玻璃/ 长110cm</t>
  </si>
  <si>
    <t>117*9*57. 5cm</t>
  </si>
  <si>
    <t>雕花茶几/ 奶白架/ 茶色玻璃/ 长110cm</t>
  </si>
  <si>
    <t>雕花茶几/ 奶白架/ 长虹玻璃/ 长110cm</t>
  </si>
  <si>
    <t>161不锈钢衣帽架</t>
  </si>
  <si>
    <t>不锈钢衣帽架 / 雪山白岩板 / 树枝款（停）</t>
  </si>
  <si>
    <t>34*8*34cm</t>
  </si>
  <si>
    <t>2. 8kg</t>
  </si>
  <si>
    <t>】161不锈钢衣帽架-详情图</t>
  </si>
  <si>
    <t>ht t ps : / / kdo cs . cn/ l / cnl R4i MI x Pw9</t>
  </si>
  <si>
    <t>【WPS 云文档】 161不锈钢衣帽架-买家秀</t>
  </si>
  <si>
    <t>. cn/ l / cb1PWc J w3r j 8</t>
  </si>
  <si>
    <t>不锈钢衣帽架 / 劳伦黑岩板 / 树枝款（停）</t>
  </si>
  <si>
    <t>不锈钢衣帽架 / 雪山白岩板 / 绿椭球（停）</t>
  </si>
  <si>
    <t>2. 85kg</t>
  </si>
  <si>
    <t>不锈钢衣帽架 / 劳伦黑岩板 / 绿椭球（停）</t>
  </si>
  <si>
    <t>160折叠子母茶几</t>
  </si>
  <si>
    <t>折叠单茶几/ 白色高脚/ 亚光白玻 45cm</t>
  </si>
  <si>
    <t>48. 5*10*48. 5cm</t>
  </si>
  <si>
    <t>53. 22</t>
  </si>
  <si>
    <t>71. 7</t>
  </si>
  <si>
    <t>】160折叠子母茶几-详情图</t>
  </si>
  <si>
    <t>cs . cn/ l / cj v gj 2G0XwCu</t>
  </si>
  <si>
    <t>【WPS 云文档】 160折叠子母茶几-买家秀</t>
  </si>
  <si>
    <t>. cn/ l / ce 2t Uht wf nJ 9</t>
  </si>
  <si>
    <t>淘宝：鑫炜 拼多多： 鑫炜</t>
  </si>
  <si>
    <t>折叠单茶几/ 黑色高脚/ 亚光黑玻 45cm</t>
  </si>
  <si>
    <t>折叠单茶几/ 白色高脚/ 亚光白玻 60cm</t>
  </si>
  <si>
    <t>65*10*65cm</t>
  </si>
  <si>
    <t>6. 5kg</t>
  </si>
  <si>
    <t>70. 5</t>
  </si>
  <si>
    <t>98. 0</t>
  </si>
  <si>
    <t>折叠单茶几/ 黑色高脚/ 亚光黑玻 60cm（停）</t>
  </si>
  <si>
    <t>折叠单茶几/ 白色矮脚/ 亚光白玻 60cm</t>
  </si>
  <si>
    <t>68. 5</t>
  </si>
  <si>
    <t>96. 0</t>
  </si>
  <si>
    <t>折叠单茶几/ 黑色矮脚/ 亚光黑玻 60cm（停）</t>
  </si>
  <si>
    <t>折叠单茶几/ 白色矮脚/ 亚光白玻 80cm</t>
  </si>
  <si>
    <t>85*10*85cm</t>
  </si>
  <si>
    <t>10. 5kg</t>
  </si>
  <si>
    <t>98. 52</t>
  </si>
  <si>
    <t>折叠单茶几/ 黑色矮脚/ 亚光黑玻 80cm</t>
  </si>
  <si>
    <t>折叠子母茶几 / 白色/ 矮大桌60cm/ 高小桌45cm</t>
  </si>
  <si>
    <t>65*12*65cm</t>
  </si>
  <si>
    <t>158. 0</t>
  </si>
  <si>
    <t>折叠子母茶几 / 黑色/ 矮大桌60cm/ 高小桌45cm （停）</t>
  </si>
  <si>
    <t>折叠子母茶几 / 白色/ 矮大桌80cm/ 高小桌60cm</t>
  </si>
  <si>
    <t>85*12*85cm</t>
  </si>
  <si>
    <t>16kg</t>
  </si>
  <si>
    <t>折叠子母茶几 / 黑色/ 矮大桌80cm/ 高小桌60cm（停）</t>
  </si>
  <si>
    <t>159玻璃茶几H款</t>
  </si>
  <si>
    <t>玻璃茶几H款/ 黑色架/ 茶色玻璃/ 直径45cm</t>
  </si>
  <si>
    <t>48. 5*8*48. 5cm</t>
  </si>
  <si>
    <t>4kg</t>
  </si>
  <si>
    <t>30. 02</t>
  </si>
  <si>
    <t>47. 0</t>
  </si>
  <si>
    <t>】159玻璃茶几H款-详情图</t>
  </si>
  <si>
    <t>cs . cn/ l / cpf Rj Tga 85Vb</t>
  </si>
  <si>
    <t>【WPS 云文档】 159 玻璃茶几H款-买家秀</t>
  </si>
  <si>
    <t>. cn/ l / cs ZCj O2 uXI 9v</t>
  </si>
  <si>
    <t>玻璃茶几H款/ 奶白架/ 茶色玻璃/ 直径45cm</t>
  </si>
  <si>
    <t>玻璃茶几H款/ 奶白架/ 长虹玻璃/ 直径45cm</t>
  </si>
  <si>
    <t>玻璃茶几H款/ 黑色架/ 茶色玻璃/ 直径60cm（停）</t>
  </si>
  <si>
    <t>65*8*65cm</t>
  </si>
  <si>
    <t>5. 5kg</t>
  </si>
  <si>
    <t>44. 9</t>
  </si>
  <si>
    <t>68. 9</t>
  </si>
  <si>
    <t>玻璃茶几H款/ 奶白架/ 茶色玻璃/ 直径60cm</t>
  </si>
  <si>
    <t>玻璃茶几H款/ 奶白架/ 长虹玻璃/ 直径60cm</t>
  </si>
  <si>
    <t>玻璃茶几H款/ 黑色架/ 茶色玻璃/ 直径80cm</t>
  </si>
  <si>
    <t>85*8*85cm</t>
  </si>
  <si>
    <t>9. 5kg</t>
  </si>
  <si>
    <t>58. 6</t>
  </si>
  <si>
    <t>96. 6</t>
  </si>
  <si>
    <t>玻璃茶几H款/ 奶白架/ 茶色玻璃/ 直径80cm</t>
  </si>
  <si>
    <t>玻璃茶几H款/ 奶白架/ 长虹玻璃/ 直径80cm</t>
  </si>
  <si>
    <t>158玻璃茶几F款</t>
  </si>
  <si>
    <t>玻璃茶几F款/ 黑色脚/ 黑胡桃木纹 / 直径45cm</t>
  </si>
  <si>
    <t>54. 0</t>
  </si>
  <si>
    <t>】158玻璃茶几F款-详情图</t>
  </si>
  <si>
    <t>ht t ps : / / kdo cs . cn/ l / cr 9 qkI XVnFcv</t>
  </si>
  <si>
    <t>【WPS 云文档】 158 玻璃茶几F款-买家秀</t>
  </si>
  <si>
    <t>. cn/ l / ck2LAmJ Cl 9v N</t>
  </si>
  <si>
    <t>玻璃茶几F款/ 黑色脚/ 拼花木纹/ 直径45cm</t>
  </si>
  <si>
    <t>玻璃茶几F款/ 黑色脚/ 黑胡桃木纹 / 直径60cm</t>
  </si>
  <si>
    <t>55. 6</t>
  </si>
  <si>
    <t>79. 6</t>
  </si>
  <si>
    <t>玻璃茶几F款/ 黑色脚/ 拼花木纹/ 直径60cm</t>
  </si>
  <si>
    <t>玻璃茶几F款/ 黑色脚/ 黑胡桃木纹 / 直径80cm</t>
  </si>
  <si>
    <t>92. 6</t>
  </si>
  <si>
    <t>130. 6</t>
  </si>
  <si>
    <t>玻璃茶几F款/ 黑色脚/ 拼花木纹/ 直径80cm</t>
  </si>
  <si>
    <t>157专利款衣帽架</t>
  </si>
  <si>
    <t>专利款衣帽架 / 雪山白岩板/ 白色树枝</t>
  </si>
  <si>
    <t>1. 15</t>
  </si>
  <si>
    <t>21. 3</t>
  </si>
  <si>
    <t>】157专利款衣帽架-详情图</t>
  </si>
  <si>
    <t>/ ca 0f 8f LLgo Mf</t>
  </si>
  <si>
    <t>【WPS 云文档】 157专利款衣帽架-买家秀</t>
  </si>
  <si>
    <t>. cn/ l / ca 7j NLf l EuqF</t>
  </si>
  <si>
    <t>淘宝：诗琪 拼多多： 陈勇</t>
  </si>
  <si>
    <t>【WPS云文档】 157专利岩板底座-包装图</t>
  </si>
  <si>
    <t>ht t ps : / / www. k docs . cn/ l / ct L pDFYkBGYX</t>
  </si>
  <si>
    <t>专利款衣帽架 / 劳伦黑岩板/ 黑色树枝</t>
  </si>
  <si>
    <t>专利款衣帽架 / 雪山白岩板/ 黑色树枝</t>
  </si>
  <si>
    <t>专利款衣帽架 / 劳伦黑岩板/ 金色树枝</t>
  </si>
  <si>
    <t>专利款衣帽架 / 雪山白岩板/ 金色树枝</t>
  </si>
  <si>
    <t>专利款衣帽架 / 雪山白岩板 / 白色树枝/ 绿椭球</t>
  </si>
  <si>
    <t>2. 85</t>
  </si>
  <si>
    <t>14. 8</t>
  </si>
  <si>
    <t>23. 3</t>
  </si>
  <si>
    <t>29. 9</t>
  </si>
  <si>
    <t>专利款衣帽架 / 劳伦黑岩板 / 黑色树枝/ 绿椭球</t>
  </si>
  <si>
    <t>专利款衣帽架 / 雪山白岩板 / 黑色树枝/ 绿椭球</t>
  </si>
  <si>
    <t>专利款衣帽架 / 劳伦黑岩板 / 金色树枝/ 绿椭球</t>
  </si>
  <si>
    <t>专利款衣帽架 / 雪山白岩板 / 金色树枝/ 绿椭球</t>
  </si>
  <si>
    <t>专利款衣帽架/ 十字底座/ 白色树枝</t>
  </si>
  <si>
    <t>13. 3</t>
  </si>
  <si>
    <t>19. 2</t>
  </si>
  <si>
    <t>28. 4</t>
  </si>
  <si>
    <t>【WPS云文档】 157专利十字底座-包装图</t>
  </si>
  <si>
    <t>docs . cn/ l / co E 4f Bej YAdx</t>
  </si>
  <si>
    <t>专利款衣帽架/ 十字底座/ 黑色树枝</t>
  </si>
  <si>
    <t>专利款衣帽架/ 十字底座/ 金色树枝</t>
  </si>
  <si>
    <t>156 泡茶边几</t>
  </si>
  <si>
    <t>泡茶边几/ 黑色脚/ 黑色玻璃</t>
  </si>
  <si>
    <t>68*11. 5*43cm</t>
  </si>
  <si>
    <t>6. 9kg</t>
  </si>
  <si>
    <t>4. 9335</t>
  </si>
  <si>
    <t>71. 52</t>
  </si>
  <si>
    <t>3. 03</t>
  </si>
  <si>
    <t>】156泡茶边几-详情图</t>
  </si>
  <si>
    <t>/ cne AGes cbf pj</t>
  </si>
  <si>
    <t>【WPS 云文档】 156 泡茶边几-买家秀</t>
  </si>
  <si>
    <t>. cn/ l / cm1Cv FP E9a Z0</t>
  </si>
  <si>
    <t>泡茶边几/ 黑色脚/ 黑胡桃木纹玻璃</t>
  </si>
  <si>
    <t>155枝韵盘衣帽架</t>
  </si>
  <si>
    <t>枝韵盘衣帽架/ 奶白支架</t>
  </si>
  <si>
    <t>58*13*44. 5cm</t>
  </si>
  <si>
    <t>5. 4kg</t>
  </si>
  <si>
    <t>4. 7495</t>
  </si>
  <si>
    <t>36. 19</t>
  </si>
  <si>
    <t>54. 7</t>
  </si>
  <si>
    <t>】155枝韵盘衣帽架-详情图</t>
  </si>
  <si>
    <t>ht t ps : / / kdo cs . cn/ l / ckZ Unl MEECSW</t>
  </si>
  <si>
    <t>【WPS 云文档】 155枝韵盘衣帽架-买家秀</t>
  </si>
  <si>
    <t>. cn/ l / cf Hi e Zv SkA8H</t>
  </si>
  <si>
    <t>枝韵盘衣帽架/ 黑色支架</t>
  </si>
  <si>
    <t>35. 66</t>
  </si>
  <si>
    <t>54. 2</t>
  </si>
  <si>
    <t>枝韵盘衣帽架/ 金色支架</t>
  </si>
  <si>
    <t>38. 31</t>
  </si>
  <si>
    <t>56. 8</t>
  </si>
  <si>
    <t>154方晶皮革边几</t>
  </si>
  <si>
    <t>方晶皮革边几/ 奶白脚/ 茶色玻璃</t>
  </si>
  <si>
    <t>61. 5*11*44</t>
  </si>
  <si>
    <t>5. 8kg</t>
  </si>
  <si>
    <t>4. 185</t>
  </si>
  <si>
    <t>60. 8</t>
  </si>
  <si>
    <t>81. 8</t>
  </si>
  <si>
    <t>12. 4</t>
  </si>
  <si>
    <t>【金山文档</t>
  </si>
  <si>
    <t>】 154方晶皮革边几-详情图</t>
  </si>
  <si>
    <t>ht t ps : / / kdo cs . cn/ l / cf r 0EyhUGdh3</t>
  </si>
  <si>
    <t>【金山文档】 154方晶皮革边几-买家秀</t>
  </si>
  <si>
    <t>. cn/ l / ct Dh0D1 ETLr L</t>
  </si>
  <si>
    <t>方晶皮革边几/ 黑色脚/ 茶色玻璃</t>
  </si>
  <si>
    <t>方晶皮革边几/ 奶白脚/ 黑色玻璃</t>
  </si>
  <si>
    <t>方晶皮革边几/ 黑色脚/ 黑色玻璃</t>
  </si>
  <si>
    <t>153壁挂花瓶</t>
  </si>
  <si>
    <t>24. 5*25*5. 5cm</t>
  </si>
  <si>
    <t>0. 2kg</t>
  </si>
  <si>
    <t>0. 5</t>
  </si>
  <si>
    <t>】153壁挂花瓶( 圆形) -详情图</t>
  </si>
  <si>
    <t>ht t ps : / / kdo cs . cn/ l / cf A 34amt l 2Hf</t>
  </si>
  <si>
    <t>【金山文档】 153壁挂花瓶</t>
  </si>
  <si>
    <t>( 圆形) -买家秀</t>
  </si>
  <si>
    <t>. cn/ l / co Ei Bhc WZnP9</t>
  </si>
  <si>
    <t>【WPS云文档】 153 壁挂花瓶-圆形-包装图</t>
  </si>
  <si>
    <t>ht t ps : / / www. k docs . cn/ l / ct W al Ooo Noz S</t>
  </si>
  <si>
    <t>20. 5*18. 5*5. 5cm</t>
  </si>
  <si>
    <t>】153壁挂花瓶( 菱形) -详情图</t>
  </si>
  <si>
    <t>cs . cn/ l / cj S k5xqZ0Lw9</t>
  </si>
  <si>
    <t>( 菱形) -买家秀 ht t ps : / / kdocs</t>
  </si>
  <si>
    <t>. cn/ l / cpAkFJ c d9br 7</t>
  </si>
  <si>
    <t>30. 5*16*5. 5cm</t>
  </si>
  <si>
    <t>】153壁挂花瓶( 长方形) -详情图</t>
  </si>
  <si>
    <t>ht t ps : / / kdo cs . cn/ l / cqJ h7VPj 3Gl s</t>
  </si>
  <si>
    <t>( 长方形) -买家秀</t>
  </si>
  <si>
    <t>. cn/ l / cs TnOSd FqFuL</t>
  </si>
  <si>
    <t>152 曲叶衣帽架</t>
  </si>
  <si>
    <t>曲叶衣帽架/ 白色支架/ 白色椭球</t>
  </si>
  <si>
    <t>【分两个包裹 】支架：102*5*24cm底座：35*7*35cm</t>
  </si>
  <si>
    <t>分两个包裹 支架：1. 5   底</t>
  </si>
  <si>
    <t>座：2</t>
  </si>
  <si>
    <t>分两个包裹支架： 2</t>
  </si>
  <si>
    <t>底座： 2</t>
  </si>
  <si>
    <t>21. 4</t>
  </si>
  <si>
    <t>36. 4</t>
  </si>
  <si>
    <t>】 152曲叶衣帽架-详情图</t>
  </si>
  <si>
    <t>cs . cn/ l / cql 6PROt hEi O</t>
  </si>
  <si>
    <t>【金山文档】 152曲叶衣帽架</t>
  </si>
  <si>
    <t>. cn/ l / ce 3l W3H H3nnd</t>
  </si>
  <si>
    <t>曲叶衣帽架/ 白色支架/ 绿色椭球</t>
  </si>
  <si>
    <t>曲叶衣帽架/ 黑色支架/ 绿色椭球</t>
  </si>
  <si>
    <t>曲叶衣帽架/ 金色支架/ 绿色椭球</t>
  </si>
  <si>
    <t>22. 9</t>
  </si>
  <si>
    <t>37. 9</t>
  </si>
  <si>
    <t>151汇心圆桌</t>
  </si>
  <si>
    <t>扇椅/ 黑架/ 不含座垫靠枕</t>
  </si>
  <si>
    <t>52*10*44cm</t>
  </si>
  <si>
    <t>3. 28</t>
  </si>
  <si>
    <t>72. 0</t>
  </si>
  <si>
    <t>【金山文档】 151 汇心圆桌-买家秀</t>
  </si>
  <si>
    <t>. cn/ l / chj RWVj aqv 34</t>
  </si>
  <si>
    <t>扇椅/ 金架/ 不含座垫靠枕</t>
  </si>
  <si>
    <t>77. 0</t>
  </si>
  <si>
    <t>汇心圆桌/ 黑脚/ 白玻</t>
  </si>
  <si>
    <t>桌面和底座一个包裹 ： 65*13*65cm ，立柱一个包裹: 14*14*65cm</t>
  </si>
  <si>
    <t>桌面和底座一个包裹：6kg ， 立柱一个包裹 ：</t>
  </si>
  <si>
    <t>1. 5kg</t>
  </si>
  <si>
    <t>9. 48</t>
  </si>
  <si>
    <t>102. 7</t>
  </si>
  <si>
    <t>142. 4</t>
  </si>
  <si>
    <t>汇心圆桌/ 金脚/ 白玻</t>
  </si>
  <si>
    <t>汇心圆桌/ 黑脚/ 黑玻</t>
  </si>
  <si>
    <t>汇心圆桌/ 金脚/ 黑玻</t>
  </si>
  <si>
    <t>扇椅/ 黑架x 2 张+汇心圆桌/ 黑脚/ 白玻x 1张</t>
  </si>
  <si>
    <t>18. 01</t>
  </si>
  <si>
    <t>212. 7</t>
  </si>
  <si>
    <t>12. 76</t>
  </si>
  <si>
    <t>286. 5</t>
  </si>
  <si>
    <t>扇椅/ 金架x 2 张+汇心圆桌/ 金脚/ 白玻x 1张</t>
  </si>
  <si>
    <t>扇椅/ 黑架x 2 张+汇心圆桌/ 黑脚/ 黑玻x 1张</t>
  </si>
  <si>
    <t>扇椅/ 金架x 2 张+汇心圆桌/ 金脚/ 黑玻x 1张</t>
  </si>
  <si>
    <t>150晶雅方桌</t>
  </si>
  <si>
    <t>晶雅方桌/ 60cm</t>
  </si>
  <si>
    <t>65*20*53cm</t>
  </si>
  <si>
    <t>10. 13</t>
  </si>
  <si>
    <t>142. 2</t>
  </si>
  <si>
    <t>】 150晶雅方桌-详情图 ht t ps : / / kdo cs . cn/ l / cuJ Ngc Hi EBz B</t>
  </si>
  <si>
    <t>【金山文档】 150 晶雅方桌-买家秀</t>
  </si>
  <si>
    <t>. cn/ l / cu8J j N0 i 0z YP</t>
  </si>
  <si>
    <t>晶雅方桌/ 72cm</t>
  </si>
  <si>
    <t>77*20*53cm</t>
  </si>
  <si>
    <t>11. 95</t>
  </si>
  <si>
    <t>160. 8</t>
  </si>
  <si>
    <t>晶雅方桌/ 100cm</t>
  </si>
  <si>
    <t>105*20*53cm</t>
  </si>
  <si>
    <t>18. 5kg</t>
  </si>
  <si>
    <t>16. 18</t>
  </si>
  <si>
    <t>214. 2</t>
  </si>
  <si>
    <t>晶雅方桌/ 60cm+蝴蝶椅/ 白皮</t>
  </si>
  <si>
    <t>65*20*53+45*9*44</t>
  </si>
  <si>
    <t>77*20*53+45*9*44</t>
  </si>
  <si>
    <t>105*20*53+45*9*44</t>
  </si>
  <si>
    <t>10. 84</t>
  </si>
  <si>
    <t>142. 25</t>
  </si>
  <si>
    <t>179. 4</t>
  </si>
  <si>
    <t>晶雅方桌/ 72cm+蝴蝶椅/ 白皮</t>
  </si>
  <si>
    <t>12. 43</t>
  </si>
  <si>
    <t>159. 25</t>
  </si>
  <si>
    <t>198. 0</t>
  </si>
  <si>
    <t>晶雅方桌/ 100cm+蝴蝶椅/ 白皮</t>
  </si>
  <si>
    <t>16. 14</t>
  </si>
  <si>
    <t>202. 25</t>
  </si>
  <si>
    <t>257. 4</t>
  </si>
  <si>
    <t>晶雅方桌/ 60cm+圆镜/ 30cm</t>
  </si>
  <si>
    <t>65*20*53+40*7*40</t>
  </si>
  <si>
    <t>10. 0125</t>
  </si>
  <si>
    <t>153. 2</t>
  </si>
  <si>
    <t>晶雅方桌/ 72cm+圆镜/ 40cm</t>
  </si>
  <si>
    <t>77*20*53+50*7*50</t>
  </si>
  <si>
    <t>12. 39</t>
  </si>
  <si>
    <t>171. 8</t>
  </si>
  <si>
    <t>晶雅方桌/ 100cm+ 圆镜/ 40cm</t>
  </si>
  <si>
    <t>105*20*53+50*7*50</t>
  </si>
  <si>
    <t>16. 1</t>
  </si>
  <si>
    <t>229. 2</t>
  </si>
  <si>
    <t>晶雅方桌/ 60cm+圆镜/ 30cm+蝴蝶椅/ 白皮</t>
  </si>
  <si>
    <t>65*20*53+40*7*40+45</t>
  </si>
  <si>
    <t>*9*44</t>
  </si>
  <si>
    <t>14. 31</t>
  </si>
  <si>
    <t>153. 25</t>
  </si>
  <si>
    <t>190. 4</t>
  </si>
  <si>
    <t>晶雅方桌/ 72cm+圆镜/ 40cm+蝴蝶椅/ 白皮</t>
  </si>
  <si>
    <t>77*20*53+45*9*44+45</t>
  </si>
  <si>
    <t>17. 2</t>
  </si>
  <si>
    <t>13. 49</t>
  </si>
  <si>
    <t>170. 25</t>
  </si>
  <si>
    <t>209. 0</t>
  </si>
  <si>
    <t>晶雅方桌/ 100cm+ 圆镜/ 40cm+蝴蝶椅/ 白皮</t>
  </si>
  <si>
    <t>105*20*53+45*9*44+4</t>
  </si>
  <si>
    <t>5*9*44</t>
  </si>
  <si>
    <t>19. 86</t>
  </si>
  <si>
    <t>213. 25</t>
  </si>
  <si>
    <t>266. 4</t>
  </si>
  <si>
    <t>149 网红衣帽架</t>
  </si>
  <si>
    <t>网红衣帽架/ 白色横钩/ 白色圆球</t>
  </si>
  <si>
    <t>45*9*35cm</t>
  </si>
  <si>
    <t>2. 07</t>
  </si>
  <si>
    <t>28. 8</t>
  </si>
  <si>
    <t>】 149网红衣帽架-详情图</t>
  </si>
  <si>
    <t>ht t ps : / / kdo cs . cn/ l / cka f I J uYz YDV</t>
  </si>
  <si>
    <t>【金山文档】 149网红衣帽架</t>
  </si>
  <si>
    <t>. cn/ l / cul S9z m Uav Az</t>
  </si>
  <si>
    <t>网红衣帽架/ 白色横钩/ 绿色圆球</t>
  </si>
  <si>
    <t>网红衣帽架/ 白色斜钩/ 白色椭球（停）</t>
  </si>
  <si>
    <t>网红衣帽架/ 白色斜钩/ 绿色椭球（停）</t>
  </si>
  <si>
    <t>专利款衣帽架/ 雪山白岩板/ 白色树枝/ 绿椭球 （ 新）</t>
  </si>
  <si>
    <t>网红衣帽架/ 黑色横钩/ 绿色圆球</t>
  </si>
  <si>
    <t>网红衣帽架/ 黑色斜钩/ 绿色椭球（停）</t>
  </si>
  <si>
    <t>专利款衣帽架 / 雪山白岩板 / 黑色树枝/ 绿椭球（新）</t>
  </si>
  <si>
    <t>网红衣帽架/ 金色横钩/ 绿色圆球</t>
  </si>
  <si>
    <t>网红衣帽架/ 金色斜钩/ 绿色椭球（停）</t>
  </si>
  <si>
    <t>专利款衣帽架 / 雪山白岩板 / 金色树枝/ 绿椭球（新）</t>
  </si>
  <si>
    <t>148双层仙人掌衣帽架</t>
  </si>
  <si>
    <t>双层仙人掌衣帽架 / 奶白架/ 橙皮/ 60cm</t>
  </si>
  <si>
    <t>58*11*35cm</t>
  </si>
  <si>
    <t>3. 19</t>
  </si>
  <si>
    <t>54. 75</t>
  </si>
  <si>
    <t>2. 27</t>
  </si>
  <si>
    <t>71. 0</t>
  </si>
  <si>
    <t>】 148双层仙人掌衣帽架-详情图</t>
  </si>
  <si>
    <t>cs . cn/ l / chH r s G8ZK0LX</t>
  </si>
  <si>
    <t>【金山文档】 148双层仙人掌衣帽架-买家秀 ht t ps : / / kdocs</t>
  </si>
  <si>
    <t>. cn/ l / cd6Kn4s me M65</t>
  </si>
  <si>
    <t>双层仙人掌衣帽架 / 奶白架/ 灰皮/ 60cm</t>
  </si>
  <si>
    <t>双层仙人掌衣帽架 / 金色架/ 橙皮/ 60cm</t>
  </si>
  <si>
    <t>59. 25</t>
  </si>
  <si>
    <t>75. 5</t>
  </si>
  <si>
    <t>双层仙人掌衣帽架 / 黑色架/ 棕皮/ 60cm</t>
  </si>
  <si>
    <t>53. 63</t>
  </si>
  <si>
    <t>69. 9</t>
  </si>
  <si>
    <t>147 大小碗茶几</t>
  </si>
  <si>
    <t>小碗单茶几/ 白色/ 50cm</t>
  </si>
  <si>
    <t>小碗: 52*52*47cm大碗: 78*78*41cm</t>
  </si>
  <si>
    <t>( 大小碗，分2个包裹)</t>
  </si>
  <si>
    <t>小碗: 8. 5</t>
  </si>
  <si>
    <t>大碗: 15. 7</t>
  </si>
  <si>
    <t>17. 86</t>
  </si>
  <si>
    <t>34. 40</t>
  </si>
  <si>
    <t>124. 7</t>
  </si>
  <si>
    <t>150. 7</t>
  </si>
  <si>
    <t>】 147大小碗茶几-详情图</t>
  </si>
  <si>
    <t>ht t ps : / / kdo cs . cn/ l / cgw Rn9f vupuk</t>
  </si>
  <si>
    <t>【金山文档】 147大小碗茶几</t>
  </si>
  <si>
    <t>. cn/ l / ct EMdDA C0CEK</t>
  </si>
  <si>
    <t>小碗单茶几/ 橙色/ 50cm</t>
  </si>
  <si>
    <t>大碗单茶几/ 白色/ 75cm</t>
  </si>
  <si>
    <t>166. 25</t>
  </si>
  <si>
    <t>211. 3</t>
  </si>
  <si>
    <t>大碗单茶几/ 橙色/ 75cm</t>
  </si>
  <si>
    <t>大小碗茶几 / 白色大碗 75cm/ 白色小碗 50cm</t>
  </si>
  <si>
    <t>52. 26</t>
  </si>
  <si>
    <t>290. 95</t>
  </si>
  <si>
    <t>大小碗茶几 / 白色大碗 75cm/ 橙色小碗 50cm</t>
  </si>
  <si>
    <t>大小碗茶几 / 橙色大碗 75cm/ 白色小碗 50cm</t>
  </si>
  <si>
    <t>146 波浪衣帽架</t>
  </si>
  <si>
    <t>波浪衣帽架/ 雪山白岩板/ 奶白杆</t>
  </si>
  <si>
    <t>53*10. 5*33cm</t>
  </si>
  <si>
    <t>2. 75</t>
  </si>
  <si>
    <t>25. 5</t>
  </si>
  <si>
    <t>2. 03</t>
  </si>
  <si>
    <t>】 146波浪衣帽架-详情图</t>
  </si>
  <si>
    <t>ht t ps : / / kdo cs . cn/ l / ce Z 7Vms f ALvp</t>
  </si>
  <si>
    <t>【金山文档】 146波浪衣帽架</t>
  </si>
  <si>
    <t>. cn/ l / cbduI mO 42Kl g</t>
  </si>
  <si>
    <t>京东：暂无限制</t>
  </si>
  <si>
    <t>波浪衣帽架/ 劳伦黑岩板/ 黑色杆</t>
  </si>
  <si>
    <t>39. 0</t>
  </si>
  <si>
    <t>波浪衣帽架/ 雪山白岩板/ 黑色杆（停）</t>
  </si>
  <si>
    <t>波浪衣帽架/ 劳伦黑岩板/ 金色杆</t>
  </si>
  <si>
    <t>41. 0</t>
  </si>
  <si>
    <t>波浪衣帽架/ 雪山白岩板/ 金色杆</t>
  </si>
  <si>
    <t>145简约玻璃子母茶几</t>
  </si>
  <si>
    <t>简约玻璃子母茶几 / 奶白脚/ 白玻大桌 60cm/ 白玻小桌 45cm（停）</t>
  </si>
  <si>
    <t>8. 09</t>
  </si>
  <si>
    <t>88. 93</t>
  </si>
  <si>
    <t>5. 24</t>
  </si>
  <si>
    <t>】 145简约玻璃子母茶几-详情图</t>
  </si>
  <si>
    <t>ht t ps : / / kdo cs . cn/ l / cdR KNOO3BP6C</t>
  </si>
  <si>
    <t>【金山文档】 145简约玻璃子母茶几-买家秀 ht t ps : / / kdocs</t>
  </si>
  <si>
    <t>. cn/ l / ci 357ZZ</t>
  </si>
  <si>
    <t>yys 4H</t>
  </si>
  <si>
    <t>简约玻璃子母茶几 / 金色脚/ 白玻大桌 60cm/ 白玻小桌 45cm（停）</t>
  </si>
  <si>
    <t>92. 93</t>
  </si>
  <si>
    <t>128. 7</t>
  </si>
  <si>
    <t>简约玻璃子母茶几 / 黑色脚/ 白玻大桌 60cm/ 黑玻小桌 45cm（停）</t>
  </si>
  <si>
    <t>87. 93</t>
  </si>
  <si>
    <t>123. 7</t>
  </si>
  <si>
    <t>简约玻璃子母茶几 / 金色脚/ 黑玻大桌 60cm/ 黑玻小桌 45cm（停）</t>
  </si>
  <si>
    <t>简约玻璃子母茶几 / 奶白脚/ 白玻大桌 80cm/ 白玻小桌 60cm（停）</t>
  </si>
  <si>
    <t>13. 55</t>
  </si>
  <si>
    <t>145. 32</t>
  </si>
  <si>
    <t>200. 3</t>
  </si>
  <si>
    <t>简约玻璃子母茶几 / 金色脚/ 白玻大桌 80cm/ 白玻小桌 60cm（停）</t>
  </si>
  <si>
    <t>151. 32</t>
  </si>
  <si>
    <t>简约玻璃子母茶几 / 黑色脚/ 白玻大桌 80cm/ 黑玻小桌 60cm（停）</t>
  </si>
  <si>
    <t>143. 82</t>
  </si>
  <si>
    <t>198. 8</t>
  </si>
  <si>
    <t>简约玻璃子母茶几 / 金色脚/ 黑玻大桌 80cm/ 黑玻小桌 60cm（停）</t>
  </si>
  <si>
    <t>144错层鞋架</t>
  </si>
  <si>
    <t>错层鞋架/ 3 层/ 金色</t>
  </si>
  <si>
    <t>47*8*50. 5cm</t>
  </si>
  <si>
    <t>2. 81</t>
  </si>
  <si>
    <t>20. 15</t>
  </si>
  <si>
    <t>31. 3</t>
  </si>
  <si>
    <t>】 144错层鞋架-详情图 ht t ps : / / kdo cs . cn/ l / cr a a Zf bO7OkE</t>
  </si>
  <si>
    <t>【金山文档】 144 错层鞋架-买家秀</t>
  </si>
  <si>
    <t>. cn/ l / ccqU8Er KO8l I</t>
  </si>
  <si>
    <t>【WPS云文档】 144 错层鞋架-包装图</t>
  </si>
  <si>
    <t>ht t ps : / / www. k docs . cn/ l / cnw t l bpl e Or X</t>
  </si>
  <si>
    <t>错层鞋架/ 3 层/ 奶白（停）</t>
  </si>
  <si>
    <t>18. 29</t>
  </si>
  <si>
    <t>错层鞋架/ 3 层/ 黑色（停）</t>
  </si>
  <si>
    <t>17. 83</t>
  </si>
  <si>
    <t>29. 0</t>
  </si>
  <si>
    <t>-1450. 0</t>
  </si>
  <si>
    <t>错层鞋架/ 4 层/ 金色</t>
  </si>
  <si>
    <t>62*8*50. 5cm</t>
  </si>
  <si>
    <t>3. 76</t>
  </si>
  <si>
    <t>30. 3</t>
  </si>
  <si>
    <t>44. 0</t>
  </si>
  <si>
    <t>错层鞋架/ 4 层/ 奶白</t>
  </si>
  <si>
    <t>27. 8</t>
  </si>
  <si>
    <t>41. 5</t>
  </si>
  <si>
    <t>错层鞋架/ 4 层/ 黑色</t>
  </si>
  <si>
    <t>27. 2</t>
  </si>
  <si>
    <t>40. 9</t>
  </si>
  <si>
    <t>错层鞋架/ 5 层/ 金色</t>
  </si>
  <si>
    <t>76*8*50. 5cm</t>
  </si>
  <si>
    <t>4. 59</t>
  </si>
  <si>
    <t>38. 5</t>
  </si>
  <si>
    <t>53. 6</t>
  </si>
  <si>
    <t>错层鞋架/ 5 层/ 奶白</t>
  </si>
  <si>
    <t>35. 3</t>
  </si>
  <si>
    <t>50. 4</t>
  </si>
  <si>
    <t>错层鞋架/ 5 层/ 黑色</t>
  </si>
  <si>
    <t>34. 5</t>
  </si>
  <si>
    <t>49. 6</t>
  </si>
  <si>
    <t>错层鞋架/ 6 层/ 金色</t>
  </si>
  <si>
    <t>89*8*50. 5cm</t>
  </si>
  <si>
    <t>5. 37</t>
  </si>
  <si>
    <t>47. 3</t>
  </si>
  <si>
    <t>9. 0</t>
  </si>
  <si>
    <t>63. 9</t>
  </si>
  <si>
    <t>错层鞋架/ 6 层/ 奶白</t>
  </si>
  <si>
    <t>43. 4</t>
  </si>
  <si>
    <t>错层鞋架/ 6 层/ 黑色</t>
  </si>
  <si>
    <t>42. 4</t>
  </si>
  <si>
    <t>59. 0</t>
  </si>
  <si>
    <t>错层鞋架/ 7 层/ 金色</t>
  </si>
  <si>
    <t>103*8*50. 5cm</t>
  </si>
  <si>
    <t>6. 20</t>
  </si>
  <si>
    <t>55. 9</t>
  </si>
  <si>
    <t>11. 5</t>
  </si>
  <si>
    <t>76. 4</t>
  </si>
  <si>
    <t>错层鞋架/ 7 层/ 奶白</t>
  </si>
  <si>
    <t>51. 3</t>
  </si>
  <si>
    <t>71. 8</t>
  </si>
  <si>
    <t>错层鞋架/ 7 层/ 黑色</t>
  </si>
  <si>
    <t>50. 2</t>
  </si>
  <si>
    <t>70. 7</t>
  </si>
  <si>
    <t>错层鞋架/ 8 层/ 金色</t>
  </si>
  <si>
    <t>116*8*50. 5cm</t>
  </si>
  <si>
    <t>6. 98</t>
  </si>
  <si>
    <t>64. 4</t>
  </si>
  <si>
    <t>错层鞋架/ 8 层/ 奶白</t>
  </si>
  <si>
    <t>59. 2</t>
  </si>
  <si>
    <t>81. 7</t>
  </si>
  <si>
    <t>错层鞋架/ 8 层/ 黑色</t>
  </si>
  <si>
    <t>80. 5</t>
  </si>
  <si>
    <t>错层鞋架/ 9 层/ 金色</t>
  </si>
  <si>
    <t>132*8*50. 5cm</t>
  </si>
  <si>
    <t>7. 93</t>
  </si>
  <si>
    <t>72. 9</t>
  </si>
  <si>
    <t>错层鞋架/ 9 层/ 奶白</t>
  </si>
  <si>
    <t>66. 9</t>
  </si>
  <si>
    <t>91. 4</t>
  </si>
  <si>
    <t>错层鞋架/ 9 层/ 黑色</t>
  </si>
  <si>
    <t>65. 4</t>
  </si>
  <si>
    <t>89. 9</t>
  </si>
  <si>
    <t>错层鞋架/ 10层/ 金色</t>
  </si>
  <si>
    <t>145*8*50. 5cm</t>
  </si>
  <si>
    <t>8. 71</t>
  </si>
  <si>
    <t>16. 0</t>
  </si>
  <si>
    <t>107. 9</t>
  </si>
  <si>
    <t>错层鞋架/ 10层/ 奶白</t>
  </si>
  <si>
    <t>74. 9</t>
  </si>
  <si>
    <t>101. 3</t>
  </si>
  <si>
    <t>错层鞋架/ 10层/ 黑色</t>
  </si>
  <si>
    <t>99. 7</t>
  </si>
  <si>
    <t>143花枝招展花架</t>
  </si>
  <si>
    <t>花枝招展花架 / 劳伦黑岩板/ 奶白支架（停）</t>
  </si>
  <si>
    <t>90*12*42cm</t>
  </si>
  <si>
    <t>6. 36</t>
  </si>
  <si>
    <t>55. 5</t>
  </si>
  <si>
    <t>5. 06</t>
  </si>
  <si>
    <t>11. 7</t>
  </si>
  <si>
    <t>78. 3</t>
  </si>
  <si>
    <t>|  WPS 云文档</t>
  </si>
  <si>
    <t>】 143花枝招展花架-详情图</t>
  </si>
  <si>
    <t>ht t ps : / / kdo cs . cn/ l / cj 8 38pHj J bnC</t>
  </si>
  <si>
    <t>【金山文档】 143花枝招展花架-买家秀</t>
  </si>
  <si>
    <t>. cn/ l / cf SHCMA z J Fc K</t>
  </si>
  <si>
    <t>花枝招展花架 / 雪山白岩板/ 奶白支架（停）</t>
  </si>
  <si>
    <t>花枝招展花架 / 劳伦黑岩板/ 金色支架（停）</t>
  </si>
  <si>
    <t>58. 5</t>
  </si>
  <si>
    <t>81. 3</t>
  </si>
  <si>
    <t>花枝招展花架 / 雪山白岩板/ 金色支架（停）</t>
  </si>
  <si>
    <t>花枝招展花架 / 劳伦黑岩板/ 黑色支架（停）</t>
  </si>
  <si>
    <t>77. 5</t>
  </si>
  <si>
    <t>花枝招展花架 / 雪山白岩板/ 黑色支架（停）</t>
  </si>
  <si>
    <t>142网红花架</t>
  </si>
  <si>
    <t>网红花架/ 奶白/ 3 层（停）</t>
  </si>
  <si>
    <t>48*6*51cm</t>
  </si>
  <si>
    <t>2. 23</t>
  </si>
  <si>
    <t>14. 16</t>
  </si>
  <si>
    <t>24. 2</t>
  </si>
  <si>
    <t>7. 3</t>
  </si>
  <si>
    <t>】 142网红花架-详情图 ht t ps : / / kdo cs . cn/ l / cr T 8Xkz 5og Ok</t>
  </si>
  <si>
    <t>【金山文档 】 142 网红花架-买家秀</t>
  </si>
  <si>
    <t>. cn/ l / ci 6c EUu j Bm8W</t>
  </si>
  <si>
    <t>网红花架/ 黑色/ 3 层（停）</t>
  </si>
  <si>
    <t>13. 8</t>
  </si>
  <si>
    <t>23. 8</t>
  </si>
  <si>
    <t>网红花架/ 金色/ 3 层</t>
  </si>
  <si>
    <t>15. 6</t>
  </si>
  <si>
    <t>25. 6</t>
  </si>
  <si>
    <t>网红花架/ 奶白/ 4 层（停）</t>
  </si>
  <si>
    <t>63*6*51cm</t>
  </si>
  <si>
    <t>2. 91</t>
  </si>
  <si>
    <t>21. 9</t>
  </si>
  <si>
    <t>32. 4</t>
  </si>
  <si>
    <t>网红花架/ 黑色/ 4 层</t>
  </si>
  <si>
    <t>网红花架/ 金色/ 4 层（停）</t>
  </si>
  <si>
    <t>网红花架/ 奶白/ 5 层</t>
  </si>
  <si>
    <t>86*6*51cm</t>
  </si>
  <si>
    <t>3. 96</t>
  </si>
  <si>
    <t>27. 42</t>
  </si>
  <si>
    <t>3. 21</t>
  </si>
  <si>
    <t>40. 6</t>
  </si>
  <si>
    <t>网红花架/ 黑色/ 5 层</t>
  </si>
  <si>
    <t>26. 85</t>
  </si>
  <si>
    <t>40. 1</t>
  </si>
  <si>
    <t>网红花架/ 金色/ 5 层（停）</t>
  </si>
  <si>
    <t>42. 9</t>
  </si>
  <si>
    <t>网红花架/ 奶白/ 6 层（停）</t>
  </si>
  <si>
    <t>102*6*51cm</t>
  </si>
  <si>
    <t>4. 69</t>
  </si>
  <si>
    <t>32. 78</t>
  </si>
  <si>
    <t>3. 73</t>
  </si>
  <si>
    <t>47. 5</t>
  </si>
  <si>
    <t>网红花架/ 黑色/ 6 层</t>
  </si>
  <si>
    <t>32. 15</t>
  </si>
  <si>
    <t>46. 9</t>
  </si>
  <si>
    <t>网红花架/ 金色/ 6 层（停）</t>
  </si>
  <si>
    <t>网红花架/ 奶白/ 7 层</t>
  </si>
  <si>
    <t>124*6*51cm</t>
  </si>
  <si>
    <t>5. 69</t>
  </si>
  <si>
    <t>38. 68</t>
  </si>
  <si>
    <t>10. 0</t>
  </si>
  <si>
    <t>56. 2</t>
  </si>
  <si>
    <t>网红花架/ 黑色/ 7 层</t>
  </si>
  <si>
    <t>55. 4</t>
  </si>
  <si>
    <t>网红花架/ 金色/ 7 层</t>
  </si>
  <si>
    <t>41. 8</t>
  </si>
  <si>
    <t>59. 3</t>
  </si>
  <si>
    <t>网红花架/ 奶白/ 8 层</t>
  </si>
  <si>
    <t>142*6*51cm</t>
  </si>
  <si>
    <t>6. 51</t>
  </si>
  <si>
    <t>43. 86</t>
  </si>
  <si>
    <t>5. 03</t>
  </si>
  <si>
    <t>63. 4</t>
  </si>
  <si>
    <t>网红花架/ 黑色/ 8 层</t>
  </si>
  <si>
    <t>43. 05</t>
  </si>
  <si>
    <t>62. 6</t>
  </si>
  <si>
    <t>网红花架/ 金色/ 8 层</t>
  </si>
  <si>
    <t>47. 1</t>
  </si>
  <si>
    <t>66. 6</t>
  </si>
  <si>
    <t>141套皮仙人掌衣帽架</t>
  </si>
  <si>
    <t>套皮仙人掌衣帽架 / 奶白架/ 灰皮/ 60cm</t>
  </si>
  <si>
    <t>58*9*35cm</t>
  </si>
  <si>
    <t>2. 66</t>
  </si>
  <si>
    <t>2. 18</t>
  </si>
  <si>
    <t>】 141套皮仙人掌衣帽架-详情图</t>
  </si>
  <si>
    <t>ht t ps : / / kdo cs . cn/ l / cs j pvxe 2s q6b</t>
  </si>
  <si>
    <t>【金山文档】 141套皮仙人掌衣帽架-买家秀 ht t ps : / / kdocs</t>
  </si>
  <si>
    <t>. cn/ l / cs Ti cxt</t>
  </si>
  <si>
    <t>t c 0a W</t>
  </si>
  <si>
    <t>【WPS云文档】 141 套皮仙人掌衣帽架-包装图 ht t ps : / / www. k docs . cn/ l / ci d S8bPOxes U</t>
  </si>
  <si>
    <t>套皮仙人掌衣帽架 / 奶白架/ 橙皮/ 60cm</t>
  </si>
  <si>
    <t>套皮仙人掌衣帽架 / 黑色架/ 棕皮/ 60cm</t>
  </si>
  <si>
    <t>39. 65</t>
  </si>
  <si>
    <t>54. 8</t>
  </si>
  <si>
    <t>套皮仙人掌衣帽架 / 金色架/ 橙皮/ 60cm</t>
  </si>
  <si>
    <t>44. 3</t>
  </si>
  <si>
    <t>59. 5</t>
  </si>
  <si>
    <t>套皮仙人掌衣帽架 / 奶白架/ 灰皮/ 80cm</t>
  </si>
  <si>
    <t>73*9*35cm</t>
  </si>
  <si>
    <t>3. 33</t>
  </si>
  <si>
    <t>43. 03</t>
  </si>
  <si>
    <t>2. 65</t>
  </si>
  <si>
    <t>58. 7</t>
  </si>
  <si>
    <t>套皮仙人掌衣帽架 / 奶白架/ 橙皮/ 80cm</t>
  </si>
  <si>
    <t>套皮仙人掌衣帽架 / 黑色架/ 棕皮/ 80cm</t>
  </si>
  <si>
    <t>42. 1</t>
  </si>
  <si>
    <t>57. 8</t>
  </si>
  <si>
    <t>套皮仙人掌衣帽架 / 金色架/ 橙皮/ 80cm</t>
  </si>
  <si>
    <t>62. 7</t>
  </si>
  <si>
    <t>套皮仙人掌衣帽架 / 奶白架/ 灰皮/ 100cm</t>
  </si>
  <si>
    <t>94*9*35cm</t>
  </si>
  <si>
    <t>4. 28</t>
  </si>
  <si>
    <t>47. 48</t>
  </si>
  <si>
    <t>64. 8</t>
  </si>
  <si>
    <t>套皮仙人掌衣帽架 / 奶白架/ 橙皮/ 100cm</t>
  </si>
  <si>
    <t>套皮仙人掌衣帽架 / 黑色架/ 棕皮/ 100cm</t>
  </si>
  <si>
    <t>46. 4</t>
  </si>
  <si>
    <t>63. 7</t>
  </si>
  <si>
    <t>套皮仙人掌衣帽架 / 金色架/ 橙皮/ 100cm</t>
  </si>
  <si>
    <t>51. 8</t>
  </si>
  <si>
    <t>140扇椅</t>
  </si>
  <si>
    <t>】140 扇椅-详情图</t>
  </si>
  <si>
    <t>ht t ps : / / kdo cs . cn/ l / cs c xo Gcj 8Z6u</t>
  </si>
  <si>
    <t>【金山文档】 140 扇椅-买家秀</t>
  </si>
  <si>
    <t>. cn/ l / cnkJ i vh nWv 7I</t>
  </si>
  <si>
    <t>扇椅/ 奶白架/ 不含座垫靠枕</t>
  </si>
  <si>
    <t>55. 2</t>
  </si>
  <si>
    <t>72. 2</t>
  </si>
  <si>
    <t>扇椅/ 黑架/ 黑绒布座垫+靠枕</t>
  </si>
  <si>
    <t>52*11*44cm</t>
  </si>
  <si>
    <t>3. 95</t>
  </si>
  <si>
    <t>扇椅/ 奶白架/ 白皮革座垫+靠枕</t>
  </si>
  <si>
    <t>73. 2</t>
  </si>
  <si>
    <t>94. 5</t>
  </si>
  <si>
    <t>扇椅/ 金架/ 灰绒布座垫+靠枕</t>
  </si>
  <si>
    <t>99. 3</t>
  </si>
  <si>
    <t>139爆款抽屉子母茶几（岩板）</t>
  </si>
  <si>
    <t>爆款抽屉子母茶几 / 奶白脚/ 60cm纯白岩板/ 45cm白色柜</t>
  </si>
  <si>
    <t>66*66*25cm</t>
  </si>
  <si>
    <t>16. 66</t>
  </si>
  <si>
    <t>132. 99</t>
  </si>
  <si>
    <t>28. 3</t>
  </si>
  <si>
    <t>180. 0</t>
  </si>
  <si>
    <t>】 139爆款抽屉子母茶几（岩板）-详情图</t>
  </si>
  <si>
    <t>ht t ps : / / kdo cs . cn/ l / cvh 7Yf Tt Vof O</t>
  </si>
  <si>
    <t>【金山文档】 139爆款抽屉子母茶几（岩</t>
  </si>
  <si>
    <t>板）-买家秀 ht t ps : / / kdocs</t>
  </si>
  <si>
    <t>. cn/ l / cpo ZGQJ 8bg RL</t>
  </si>
  <si>
    <t>爆款抽屉子母茶几 / 黑色脚/ 60cm纯白岩板/ 45cm白色柜</t>
  </si>
  <si>
    <t>179. 0</t>
  </si>
  <si>
    <t>爆款抽屉子母茶几 / 金色脚/ 60cm纯白岩板/ 45cm白色柜</t>
  </si>
  <si>
    <t>137. 3</t>
  </si>
  <si>
    <t>184. 3</t>
  </si>
  <si>
    <t>爆款抽屉子母茶几 / 奶白脚/ 80cm纯白岩板/ 60cm白色柜</t>
  </si>
  <si>
    <t>86*86*25cm</t>
  </si>
  <si>
    <t>27. 72</t>
  </si>
  <si>
    <t>190. 02</t>
  </si>
  <si>
    <t>10. 8</t>
  </si>
  <si>
    <t>251. 8</t>
  </si>
  <si>
    <t>爆款抽屉子母茶几 / 黑色脚/ 80cm纯白岩板/ 60cm白色柜</t>
  </si>
  <si>
    <t>188. 52</t>
  </si>
  <si>
    <t>250. 3</t>
  </si>
  <si>
    <t>爆款抽屉子母茶几 / 金色脚/ 80cm纯白岩板/ 60cm白色柜</t>
  </si>
  <si>
    <t>196. 02</t>
  </si>
  <si>
    <t>257. 8</t>
  </si>
  <si>
    <t>137小蛮腰玻璃边几</t>
  </si>
  <si>
    <t>小蛮腰玻璃边几 / 茶色玻璃</t>
  </si>
  <si>
    <t>57*11*71. 5cm</t>
  </si>
  <si>
    <t>7. 00</t>
  </si>
  <si>
    <t>284. 5</t>
  </si>
  <si>
    <t>52. 7</t>
  </si>
  <si>
    <t>】 137小蛮腰玻璃边几-详情图</t>
  </si>
  <si>
    <t>ht t ps : / / kdo cs . cn/ l / cf I Dy BI wFEa Z</t>
  </si>
  <si>
    <t>【金山文档】 137小蛮腰玻璃边几-买家秀</t>
  </si>
  <si>
    <t>. cn/ l / cc J CJ f v 4t qy D</t>
  </si>
  <si>
    <t>小蛮腰玻璃边几 / 灰色玻璃</t>
  </si>
  <si>
    <t>136羊羔绒悬浮椅</t>
  </si>
  <si>
    <t>羊羔绒悬浮椅 / 白色羊羔绒 / 金色架（停）</t>
  </si>
  <si>
    <t>61*26*52cm</t>
  </si>
  <si>
    <t>11. 91</t>
  </si>
  <si>
    <t>171. 2</t>
  </si>
  <si>
    <t>7. 47</t>
  </si>
  <si>
    <t>211. 7</t>
  </si>
  <si>
    <t>】 136羊羔绒悬浮椅-详情图</t>
  </si>
  <si>
    <t>ht t ps : / / kdo cs . cn/ l / cv 9 ht m7FuX7a</t>
  </si>
  <si>
    <t>【金山文档】 136羊羔绒悬浮椅-买家秀</t>
  </si>
  <si>
    <t>. cn/ l / cl WNZGb avwLF</t>
  </si>
  <si>
    <t>羊羔绒悬浮椅/ 白色羊羔绒/ 奶白架</t>
  </si>
  <si>
    <t>165. 92</t>
  </si>
  <si>
    <t>206. 4</t>
  </si>
  <si>
    <t>羊羔绒悬浮椅 / 卡其色羊羔绒/ 金色架</t>
  </si>
  <si>
    <t>羊羔绒悬浮椅 / 卡其色羊羔绒/ 奶白架</t>
  </si>
  <si>
    <t>135简易仙人掌衣帽架</t>
  </si>
  <si>
    <t>简易仙人掌衣帽架 / 奶白/ 60cm</t>
  </si>
  <si>
    <t>60*10*30cm</t>
  </si>
  <si>
    <t>2. 60</t>
  </si>
  <si>
    <t>23. 78</t>
  </si>
  <si>
    <t>35. 9</t>
  </si>
  <si>
    <t>12. 5</t>
  </si>
  <si>
    <t>】 135简易仙人掌衣帽架-详情图</t>
  </si>
  <si>
    <t>cs . cn/ l / chd Fqz o 0t PQS</t>
  </si>
  <si>
    <t>【金山文档】 135简易仙人掌衣帽架-买家秀 ht t ps : / / kdocs</t>
  </si>
  <si>
    <t>. cn/ l / ckVDZKf</t>
  </si>
  <si>
    <t>dt ba 1</t>
  </si>
  <si>
    <t>简易仙人掌衣帽架 / 黑色/ 60cm</t>
  </si>
  <si>
    <t>23. 15</t>
  </si>
  <si>
    <t>简易仙人掌衣帽架 / 金色/ 60cm</t>
  </si>
  <si>
    <t>26. 3</t>
  </si>
  <si>
    <t>38. 4</t>
  </si>
  <si>
    <t>简易仙人掌衣帽架 / 奶白/ 80cm</t>
  </si>
  <si>
    <t>75*10*30cm</t>
  </si>
  <si>
    <t>3. 24</t>
  </si>
  <si>
    <t>25. 96</t>
  </si>
  <si>
    <t>2. 54</t>
  </si>
  <si>
    <t>40. 5</t>
  </si>
  <si>
    <t>简易仙人掌衣帽架 / 黑色/ 80cm</t>
  </si>
  <si>
    <t>简易仙人掌衣帽架 / 金色/ 80cm（ 停）</t>
  </si>
  <si>
    <t>28. 6</t>
  </si>
  <si>
    <t>43. 1</t>
  </si>
  <si>
    <t>简易仙人掌衣帽架 / 奶白/ 100cm</t>
  </si>
  <si>
    <t>95*10*30cm</t>
  </si>
  <si>
    <t>4. 09</t>
  </si>
  <si>
    <t>28. 68</t>
  </si>
  <si>
    <t>3. 11</t>
  </si>
  <si>
    <t>44. 8</t>
  </si>
  <si>
    <t>简易仙人掌衣帽架 / 黑色/ 100cm</t>
  </si>
  <si>
    <t>27. 9</t>
  </si>
  <si>
    <t>简易仙人掌衣帽架 / 金色/ 100cm</t>
  </si>
  <si>
    <t>31. 8</t>
  </si>
  <si>
    <t>47. 9</t>
  </si>
  <si>
    <t>简易仙人掌衣帽架 / 奶白/ 120cm</t>
  </si>
  <si>
    <t>115*10*30cm</t>
  </si>
  <si>
    <t>4. 94</t>
  </si>
  <si>
    <t>31. 04</t>
  </si>
  <si>
    <t>3. 75</t>
  </si>
  <si>
    <t>48. 3</t>
  </si>
  <si>
    <t>简易仙人掌衣帽架 / 黑色/ 120cm</t>
  </si>
  <si>
    <t>30. 2</t>
  </si>
  <si>
    <t>简易仙人掌衣帽架 / 金色/ 120cm</t>
  </si>
  <si>
    <t>34. 4</t>
  </si>
  <si>
    <t>51. 7</t>
  </si>
  <si>
    <t>134 花蝴蝶圆几 ( 100个起批)</t>
  </si>
  <si>
    <t>花蝴蝶圆几/ 奶白脚/ 劳伦黑岩板 （停）</t>
  </si>
  <si>
    <t>60*12*56cm</t>
  </si>
  <si>
    <t>5. 65</t>
  </si>
  <si>
    <t>64. 68</t>
  </si>
  <si>
    <t>100. 5</t>
  </si>
  <si>
    <t>】 134花蝴蝶圆几-详情图</t>
  </si>
  <si>
    <t>cs . cn/ l / cpi 9f t v 0AgwX</t>
  </si>
  <si>
    <t>【金山文档】 134花蝴蝶圆几</t>
  </si>
  <si>
    <t>. cn/ l / cg DpK3p Tcs eo</t>
  </si>
  <si>
    <t>花蝴蝶圆几/ 黑色脚/ 劳伦黑岩板 （停）</t>
  </si>
  <si>
    <t>花蝴蝶圆几/ 金色脚/ 劳伦黑岩板 （停）</t>
  </si>
  <si>
    <t>67. 8</t>
  </si>
  <si>
    <t>花蝴蝶圆几/ 奶白脚/ 雪山白岩板 （停）</t>
  </si>
  <si>
    <t>花蝴蝶圆几/ 黑色脚/ 雪山白岩板 （停）</t>
  </si>
  <si>
    <t>花蝴蝶圆几/ 金色脚/ 雪山白岩板 （停）</t>
  </si>
  <si>
    <t>雨伞衣帽架/ 劳伦黑岩板/ 奶白支架（停）</t>
  </si>
  <si>
    <t>】 133雨伞衣帽架-详情</t>
  </si>
  <si>
    <t>【金山文档】 133雨伞衣帽架</t>
  </si>
  <si>
    <t>雨伞衣帽架/ 雪山白岩板/ 奶白支架</t>
  </si>
  <si>
    <t>雨伞衣帽架/ 劳伦黑岩板/ 金色支架</t>
  </si>
  <si>
    <t>49. 0</t>
  </si>
  <si>
    <t>133 雨伞衣帽架</t>
  </si>
  <si>
    <t>45*9*45cm</t>
  </si>
  <si>
    <t>69              3. 1              图</t>
  </si>
  <si>
    <t>拼多多： 鑫炜</t>
  </si>
  <si>
    <t>雨伞衣帽架/ 雪山白岩板/ 金色支架</t>
  </si>
  <si>
    <t>ht t ps : / / kdo cs . cn/ l / chx py XI r 0CRb</t>
  </si>
  <si>
    <t>. cn/ l / cr qi nkc HZa 0H</t>
  </si>
  <si>
    <t>雨伞衣帽架/ 劳伦黑岩板/ 黑色支架</t>
  </si>
  <si>
    <t>雨伞衣帽架/ 雪山白岩板/ 黑色支架（停）</t>
  </si>
  <si>
    <t>132玻璃双层小圆几</t>
  </si>
  <si>
    <t>玻璃双层小圆几 / 奶白脚/ 茶色玻璃（停）</t>
  </si>
  <si>
    <t>50*9. 5*45cm</t>
  </si>
  <si>
    <t>35. 4</t>
  </si>
  <si>
    <t>】 132玻璃双层小圆几-详情图</t>
  </si>
  <si>
    <t>cs . cn/ l / cmd MKGZOSr kc</t>
  </si>
  <si>
    <t>【金山文档】 132玻璃双层小圆几-买家秀</t>
  </si>
  <si>
    <t>. cn/ l / cohj bM3 M8Zi M</t>
  </si>
  <si>
    <t>玻璃双层小圆几 / 黑色脚/ 茶色玻璃</t>
  </si>
  <si>
    <t>玻璃双层小圆几 / 金色脚/ 茶色玻璃</t>
  </si>
  <si>
    <t>37. 4</t>
  </si>
  <si>
    <t>玻璃双层小圆几 / 奶白脚/ 透明玻璃</t>
  </si>
  <si>
    <t>玻璃双层小圆几 / 黑色脚/ 透明玻璃</t>
  </si>
  <si>
    <t>玻璃双层小圆几 / 金色脚/ 透明玻璃（停）</t>
  </si>
  <si>
    <t>玻璃双层小圆几 / 奶白脚/ 长虹玻璃</t>
  </si>
  <si>
    <t>玻璃双层小圆几 / 黑色脚/ 长虹玻璃</t>
  </si>
  <si>
    <t>玻璃双层小圆几 / 金色脚/ 长虹玻璃</t>
  </si>
  <si>
    <t>131公鸡花架</t>
  </si>
  <si>
    <t>公鸡花架/ 白色/ 1只装（停）</t>
  </si>
  <si>
    <t>30*30*2cm</t>
  </si>
  <si>
    <t>0. 6</t>
  </si>
  <si>
    <t>无</t>
  </si>
  <si>
    <t>8. 2</t>
  </si>
  <si>
    <t>0. 49</t>
  </si>
  <si>
    <t>】 131公鸡花架-详情图 ht t ps : / / kdo cs . cn/ l / ct x j XDNQRi bS</t>
  </si>
  <si>
    <t>【金山文档】 131 公鸡花架-买家秀</t>
  </si>
  <si>
    <t>. cn/ l / cuExkOD az 5Pl</t>
  </si>
  <si>
    <t>公鸡花架/ 黑色/ 1只装（停）</t>
  </si>
  <si>
    <t>公鸡花架/ 金色/ 1只装（停）</t>
  </si>
  <si>
    <t>公鸡花架/ 白色/ 3只装</t>
  </si>
  <si>
    <t>30*30*4cm</t>
  </si>
  <si>
    <t>24. 6</t>
  </si>
  <si>
    <t>0. 58</t>
  </si>
  <si>
    <t>31. 2</t>
  </si>
  <si>
    <t>公鸡花架/ 黑色/ 3只装（停）</t>
  </si>
  <si>
    <t>公鸡花架/ 金色/ 3只装（停）</t>
  </si>
  <si>
    <t>34. 6</t>
  </si>
  <si>
    <t>130圆脚子母茶几</t>
  </si>
  <si>
    <t>（岩板桌面）</t>
  </si>
  <si>
    <t>圆脚单茶几/ 金色脚/ 纯白岩板 60cm</t>
  </si>
  <si>
    <t>66*10*66cm</t>
  </si>
  <si>
    <t>6. 94</t>
  </si>
  <si>
    <t>68. 4</t>
  </si>
  <si>
    <t>7. 4</t>
  </si>
  <si>
    <t>不上架店铺，特殊情况卖</t>
  </si>
  <si>
    <t>淘宝：诗琪 拼多多： 德河</t>
  </si>
  <si>
    <t>圆脚子母茶几 / 白色脚/ 纯白大桌 60cm/ 纯白小桌 45cm</t>
  </si>
  <si>
    <t>81. 65</t>
  </si>
  <si>
    <t>125. 1</t>
  </si>
  <si>
    <t>】 130圆脚子母茶几( 岩板桌面) -详情图</t>
  </si>
  <si>
    <t>ht t ps : / / kdo cs . cn/ l / chi wEP1nn0i V</t>
  </si>
  <si>
    <t>【金山文档】 130圆脚子母茶几( 岩板桌面) -买家秀</t>
  </si>
  <si>
    <t>. cn/ l / cr y ZWL7 Eag 2G</t>
  </si>
  <si>
    <t>圆脚子母茶几 / 黑色脚/ 纯白大桌 60cm/ 纯白小桌 45cm</t>
  </si>
  <si>
    <t>圆脚子母茶几/ 黑色脚/ 纯白大桌 60cm/ 劳伦黑小桌 45cm</t>
  </si>
  <si>
    <t>圆脚子母茶几/ 金色脚/ 纯白大桌 60cm/ 纯白小桌 45cm（停）</t>
  </si>
  <si>
    <t>86. 6</t>
  </si>
  <si>
    <t>130. 0</t>
  </si>
  <si>
    <t>圆脚子母茶几/ 金色脚/ 纯白大桌 60cm/ 劳伦黑小桌 45cm</t>
  </si>
  <si>
    <t>圆脚子母茶几/ 白色脚/ 纯白大桌 70cm/ 纯白小桌 50cm（停）</t>
  </si>
  <si>
    <t>122. 52</t>
  </si>
  <si>
    <t>7. 88</t>
  </si>
  <si>
    <t>174. 4</t>
  </si>
  <si>
    <t>圆脚子母茶几/ 黑色脚/ 纯白大桌 70cm/ 纯白小桌 50cm（停）</t>
  </si>
  <si>
    <t>圆脚子母茶几/ 黑色脚/ 纯白大桌 70cm/ 劳伦黑小桌 50cm（ 停）</t>
  </si>
  <si>
    <t>圆脚子母茶几 / 金色脚/ 纯白大桌 70cm/ 纯白小桌 50cm</t>
  </si>
  <si>
    <t>129. 12</t>
  </si>
  <si>
    <t>181. 0</t>
  </si>
  <si>
    <t>圆脚子母茶几/ 金色脚/ 纯白大桌 70cm/ 劳伦黑小桌 50cm</t>
  </si>
  <si>
    <t>圆脚子母茶几/ 白色脚/ 纯白大桌 80cm/ 纯白小桌 60cm（停）</t>
  </si>
  <si>
    <t>129. 67</t>
  </si>
  <si>
    <t>191. 2</t>
  </si>
  <si>
    <t>圆脚子母茶几 / 黑色脚/ 纯白大桌 80cm/ 纯白小桌 60cm</t>
  </si>
  <si>
    <t>圆脚子母茶几/ 黑色脚/ 纯白大桌 80cm/ 劳伦黑小桌 60cm</t>
  </si>
  <si>
    <t>圆脚子母茶几 / 金色脚/ 纯白大桌 80cm/ 纯白小桌 60cm</t>
  </si>
  <si>
    <t>137. 02</t>
  </si>
  <si>
    <t>198. 5</t>
  </si>
  <si>
    <t>圆脚子母茶几/ 金色脚/ 纯白大桌 80cm/ 劳伦黑小桌 60cm</t>
  </si>
  <si>
    <t>129多球鞋架</t>
  </si>
  <si>
    <t>多球鞋架/ 奶白/ 3 层/ 50cm长</t>
  </si>
  <si>
    <t>66*10*32cm</t>
  </si>
  <si>
    <t>3. 04</t>
  </si>
  <si>
    <t>57. 5</t>
  </si>
  <si>
    <t>】 129多球鞋架-详情图 ht t ps : / / kdo cs . cn/ l / cuD MbdM2Tf t x</t>
  </si>
  <si>
    <t>【金山文档】 129 多球鞋架-买家秀</t>
  </si>
  <si>
    <t>. cn/ l / cdOI v E3 J Rf o U</t>
  </si>
  <si>
    <t>多球鞋架/ 黑色/ 3 层/ 50cm长（ 停）</t>
  </si>
  <si>
    <t>多球鞋架/ 金色/ 3 层/ 50cm长（ 停）</t>
  </si>
  <si>
    <t>多球鞋架/ 奶白/ 4 层/ 50cm长（ 停）</t>
  </si>
  <si>
    <t>83*10*32cm</t>
  </si>
  <si>
    <t>3. 81</t>
  </si>
  <si>
    <t>3. 07</t>
  </si>
  <si>
    <t>73. 1</t>
  </si>
  <si>
    <t>多球鞋架/ 黑色/ 4 层/ 50cm长（ 停）</t>
  </si>
  <si>
    <t>多球鞋架/ 金色/ 4 层/ 50cm长（ 停）</t>
  </si>
  <si>
    <t>多球鞋架/ 奶白/ 5 层/ 50cm长（ 停）</t>
  </si>
  <si>
    <t>103*10*32cm</t>
  </si>
  <si>
    <t>4. 72</t>
  </si>
  <si>
    <t>多球鞋架/ 黑色/ 5 层/ 50cm长（ 停）</t>
  </si>
  <si>
    <t>多球鞋架/ 金色/ 5 层/ 50cm长（ 停）</t>
  </si>
  <si>
    <t>多球鞋架/ 奶白/ 3层/ 100cm长</t>
  </si>
  <si>
    <t>75. 7</t>
  </si>
  <si>
    <t>多球鞋架/ 黑色/ 3层/ 100cm长</t>
  </si>
  <si>
    <t>多球鞋架/ 金色/ 3层/ 100cm长</t>
  </si>
  <si>
    <t>多球鞋架/ 奶白/ 4层/ 100cm长</t>
  </si>
  <si>
    <t>多球鞋架/ 黑色/ 4层/ 100cm长</t>
  </si>
  <si>
    <t>多球鞋架/ 金色/ 4层/ 100cm长</t>
  </si>
  <si>
    <t>多球鞋架/ 奶白/ 5层/ 100cm长</t>
  </si>
  <si>
    <t>115. 7</t>
  </si>
  <si>
    <t>多球鞋架/ 黑色/ 5层/ 100cm长</t>
  </si>
  <si>
    <t>多球鞋架/ 金色/ 5层/ 100cm长</t>
  </si>
  <si>
    <t>128塑盘U形花架</t>
  </si>
  <si>
    <t>塑盘U型花架/ 奶白支架/ 奶白色岩板</t>
  </si>
  <si>
    <t>71*8. 5*33cm</t>
  </si>
  <si>
    <t>3. 06</t>
  </si>
  <si>
    <t>2. 55</t>
  </si>
  <si>
    <t>】 128塑盘U型花架-详情图</t>
  </si>
  <si>
    <t>cs . cn/ l / cg T I ut Mr o 9VX</t>
  </si>
  <si>
    <t>【金山文档】 128 塑盘U形花架-买家秀</t>
  </si>
  <si>
    <t>. cn/ l / ct l t 17p I dT2g</t>
  </si>
  <si>
    <t>塑盘U型花架/ 奶白支架/ 劳伦黑岩板</t>
  </si>
  <si>
    <t>塑盘U型花架/ 奶白支架/ 阿玛尼灰岩板</t>
  </si>
  <si>
    <t>塑盘U型花架/ 黑色支架/ 奶白色岩板</t>
  </si>
  <si>
    <t>塑盘U型花架/ 黑色支架/ 劳伦黑岩板</t>
  </si>
  <si>
    <t>塑盘U型花架/ 黑色支架/ 阿玛尼灰岩板</t>
  </si>
  <si>
    <t>塑盘U型花架/ 金色支架/ 奶白色岩板</t>
  </si>
  <si>
    <t>26. 8</t>
  </si>
  <si>
    <t>40. 4</t>
  </si>
  <si>
    <t>塑盘U型花架/ 金色支架/ 劳伦黑岩板</t>
  </si>
  <si>
    <t>塑盘U型花架/ 金色支架/ 阿玛尼灰岩板</t>
  </si>
  <si>
    <t>127 人字形花架</t>
  </si>
  <si>
    <t>人字形花架/ 奶白支架/ 奶白色岩板</t>
  </si>
  <si>
    <t>】 127人字形花架-详情图</t>
  </si>
  <si>
    <t>ht t ps : / / kdo cs . cn/ l / cmA s yoel I v FU</t>
  </si>
  <si>
    <t>【金山文档】 127人字形花架</t>
  </si>
  <si>
    <t>. cn/ l / cs 3Hl QL xf NEJ</t>
  </si>
  <si>
    <t>人字形花架/ 奶白支架/ 劳伦黑岩板（停）</t>
  </si>
  <si>
    <t>人字形花架 / 奶白支架/ 阿玛尼灰岩板 （停）</t>
  </si>
  <si>
    <t>人字形花架/ 黑色支架/ 奶白色岩板</t>
  </si>
  <si>
    <t>人字形花架/ 黑色支架/ 劳伦黑岩板</t>
  </si>
  <si>
    <t>人字形花架 / 黑色支架/ 阿玛尼灰岩板 （停）</t>
  </si>
  <si>
    <t>人字形花架/ 金色支架/ 奶白色岩板</t>
  </si>
  <si>
    <t>人字形花架/ 金色支架/ 劳伦黑岩板（停）</t>
  </si>
  <si>
    <t>人字形花架 / 金色支架/ 阿玛尼灰岩板 （停）</t>
  </si>
  <si>
    <t>126 双层抽屉茶几A款</t>
  </si>
  <si>
    <t>双层抽屉茶几 A款/ 白脚/ 白柜/ 45cm直径（停）</t>
  </si>
  <si>
    <t>50*50*32cm</t>
  </si>
  <si>
    <t>11. 49</t>
  </si>
  <si>
    <t>130. 2</t>
  </si>
  <si>
    <t>182. 7</t>
  </si>
  <si>
    <t>】 126双层抽屉茶几A款</t>
  </si>
  <si>
    <t>ht t ps : / / kdo cs . cn/ l / ccp hEphmj Hu6</t>
  </si>
  <si>
    <t>【金山文档】 126双层抽屉茶几A款-买家秀 ht t ps : / / kdocs</t>
  </si>
  <si>
    <t>. cn/ l / cgug OLV A5dMq</t>
  </si>
  <si>
    <t>双层抽屉茶几 A款/ 黑脚/ 白柜/ 45cm直径（停）</t>
  </si>
  <si>
    <t>双层抽屉茶几 A款/ 金脚/ 白柜/ 45cm直径（停）</t>
  </si>
  <si>
    <t>双层抽屉茶几 A款/ 白脚/ 白柜/ 50cm直径（停）</t>
  </si>
  <si>
    <t>55*55*32cm</t>
  </si>
  <si>
    <t>13. 81</t>
  </si>
  <si>
    <t>213. 0</t>
  </si>
  <si>
    <t>双层抽屉茶几 A款/ 黑脚/ 白柜/ 50cm直径（停）</t>
  </si>
  <si>
    <t>双层抽屉茶几A款/ 金脚/ 白柜/ 50cm 直径（ 停）</t>
  </si>
  <si>
    <t>双层抽屉茶几 A款/ 白脚/ 白柜/ 60cm直径（停）</t>
  </si>
  <si>
    <t>65*65*32cm</t>
  </si>
  <si>
    <t>19. 08</t>
  </si>
  <si>
    <t>146. 3</t>
  </si>
  <si>
    <t>30. 7</t>
  </si>
  <si>
    <t>227. 0</t>
  </si>
  <si>
    <t>双层抽屉茶几 A款/ 黑脚/ 白柜/ 60cm直径（停）</t>
  </si>
  <si>
    <t>双层抽屉茶几 A款/ 金脚/ 白柜/ 60cm直径（停）</t>
  </si>
  <si>
    <t>125 单层双抽茶几A款</t>
  </si>
  <si>
    <t>单层双抽茶几 A款/ 白脚/ 白柜/ 80cm直径（停）</t>
  </si>
  <si>
    <t>85*85*23cm</t>
  </si>
  <si>
    <t>23. 65</t>
  </si>
  <si>
    <t>279. 6</t>
  </si>
  <si>
    <t>373. 6</t>
  </si>
  <si>
    <t>】 125单层双抽茶几A款</t>
  </si>
  <si>
    <t>ht t ps : / / kdo cs . cn/ l / cj R 0z J FdYOYr</t>
  </si>
  <si>
    <t>【金山文档】 125单层双抽茶几A款-买家秀 ht t ps : / / kdocs</t>
  </si>
  <si>
    <t>. cn/ l / cnv HXI q</t>
  </si>
  <si>
    <t>uSkpH</t>
  </si>
  <si>
    <t>单层双抽茶几 A款/ 黑脚/ 白柜/ 80cm直径（停）</t>
  </si>
  <si>
    <t>单层双抽茶几 A款/ 金脚/ 白柜/ 80cm直径（停）</t>
  </si>
  <si>
    <t>124 鱼骨衣帽架</t>
  </si>
  <si>
    <t>鱼骨衣帽架/ 雪山白岩板/ 白色支架（停）</t>
  </si>
  <si>
    <t>122*36*10cm</t>
  </si>
  <si>
    <t>6. 26</t>
  </si>
  <si>
    <t>32. 05</t>
  </si>
  <si>
    <t>4. 61</t>
  </si>
  <si>
    <t>53. 2</t>
  </si>
  <si>
    <t>10. 1</t>
  </si>
  <si>
    <t>】 124鱼骨衣帽架-详情图</t>
  </si>
  <si>
    <t>ht t ps : / / kdo cs . cn/ l / cgr J 8nGLMCTd</t>
  </si>
  <si>
    <t>【金山文档】 124鱼骨衣帽架</t>
  </si>
  <si>
    <t>. cn/ l / cnEJ l 5q Mu1kQ</t>
  </si>
  <si>
    <t>【WPS云文档】 124 鱼骨衣帽架-包装图</t>
  </si>
  <si>
    <t>docs . cn/ l / cui T4RO62acm</t>
  </si>
  <si>
    <t>鱼骨衣帽架/ 劳伦黑岩板/ 白色支架</t>
  </si>
  <si>
    <t>鱼骨衣帽架 / 阿玛尼灰岩板 / 白色支架</t>
  </si>
  <si>
    <t>鱼骨衣帽架/ 雪山白岩板/ 黑金支架</t>
  </si>
  <si>
    <t>鱼骨衣帽架/ 劳伦黑岩板/ 黑金支架</t>
  </si>
  <si>
    <t>鱼骨衣帽架 / 阿玛尼灰岩板 / 黑金支架</t>
  </si>
  <si>
    <t>鱼骨衣帽架/ 雪山白岩板/ 黑色支架</t>
  </si>
  <si>
    <t>鱼骨衣帽架/ 劳伦黑岩板/ 黑色支架</t>
  </si>
  <si>
    <t>鱼骨衣帽架 / 阿玛尼灰岩板 / 黑色支架</t>
  </si>
  <si>
    <t>鱼骨衣帽架/ 雪山白岩板/ 金色支架</t>
  </si>
  <si>
    <t>鱼骨衣帽架/ 劳伦黑岩板/ 金色支架</t>
  </si>
  <si>
    <t>鱼骨衣帽架 / 阿玛尼灰岩板 / 金色支架</t>
  </si>
  <si>
    <t>123玻璃茶几D款</t>
  </si>
  <si>
    <t>玻璃茶几D款/ 黑色架/ 茶色玻璃/ 直径45cm（停）</t>
  </si>
  <si>
    <t>50*50*12cm</t>
  </si>
  <si>
    <t>4. 73</t>
  </si>
  <si>
    <t>3. 48</t>
  </si>
  <si>
    <t>54. 1</t>
  </si>
  <si>
    <t>】 123玻璃茶几D款-详情图</t>
  </si>
  <si>
    <t>cs . cn/ l / cuS uDPpHh4kc</t>
  </si>
  <si>
    <t>【金山文档】 123 玻璃茶几D款-买家秀</t>
  </si>
  <si>
    <t>. cn/ l / ct r S5K0 W3QDv</t>
  </si>
  <si>
    <t>玻璃茶几D款/ 黑色架/ 长虹玻璃/ 直径45cm（停）</t>
  </si>
  <si>
    <t>玻璃茶几D款/ 金色架/ 茶色玻璃/ 直径45cm</t>
  </si>
  <si>
    <t>57. 1</t>
  </si>
  <si>
    <t>玻璃茶几D款/ 金色架/ 长虹玻璃/ 直径45cm</t>
  </si>
  <si>
    <t>玻璃茶几D款/ 奶白架/ 茶色玻璃/ 直径45cm（停）</t>
  </si>
  <si>
    <t>玻璃茶几D款/ 奶白架/ 长虹玻璃/ 直径45cm（停）</t>
  </si>
  <si>
    <t>玻璃茶几D款/ 黑色架/ 茶色玻璃/ 直径60cm（停）</t>
  </si>
  <si>
    <t>65*65*11cm</t>
  </si>
  <si>
    <t>7. 29</t>
  </si>
  <si>
    <t>50. 18</t>
  </si>
  <si>
    <t>5. 35</t>
  </si>
  <si>
    <t>78. 5</t>
  </si>
  <si>
    <t>玻璃茶几D款/ 黑色架/ 长虹玻璃/ 直径60cm（停）</t>
  </si>
  <si>
    <t>玻璃茶几D款/ 金色架/ 茶色玻璃/ 直径60cm（停）</t>
  </si>
  <si>
    <t>53. 18</t>
  </si>
  <si>
    <t>玻璃茶几D款/ 金色架/ 长虹玻璃/ 直径60cm（停）</t>
  </si>
  <si>
    <t>玻璃茶几D款/ 奶白架/ 茶色玻璃/ 直径60cm（停）</t>
  </si>
  <si>
    <t>玻璃茶几D款/ 奶白架/ 长虹玻璃/ 直径60cm（停）</t>
  </si>
  <si>
    <t>玻璃茶几D款/ 黑色架/ 茶色玻璃/ 直径70cm（停）</t>
  </si>
  <si>
    <t>75*75*11cm</t>
  </si>
  <si>
    <t>9. 63</t>
  </si>
  <si>
    <t>61. 92</t>
  </si>
  <si>
    <t>96. 9</t>
  </si>
  <si>
    <t>玻璃茶几D款/ 黑色架/ 长虹玻璃/ 直径70cm（停）</t>
  </si>
  <si>
    <t>玻璃茶几D款/ 金色架/ 茶色玻璃/ 直径70cm（停）</t>
  </si>
  <si>
    <t>64. 92</t>
  </si>
  <si>
    <t>99. 9</t>
  </si>
  <si>
    <t>玻璃茶几D款/ 金色架/ 长虹玻璃/ 直径70cm（停）</t>
  </si>
  <si>
    <t>玻璃茶几D款/ 奶白架/ 茶色玻璃/ 直径70cm（停）</t>
  </si>
  <si>
    <t>玻璃茶几D款/ 奶白架/ 长虹玻璃/ 直径70cm（停）</t>
  </si>
  <si>
    <t>玻璃茶几D款/ 黑色架/ 茶色玻璃/ 直径80cm（停）</t>
  </si>
  <si>
    <t>85*85*11cm</t>
  </si>
  <si>
    <t>12. 30</t>
  </si>
  <si>
    <t>75. 82</t>
  </si>
  <si>
    <t>120. 8</t>
  </si>
  <si>
    <t>玻璃茶几D款/ 黑色架/ 长虹玻璃/ 直径80cm（停）</t>
  </si>
  <si>
    <t>玻璃茶几D款/ 金色架/ 茶色玻璃/ 直径80cm</t>
  </si>
  <si>
    <t>78. 82</t>
  </si>
  <si>
    <t>123. 8</t>
  </si>
  <si>
    <t>玻璃茶几D款/ 金色架/ 长虹玻璃/ 直径80cm</t>
  </si>
  <si>
    <t>玻璃茶几D款/ 奶白架/ 茶色玻璃/ 直径80cm（停）</t>
  </si>
  <si>
    <t>玻璃茶几D款/ 奶白架/ 长虹玻璃/ 直径80cm（停）</t>
  </si>
  <si>
    <t>五层挂衣撑 / 1个装</t>
  </si>
  <si>
    <t>43*5*13cm</t>
  </si>
  <si>
    <t>7. 1</t>
  </si>
  <si>
    <t>12. 1</t>
  </si>
  <si>
    <t>15. 8</t>
  </si>
  <si>
    <t>【金山文档】</t>
  </si>
  <si>
    <t>122 五层挂衣撑</t>
  </si>
  <si>
    <t>五层挂衣撑 / 2个装</t>
  </si>
  <si>
    <t>43*8*13cm</t>
  </si>
  <si>
    <t>0. 9</t>
  </si>
  <si>
    <t>0. 55</t>
  </si>
  <si>
    <t>19. 8</t>
  </si>
  <si>
    <t>】 122五层</t>
  </si>
  <si>
    <t>挂衣撑-详情图</t>
  </si>
  <si>
    <t>ht t ps : / / kdo cs . cn/ l / cj P Qi i 79u3U3</t>
  </si>
  <si>
    <t>122五层挂衣撑</t>
  </si>
  <si>
    <t>. cn/ l / cdi PI WC hqz Se</t>
  </si>
  <si>
    <t>五层挂衣撑 / 3个装</t>
  </si>
  <si>
    <t>43*10*13cm</t>
  </si>
  <si>
    <t>1. 3</t>
  </si>
  <si>
    <t>0. 65</t>
  </si>
  <si>
    <t>28. 0</t>
  </si>
  <si>
    <t>34. 8</t>
  </si>
  <si>
    <t>121 贴墙置物架A款</t>
  </si>
  <si>
    <t>贴墙置物架A款/ 金色（ 停）</t>
  </si>
  <si>
    <t>23*14. 4*36. 5cm</t>
  </si>
  <si>
    <t>1. 98</t>
  </si>
  <si>
    <t>17. 9</t>
  </si>
  <si>
    <t>17. 3</t>
  </si>
  <si>
    <t>】 121贴墙置物架A款-详情图</t>
  </si>
  <si>
    <t>ht t ps : / / kdo cs . cn/ l / chL apFbRJ PK2</t>
  </si>
  <si>
    <t>【金山文档】 121贴墙置物架 A款-买家秀</t>
  </si>
  <si>
    <t>. cn/ l / ct 754ac UuL7Z</t>
  </si>
  <si>
    <t>贴墙置物架A款/ 白色（ 停）</t>
  </si>
  <si>
    <t>11. 1</t>
  </si>
  <si>
    <t>16. 9</t>
  </si>
  <si>
    <t>16. 4</t>
  </si>
  <si>
    <t>贴墙置物架A款/ 黑色（ 停）</t>
  </si>
  <si>
    <t>120小猫门后挂钩</t>
  </si>
  <si>
    <t>小猫门后挂钩 / 金色/ 1个装</t>
  </si>
  <si>
    <t>25*7*46cm</t>
  </si>
  <si>
    <t>0. 4</t>
  </si>
  <si>
    <t>1. 22</t>
  </si>
  <si>
    <t>0. 7</t>
  </si>
  <si>
    <t>】 120小猫门后挂钩-详情图</t>
  </si>
  <si>
    <t>ht t ps : / / kdo cs . cn/ l / ce K B0KRS92r k</t>
  </si>
  <si>
    <t>【金山文档】 120小猫门后挂钩-买家秀</t>
  </si>
  <si>
    <t>. cn/ l / cqXJ 7g O S433v</t>
  </si>
  <si>
    <t>【WPS云文档】 120小猫门后挂钩-包装图</t>
  </si>
  <si>
    <t>ht t ps : / / www. k docs . cn/ l / cj Z BTbJ Ml r P1</t>
  </si>
  <si>
    <t>小猫门后挂钩 / 白色/ 1 个装（停）</t>
  </si>
  <si>
    <t>8. 1</t>
  </si>
  <si>
    <t>-39. 5</t>
  </si>
  <si>
    <t>小猫门后挂钩 / 黑色/ 1个装</t>
  </si>
  <si>
    <t>小猫门后挂钩 / 金色/ 2个装</t>
  </si>
  <si>
    <t>15. 9</t>
  </si>
  <si>
    <t>小猫门后挂钩 / 白色/ 2 个装（停）</t>
  </si>
  <si>
    <t>13. 9</t>
  </si>
  <si>
    <t>小猫门后挂钩 / 黑色/ 2个装</t>
  </si>
  <si>
    <t>小猫门后挂钩 / 金色/ 3个装</t>
  </si>
  <si>
    <t>小猫门后挂钩 / 白色/ 3 个装（停）</t>
  </si>
  <si>
    <t>小猫门后挂钩 / 黑色/ 3个装</t>
  </si>
  <si>
    <t>119爆款玻璃茶几</t>
  </si>
  <si>
    <t>爆款玻璃茶几/ 黑色脚/ 60cm茶色玻璃/ 50cm奶白岩板（停）</t>
  </si>
  <si>
    <t>66*66*10. 5cm</t>
  </si>
  <si>
    <t>69. 18</t>
  </si>
  <si>
    <t>】 119爆款玻璃茶几-详情图</t>
  </si>
  <si>
    <t>cs . cn/ l / cqH uqcj mi 7SY</t>
  </si>
  <si>
    <t>【金山文档】 119爆款玻璃茶几-买家秀</t>
  </si>
  <si>
    <t>. cn/ l / cs SHg NH Vx 7I S</t>
  </si>
  <si>
    <t>爆款玻璃茶几/ 金色脚/ 60cm茶色玻璃/ 50cm奶白岩板（停）</t>
  </si>
  <si>
    <t>爆款玻璃茶几 / 奶白脚/ 60cm茶色玻璃/ 50cm奶白岩板( 停)</t>
  </si>
  <si>
    <t>爆款玻璃茶几 / 黑色脚/ 60cm长虹玻璃/ 50cm奶白岩板( 停)</t>
  </si>
  <si>
    <t>爆款玻璃茶几/ 金色脚/ 60cm长虹玻璃/ 50cm奶白岩板（停）</t>
  </si>
  <si>
    <t>爆款玻璃茶几 / 奶白脚/ 60cm长虹玻璃/ 50cm奶白岩板( 停)</t>
  </si>
  <si>
    <t>爆款玻璃茶几 / 黑色脚/ 70cm茶色玻璃/ 60cm奶白岩板( 停)</t>
  </si>
  <si>
    <t>76*76*10. 5cm</t>
  </si>
  <si>
    <t>9. 89</t>
  </si>
  <si>
    <t>81. 92</t>
  </si>
  <si>
    <t>7. 46</t>
  </si>
  <si>
    <t>124. 9</t>
  </si>
  <si>
    <t>爆款玻璃茶几/ 金色脚/ 70cm茶色玻璃/ 60cm奶白岩板（停）</t>
  </si>
  <si>
    <t>爆款玻璃茶几/ 奶白脚/ 70cm茶色玻璃/ 60cm奶白岩板（停）</t>
  </si>
  <si>
    <t>爆款玻璃茶几 / 黑色脚/ 70cm长虹玻璃/ 60cm奶白岩板( 停)</t>
  </si>
  <si>
    <t>爆款玻璃茶几/ 金色脚/ 70cm长虹玻璃/ 60cm奶白岩板（停）</t>
  </si>
  <si>
    <t>爆款玻璃茶几/ 奶白脚/ 70cm长虹玻璃/ 60cm奶白岩板（停）</t>
  </si>
  <si>
    <t>爆款玻璃茶几 / 黑色脚/ 80cm茶色玻璃/ 70cm奶白岩板</t>
  </si>
  <si>
    <t>86*86*10. 5cm</t>
  </si>
  <si>
    <t>12. 58</t>
  </si>
  <si>
    <t>106. 82</t>
  </si>
  <si>
    <t>161. 0</t>
  </si>
  <si>
    <t>爆款玻璃茶几 / 金色脚/ 80cm茶色玻璃/ 70cm奶白岩板</t>
  </si>
  <si>
    <t>爆款玻璃茶几 / 奶白脚/ 80cm茶色玻璃/ 70cm奶白岩板</t>
  </si>
  <si>
    <t>爆款玻璃茶几 / 黑色脚/ 80cm长虹玻璃/ 70cm奶白岩板</t>
  </si>
  <si>
    <t>爆款玻璃茶几 / 金色脚/ 80cm长虹玻璃/ 70cm奶白岩板</t>
  </si>
  <si>
    <t>爆款玻璃茶几 / 奶白脚/ 80cm长虹玻璃/ 70cm奶白岩板</t>
  </si>
  <si>
    <t>118爆款花架</t>
  </si>
  <si>
    <t>爆款花架/ 奶白/ 4 层</t>
  </si>
  <si>
    <t>86*30*7cm</t>
  </si>
  <si>
    <t>2. 73</t>
  </si>
  <si>
    <t>】 118爆款花架-详情图 ht t ps : / / kdo cs . cn/ l / cv I Q8hmv Rmj 1</t>
  </si>
  <si>
    <t>【金山文档】 118 爆款花架-买家秀</t>
  </si>
  <si>
    <t>. cn/ l / cc SZg Hc yx 9L6</t>
  </si>
  <si>
    <t>爆款花架/ 金色/ 4 层</t>
  </si>
  <si>
    <t>爆款花架/ 黑色/ 4 层</t>
  </si>
  <si>
    <t>爆款花架/ 奶白/ 5 层</t>
  </si>
  <si>
    <t>101*30*7cm</t>
  </si>
  <si>
    <t>2. 95</t>
  </si>
  <si>
    <t>2. 76</t>
  </si>
  <si>
    <t>48. 8</t>
  </si>
  <si>
    <t>爆款花架/ 金色/ 5 层</t>
  </si>
  <si>
    <t>爆款花架/ 黑色/ 5 层</t>
  </si>
  <si>
    <t>117 熊耳手推车</t>
  </si>
  <si>
    <t>熊耳手推车/ 奶白架/ 茶色玻璃</t>
  </si>
  <si>
    <t>74*26*46cm</t>
  </si>
  <si>
    <t>9. 2</t>
  </si>
  <si>
    <t>11. 90</t>
  </si>
  <si>
    <t>80. 77</t>
  </si>
  <si>
    <t>5. 21</t>
  </si>
  <si>
    <t>119. 0</t>
  </si>
  <si>
    <t>】117熊耳手推车-详情图 ht t ps : / / kdo cs . cn/ l / cam So KPTys 0g</t>
  </si>
  <si>
    <t>【WPS 云文档】 117熊耳手推车</t>
  </si>
  <si>
    <t>. cn/ l / cnYi s v Y QhAH2</t>
  </si>
  <si>
    <t>熊耳手推车/ 奶白架/ 长虹玻璃</t>
  </si>
  <si>
    <t>熊耳手推车/ 金色架/ 茶色玻璃</t>
  </si>
  <si>
    <t>85. 27</t>
  </si>
  <si>
    <t>123. 5</t>
  </si>
  <si>
    <t>熊耳手推车/ 金色架/ 长虹玻璃</t>
  </si>
  <si>
    <t>熊耳手推车 / 黑色架/ 茶色玻璃（停）</t>
  </si>
  <si>
    <t>79. 65</t>
  </si>
  <si>
    <t>117. 9</t>
  </si>
  <si>
    <t>熊耳手推车 / 黑色架/ 长虹玻璃（停）</t>
  </si>
  <si>
    <t>116爆款抽屉子母茶几</t>
  </si>
  <si>
    <t>爆款抽屉子母茶几 / 奶白脚/ 60cm茶色玻璃/ 45cm白色柜</t>
  </si>
  <si>
    <t>15. 61</t>
  </si>
  <si>
    <t>122. 18</t>
  </si>
  <si>
    <t>165. 9</t>
  </si>
  <si>
    <t>】 116爆款抽屉子母茶几-详情图</t>
  </si>
  <si>
    <t>cs . cn/ l / cdJ 123mGj 3U3</t>
  </si>
  <si>
    <t>【金山文档】 116爆款抽屉子母茶几-买家秀 ht t ps : / / kdocs</t>
  </si>
  <si>
    <t>. cn/ l / cpQME5H 4I gj g</t>
  </si>
  <si>
    <t>爆款抽屉子母茶几 / 黑色脚/ 60cm茶色玻璃/ 45cm白色柜</t>
  </si>
  <si>
    <t>爆款抽屉子母茶几 / 金色脚/ 60cm茶色玻璃/ 45cm白色柜</t>
  </si>
  <si>
    <t>爆款抽屉子母茶几 / 奶白脚/ 60cm长虹玻璃/ 45cm白色柜</t>
  </si>
  <si>
    <t>爆款抽屉子母茶几 / 黑色脚/ 60cm长虹玻璃/ 45cm白色柜</t>
  </si>
  <si>
    <t>爆款抽屉子母茶几 / 金色脚/ 60cm长虹玻璃/ 45cm白色柜</t>
  </si>
  <si>
    <t>爆款抽屉子母茶几 / 奶白脚/ 80cm茶色玻璃/ 60cm白色柜（ 停）</t>
  </si>
  <si>
    <t>26. 14</t>
  </si>
  <si>
    <t>176. 82</t>
  </si>
  <si>
    <t>242. 7</t>
  </si>
  <si>
    <t>爆款抽屉子母茶几 / 黑色脚/ 80cm茶色玻璃/ 60cm白色柜（ 停）</t>
  </si>
  <si>
    <t>爆款抽屉子母茶几 / 金色脚/ 80cm茶色玻璃/ 60cm白色柜</t>
  </si>
  <si>
    <t>爆款抽屉子母茶几 / 奶白脚/ 80cm长虹玻璃/ 60cm白色柜</t>
  </si>
  <si>
    <t>爆款抽屉子母茶几 / 黑色脚/ 80cm长虹玻璃/ 60cm白色柜（ 停）</t>
  </si>
  <si>
    <t>爆款抽屉子母茶几 / 金色脚/ 80cm长虹玻璃/ 60cm白色柜</t>
  </si>
  <si>
    <t>115环抱沙发（ 单人桌椅）</t>
  </si>
  <si>
    <t>环抱沙发/ 单人位/ 粉色绒布</t>
  </si>
  <si>
    <t>68*67*76cm</t>
  </si>
  <si>
    <t>47. 09</t>
  </si>
  <si>
    <t>114. 6</t>
  </si>
  <si>
    <t>202. 6</t>
  </si>
  <si>
    <t>】115环抱沙发( 单人桌 椅) -详情图</t>
  </si>
  <si>
    <t>/ cdk8chNXMk HZ</t>
  </si>
  <si>
    <t>【金山文档】 115环抱沙发</t>
  </si>
  <si>
    <t>( 单人桌椅) -买家秀</t>
  </si>
  <si>
    <t>. cn/ l / cpFPTOC i ms K9</t>
  </si>
  <si>
    <t>【WPS云文档】 115 环抱沙发</t>
  </si>
  <si>
    <t>（单人）-包装图</t>
  </si>
  <si>
    <t>ht t ps : / / www. k docs . cn/ l / cf 0 WBXVt hVW7</t>
  </si>
  <si>
    <t>环抱沙发/ 单人位/ 灰色绒布</t>
  </si>
  <si>
    <t>71*11*62cm</t>
  </si>
  <si>
    <t>7. 59</t>
  </si>
  <si>
    <t>110. 5</t>
  </si>
  <si>
    <t>环抱沙发/ 单人位/ 粉色绒布X2 张+圆桌1张</t>
  </si>
  <si>
    <t>沙发x 2+圆桌x 1</t>
  </si>
  <si>
    <t>0. 00</t>
  </si>
  <si>
    <t>297. 2</t>
  </si>
  <si>
    <t>531. 2</t>
  </si>
  <si>
    <t>环抱沙发/ 单人位/ 灰色绒布X2 张+圆桌1张</t>
  </si>
  <si>
    <t>162. 84</t>
  </si>
  <si>
    <t>114爆款衣帽架 （玻璃底座）</t>
  </si>
  <si>
    <t>爆款衣帽架/ 灰色玻璃/ 奶白树枝</t>
  </si>
  <si>
    <t>21. 52</t>
  </si>
  <si>
    <t>34. 0</t>
  </si>
  <si>
    <t>】 114爆款衣帽架（玻璃底座）-详情图</t>
  </si>
  <si>
    <t>ht t ps : / / kdo cs . cn/ l / ckv BEZx ZuFz w</t>
  </si>
  <si>
    <t>【金山文档】 114爆款衣帽架</t>
  </si>
  <si>
    <t>（ 玻璃底座）-买家秀</t>
  </si>
  <si>
    <t>. cn/ l / cr i f y DG mxvwW</t>
  </si>
  <si>
    <t>爆款衣帽架/ 灰色玻璃/ 奶白圆饼</t>
  </si>
  <si>
    <t>45*10*35cm</t>
  </si>
  <si>
    <t>爆款衣帽架/ 灰色玻璃/ 金色树枝</t>
  </si>
  <si>
    <t>爆款衣帽架/ 灰色玻璃/ 金色圆饼</t>
  </si>
  <si>
    <t>爆款衣帽架/ 灰色玻璃/ 黑色树枝</t>
  </si>
  <si>
    <t>爆款衣帽架/ 灰色玻璃/ 黑色圆饼</t>
  </si>
  <si>
    <t>爆款衣帽架/ 透明玻璃/ 奶白树枝</t>
  </si>
  <si>
    <t>爆款衣帽架/ 透明玻璃/ 奶白圆饼</t>
  </si>
  <si>
    <t>爆款衣帽架/ 透明玻璃/ 金色树枝</t>
  </si>
  <si>
    <t>爆款衣帽架/ 透明玻璃/ 金色圆饼</t>
  </si>
  <si>
    <t>爆款衣帽架/ 透明玻璃/ 黑色树枝</t>
  </si>
  <si>
    <t>爆款衣帽架/ 透明玻璃/ 黑色圆饼</t>
  </si>
  <si>
    <t>113云朵边几A款</t>
  </si>
  <si>
    <t>云朵边几A款/ 奶白树枝款 / 茶色玻璃</t>
  </si>
  <si>
    <t>50*14*50cm</t>
  </si>
  <si>
    <t>4. 88</t>
  </si>
  <si>
    <t>3. 55</t>
  </si>
  <si>
    <t>73. 6</t>
  </si>
  <si>
    <t>】 113云朵边几A款-详情图</t>
  </si>
  <si>
    <t>cs . cn/ l / cj y r Vwcmf Cek</t>
  </si>
  <si>
    <t>【金山文档】 113 云朵边几A款-买家秀</t>
  </si>
  <si>
    <t>. cn/ l / cf LSXF4 HJ ny 4</t>
  </si>
  <si>
    <t>云朵边几A款/ 奶白树枝款 / 奶白岩板</t>
  </si>
  <si>
    <t>74. 6</t>
  </si>
  <si>
    <t>云朵边几A款/ 黑色树枝款 / 茶色玻璃</t>
  </si>
  <si>
    <t>云朵边几A款/ 黑色树枝款 / 奶白岩板</t>
  </si>
  <si>
    <t>云朵边几A款/ 金色树枝款 / 茶色玻璃</t>
  </si>
  <si>
    <t>云朵边几A款/ 金色树枝款 / 奶白岩板</t>
  </si>
  <si>
    <t>云朵边几A款/ 奶白仙人掌 / 茶色玻璃</t>
  </si>
  <si>
    <t>50*17*50cm</t>
  </si>
  <si>
    <t>5. 85</t>
  </si>
  <si>
    <t>76. 6</t>
  </si>
  <si>
    <t>云朵边几A款/ 奶白仙人掌 / 奶白岩板</t>
  </si>
  <si>
    <t>79. 3</t>
  </si>
  <si>
    <t>云朵边几A款/ 黑色仙人掌 / 茶色玻璃</t>
  </si>
  <si>
    <t>云朵边几A款/ 黑色仙人掌 / 奶白岩板</t>
  </si>
  <si>
    <t>云朵边几A款/ 金色仙人掌 / 茶色玻璃</t>
  </si>
  <si>
    <t>云朵边几A款/ 金色仙人掌 / 奶白岩板</t>
  </si>
  <si>
    <t>112 备菜架A款</t>
  </si>
  <si>
    <t>备菜架A款/ 白色/ 2层</t>
  </si>
  <si>
    <t>25*20*25cm</t>
  </si>
  <si>
    <t>1. 77</t>
  </si>
  <si>
    <t>9. 9</t>
  </si>
  <si>
    <t>11. 0</t>
  </si>
  <si>
    <t>】 112备菜架A款-详情图</t>
  </si>
  <si>
    <t>ht t ps : / / kdo cs . cn/ l / ce B bI p1pHT97</t>
  </si>
  <si>
    <t>【金山文档】 112备菜架A款-买家秀</t>
  </si>
  <si>
    <t>. cn/ l / cc H1aye Bc UHb</t>
  </si>
  <si>
    <t>【WPS云文档】 112备菜架A款-包装图</t>
  </si>
  <si>
    <t>docs . cn/ l / cuR vcv 1c QV42</t>
  </si>
  <si>
    <t>备菜架A款/ 白色/ 5层</t>
  </si>
  <si>
    <t>25*20*42cm</t>
  </si>
  <si>
    <t>0. 85</t>
  </si>
  <si>
    <t>2. 93</t>
  </si>
  <si>
    <t>14. 0</t>
  </si>
  <si>
    <t>备菜架A款/ 黑色/ 2层</t>
  </si>
  <si>
    <t>备菜架A款/ 黑色/ 5层</t>
  </si>
  <si>
    <t>备菜架A款/ 金色/ 2层（停）</t>
  </si>
  <si>
    <t>备菜架A款/ 金色/ 5层</t>
  </si>
  <si>
    <t>111柱形两盘花架</t>
  </si>
  <si>
    <t>柱形两盘花架/ 白色/ 直径20cm</t>
  </si>
  <si>
    <t>59*7*23cm</t>
  </si>
  <si>
    <t>1. 44</t>
  </si>
  <si>
    <t>1. 33</t>
  </si>
  <si>
    <t>20. 3</t>
  </si>
  <si>
    <t>】 111柱形两盘花架-详情图</t>
  </si>
  <si>
    <t>cs . cn/ l / ca I t PHnkR6TD</t>
  </si>
  <si>
    <t>【金山文档】 111柱形两盘花架-买家秀</t>
  </si>
  <si>
    <t>. cn/ l / cbTv 4Zp Hi 7bn</t>
  </si>
  <si>
    <t>柱形两盘花架/ 白色/ 直径25cm</t>
  </si>
  <si>
    <t>59*6*29cm</t>
  </si>
  <si>
    <t>1. 58</t>
  </si>
  <si>
    <t>22. 6</t>
  </si>
  <si>
    <t>柱形两盘花架/ 白色/ 直径30cm</t>
  </si>
  <si>
    <t>59*7*33cm</t>
  </si>
  <si>
    <t>2. 04</t>
  </si>
  <si>
    <t>1. 78</t>
  </si>
  <si>
    <t>柱形两盘花架/ 白色/ 直径35cm</t>
  </si>
  <si>
    <t>59*6*38cm</t>
  </si>
  <si>
    <t>2. 05</t>
  </si>
  <si>
    <t>柱形两盘花架/ 白色/ 直径40cm</t>
  </si>
  <si>
    <t>59*6*43cm</t>
  </si>
  <si>
    <t>2. 31</t>
  </si>
  <si>
    <t>2. 22</t>
  </si>
  <si>
    <t>32. 2</t>
  </si>
  <si>
    <t>柱形两盘花架/ 黑色/ 直径20cm</t>
  </si>
  <si>
    <t>柱形两盘花架/ 黑色/ 直径25cm</t>
  </si>
  <si>
    <t>柱形两盘花架/ 黑色/ 直径30cm</t>
  </si>
  <si>
    <t>柱形两盘花架/ 黑色/ 直径35cm</t>
  </si>
  <si>
    <t>柱形两盘花架/ 黑色/ 直径40cm</t>
  </si>
  <si>
    <t>柱形两盘花架/ 金色/ 直径20cm</t>
  </si>
  <si>
    <t>柱形两盘花架/ 金色/ 直径25cm</t>
  </si>
  <si>
    <t>23. 6</t>
  </si>
  <si>
    <t>柱形两盘花架/ 金色/ 直径30cm</t>
  </si>
  <si>
    <t>柱形两盘花架/ 金色/ 直径35cm</t>
  </si>
  <si>
    <t>30. 0</t>
  </si>
  <si>
    <t>柱形两盘花架/ 金色/ 直径40cm</t>
  </si>
  <si>
    <t>34. 2</t>
  </si>
  <si>
    <t>110 熊耳小边几A款</t>
  </si>
  <si>
    <t>熊耳小边几A款/ 奶白架/ 茶色玻璃</t>
  </si>
  <si>
    <t>69*23*43cm</t>
  </si>
  <si>
    <t>9. 24</t>
  </si>
  <si>
    <t>46. 02</t>
  </si>
  <si>
    <t>4. 46</t>
  </si>
  <si>
    <t>76. 5</t>
  </si>
  <si>
    <t>】110熊耳小边几A款-详情图</t>
  </si>
  <si>
    <t>cs . cn/ l / ckQ LBpi 0YCUx</t>
  </si>
  <si>
    <t>【WPS 云文档】 110熊耳小边几 A款-买家秀</t>
  </si>
  <si>
    <t>. cn/ l / cdEGMwt z AhTE</t>
  </si>
  <si>
    <t>熊耳小边几A款/ 奶白架/ 长虹玻璃</t>
  </si>
  <si>
    <t>熊耳小边几A款/ 金色架/ 茶色玻璃</t>
  </si>
  <si>
    <t>49. 55</t>
  </si>
  <si>
    <t>80. 0</t>
  </si>
  <si>
    <t>熊耳小边几A款/ 金色架/ 长虹玻璃</t>
  </si>
  <si>
    <t>熊耳小边几A款/ 黑色架/ 茶色玻璃</t>
  </si>
  <si>
    <t>45. 02</t>
  </si>
  <si>
    <t>熊耳小边几A款/ 黑色架/ 长虹玻璃</t>
  </si>
  <si>
    <t>109玻璃茶几C款</t>
  </si>
  <si>
    <t>玻璃茶几C款/ 黑色架/ 茶色玻璃/ 直径45cm</t>
  </si>
  <si>
    <t>51*8*50</t>
  </si>
  <si>
    <t>43. 7</t>
  </si>
  <si>
    <t>61. 7</t>
  </si>
  <si>
    <t>】109玻璃茶几C款-详情图</t>
  </si>
  <si>
    <t>/ cei s Spz 3S2 Xk</t>
  </si>
  <si>
    <t>【WPS 云文档】 109 玻璃茶几C款-买家秀</t>
  </si>
  <si>
    <t>. cn/ l / cucp19b nEv LQ</t>
  </si>
  <si>
    <t>京东：杨晨/ 诗琪</t>
  </si>
  <si>
    <t>玻璃茶几C款/ 黑色架/ 长虹玻璃/ 直径45cm</t>
  </si>
  <si>
    <t>玻璃茶几C款/ 金色架/ 茶色玻璃/ 直径45cm（停）</t>
  </si>
  <si>
    <t>65. 9</t>
  </si>
  <si>
    <t>玻璃茶几C款/ 金色架/ 长虹玻璃/ 直径45cm</t>
  </si>
  <si>
    <t>玻璃茶几C款/ 奶白架/ 茶色玻璃/ 直径45cm</t>
  </si>
  <si>
    <t>44. 54</t>
  </si>
  <si>
    <t>62. 5</t>
  </si>
  <si>
    <t>玻璃茶几C款/ 奶白架/ 长虹玻璃/ 直径45cm</t>
  </si>
  <si>
    <t>玻璃茶几C款/ 黑色架/ 茶色玻璃/ 直径60cm</t>
  </si>
  <si>
    <t>66*9*66</t>
  </si>
  <si>
    <t>4. 90</t>
  </si>
  <si>
    <t>63. 1</t>
  </si>
  <si>
    <t>87. 1</t>
  </si>
  <si>
    <t>玻璃茶几C款/ 黑色架/ 长虹玻璃/ 直径60cm（停）</t>
  </si>
  <si>
    <t>玻璃茶几C款/ 金色架/ 茶色玻璃/ 直径60cm（停）</t>
  </si>
  <si>
    <t>69. 7</t>
  </si>
  <si>
    <t>93. 7</t>
  </si>
  <si>
    <t>玻璃茶几C款/ 金色架/ 长虹玻璃/ 直径60cm</t>
  </si>
  <si>
    <t>玻璃茶几C款/ 奶白架/ 茶色玻璃/ 直径60cm</t>
  </si>
  <si>
    <t>64. 42</t>
  </si>
  <si>
    <t>玻璃茶几C款/ 奶白架/ 长虹玻璃/ 直径60cm</t>
  </si>
  <si>
    <t>玻璃茶几C款/ 黑色架/ 茶色玻璃/ 直径70cm</t>
  </si>
  <si>
    <t>10. 6</t>
  </si>
  <si>
    <t>84. 25</t>
  </si>
  <si>
    <t>114. 3</t>
  </si>
  <si>
    <t>玻璃茶几C款/ 黑色架/ 长虹玻璃/ 直径70cm</t>
  </si>
  <si>
    <t>10. 3</t>
  </si>
  <si>
    <t>玻璃茶几C款/ 金色架/ 茶色玻璃/ 直径70cm</t>
  </si>
  <si>
    <t>92. 5</t>
  </si>
  <si>
    <t>122. 5</t>
  </si>
  <si>
    <t>玻璃茶几C款/ 金色架/ 长虹玻璃/ 直径70cm</t>
  </si>
  <si>
    <t>玻璃茶几C款/ 奶白架/ 茶色玻璃/ 直径70cm</t>
  </si>
  <si>
    <t>85. 9</t>
  </si>
  <si>
    <t>115. 9</t>
  </si>
  <si>
    <t>玻璃茶几C款/ 奶白架/ 长虹玻璃/ 直径70cm</t>
  </si>
  <si>
    <t>玻璃茶几C款/ 黑色架/ 茶色玻璃/ 直径80cm</t>
  </si>
  <si>
    <t>97. 9</t>
  </si>
  <si>
    <t>137. 9</t>
  </si>
  <si>
    <t>玻璃茶几C款/ 黑色架/ 长虹玻璃/ 直径80cm</t>
  </si>
  <si>
    <t>玻璃茶几C款/ 金色架/ 茶色玻璃/ 直径80cm（停）</t>
  </si>
  <si>
    <t>107. 8</t>
  </si>
  <si>
    <t>147. 8</t>
  </si>
  <si>
    <t>玻璃茶几C款/ 金色架/ 长虹玻璃/ 直径80cm</t>
  </si>
  <si>
    <t>玻璃茶几C款/ 奶白架/ 茶色玻璃/ 直径80cm</t>
  </si>
  <si>
    <t>99. 88</t>
  </si>
  <si>
    <t>139. 9</t>
  </si>
  <si>
    <t>玻璃茶几C款/ 奶白架/ 长虹玻璃/ 直径80cm</t>
  </si>
  <si>
    <t>108玻璃茶几B款</t>
  </si>
  <si>
    <t>玻璃茶几B款/ 黑色架/ 茶色玻璃/ 直径60cm</t>
  </si>
  <si>
    <t>66*23*66cm</t>
  </si>
  <si>
    <t>14. 45</t>
  </si>
  <si>
    <t>125. 18</t>
  </si>
  <si>
    <t>5. 93</t>
  </si>
  <si>
    <t>168. 6</t>
  </si>
  <si>
    <t>】108玻璃茶几B款-详情图</t>
  </si>
  <si>
    <t>cs . cn/ l / cmi SBLba I 7j D</t>
  </si>
  <si>
    <t>【金山文档】 108 玻璃茶几B款-买家秀</t>
  </si>
  <si>
    <t>. cn/ l / ckXHXvk wI ABv</t>
  </si>
  <si>
    <t>淘宝：诗琪 拼多多： 待定京东：诗琪</t>
  </si>
  <si>
    <t>玻璃茶几B款/ 黑色架/ 长虹玻璃/ 直径60cm（停）</t>
  </si>
  <si>
    <t>玻璃茶几B款/ 金色架/ 茶色玻璃/ 直径60cm（停）</t>
  </si>
  <si>
    <t>130. 28</t>
  </si>
  <si>
    <t>173. 7</t>
  </si>
  <si>
    <t>玻璃茶几B款/ 金色架/ 长虹玻璃/ 直径60cm</t>
  </si>
  <si>
    <t>玻璃茶几B款/ 奶白架/ 茶色玻璃/ 直径60cm</t>
  </si>
  <si>
    <t>169. 6</t>
  </si>
  <si>
    <t>玻璃茶几B款/ 奶白架/ 长虹玻璃/ 直径60cm</t>
  </si>
  <si>
    <t>玻璃茶几B款/ 黑色架/ 茶色玻璃/ 直径70cm</t>
  </si>
  <si>
    <t>76*23*76cm</t>
  </si>
  <si>
    <t>20. 00</t>
  </si>
  <si>
    <t>148. 53</t>
  </si>
  <si>
    <t>206. 0</t>
  </si>
  <si>
    <t>玻璃茶几B款/ 黑色架/ 长虹玻璃/ 直径70cm（停）</t>
  </si>
  <si>
    <t>玻璃茶几B款/ 金色架/ 茶色玻璃/ 直径70cm（停）</t>
  </si>
  <si>
    <t>154. 68</t>
  </si>
  <si>
    <t>212. 1</t>
  </si>
  <si>
    <t>玻璃茶几B款/ 金色架/ 长虹玻璃/ 直径70cm</t>
  </si>
  <si>
    <t>玻璃茶几B款/ 奶白架/ 茶色玻璃/ 直径70cm</t>
  </si>
  <si>
    <t>149. 76</t>
  </si>
  <si>
    <t>207. 2</t>
  </si>
  <si>
    <t>玻璃茶几B款/ 奶白架/ 长虹玻璃/ 直径70cm</t>
  </si>
  <si>
    <t>玻璃茶几B款/ 黑色架/ 茶色玻璃/ 直径80cm</t>
  </si>
  <si>
    <t>86*23*86cm</t>
  </si>
  <si>
    <t>25. 31</t>
  </si>
  <si>
    <t>163. 52</t>
  </si>
  <si>
    <t>9. 75</t>
  </si>
  <si>
    <t>36. 5</t>
  </si>
  <si>
    <t>224. 8</t>
  </si>
  <si>
    <t>玻璃茶几B款/ 黑色架/ 长虹玻璃/ 直径80cm</t>
  </si>
  <si>
    <t>玻璃茶几B款/ 金色架/ 茶色玻璃/ 直径80cm</t>
  </si>
  <si>
    <t>玻璃茶几B款/ 金色架/ 长虹玻璃/ 直径80cm</t>
  </si>
  <si>
    <t>玻璃茶几B款/ 奶白架/ 茶色玻璃/ 直径80cm</t>
  </si>
  <si>
    <t>玻璃茶几B款/ 奶白架/ 长虹玻璃/ 直径80cm</t>
  </si>
  <si>
    <t>107 全身镜A款</t>
  </si>
  <si>
    <t>全身镜A款/ 奶白岩板/ 奶白树枝</t>
  </si>
  <si>
    <t>181*45*12cm</t>
  </si>
  <si>
    <t>15. 7</t>
  </si>
  <si>
    <t>15. 05</t>
  </si>
  <si>
    <t>120. 2</t>
  </si>
  <si>
    <t>10. 43</t>
  </si>
  <si>
    <t>174. 1</t>
  </si>
  <si>
    <t>】 107全身镜A款-详情图</t>
  </si>
  <si>
    <t>ht t ps : / / kdo cs . cn/ l / cs U t 6Owa 3i hd</t>
  </si>
  <si>
    <t>【金山文档】全身镜A款-买家秀</t>
  </si>
  <si>
    <t>. cn/ l / cmi 3s Vn qj 0PM</t>
  </si>
  <si>
    <t>全身镜A款/ 奶白岩板/ 黑色树枝</t>
  </si>
  <si>
    <t>119. 225</t>
  </si>
  <si>
    <t>173. 2</t>
  </si>
  <si>
    <t>全身镜A款/ 奶白岩板/ 金色树枝</t>
  </si>
  <si>
    <t>124. 1</t>
  </si>
  <si>
    <t>178. 0</t>
  </si>
  <si>
    <t>全身镜A款/ 奶白岩板/ 奶白圆饼</t>
  </si>
  <si>
    <t>全身镜A款/ 奶白岩板/ 黑色圆饼</t>
  </si>
  <si>
    <t>全身镜A款/ 奶白岩板/ 金色圆饼（ 停）</t>
  </si>
  <si>
    <t>106爆款玻璃边几</t>
  </si>
  <si>
    <t>爆款玻璃边几/ 奶白脚/ 茶色玻璃/ 奶白岩板</t>
  </si>
  <si>
    <t>3. 31</t>
  </si>
  <si>
    <t>47. 6</t>
  </si>
  <si>
    <t>】 106爆款玻璃边几-详情图</t>
  </si>
  <si>
    <t>cs . cn/ l / cf C mJ mDGr Lmn</t>
  </si>
  <si>
    <t>【金山文档】 106爆款玻璃边几-买家秀</t>
  </si>
  <si>
    <t>. cn/ l / cr d9kG0 YG1AU</t>
  </si>
  <si>
    <t>爆款玻璃边几/ 金色脚/ 茶色玻璃/ 奶白岩板（ 停）</t>
  </si>
  <si>
    <t>爆款玻璃边几/ 黑色脚/ 茶色玻璃/ 奶白岩板</t>
  </si>
  <si>
    <t>爆款玻璃边几/ 奶白脚/ 长虹玻璃/ 奶白岩板</t>
  </si>
  <si>
    <t>爆款玻璃边几/ 金色脚/ 长虹玻璃/ 奶白岩板</t>
  </si>
  <si>
    <t>爆款玻璃边几/ 黑色脚/ 长虹玻璃/ 奶白岩板</t>
  </si>
  <si>
    <t>105 蘑菇凳</t>
  </si>
  <si>
    <t>蘑菇凳/ 白色羊羔绒</t>
  </si>
  <si>
    <t>46*45*45</t>
  </si>
  <si>
    <t>13. 25</t>
  </si>
  <si>
    <t>7. 34</t>
  </si>
  <si>
    <t>87. 3</t>
  </si>
  <si>
    <t>】 蘑菇凳-详情图</t>
  </si>
  <si>
    <t>ht t ps : / / kdo cs . cn/ l / chS CARe Oyugr</t>
  </si>
  <si>
    <t>【金山文档】蘑菇凳-买家秀 ht t ps : / / kdocs</t>
  </si>
  <si>
    <t>. cn/ l / cr dt 1ZH i j S5A</t>
  </si>
  <si>
    <t>蘑菇凳/ 黄色羊羔绒</t>
  </si>
  <si>
    <t>蘑菇凳/ 卡其色羊羔绒</t>
  </si>
  <si>
    <t>104元宝沙发</t>
  </si>
  <si>
    <t>元宝沙发/ 90cm长</t>
  </si>
  <si>
    <t>92*72*78cm</t>
  </si>
  <si>
    <t>69. 56</t>
  </si>
  <si>
    <t>31. 03</t>
  </si>
  <si>
    <t>412. 0</t>
  </si>
  <si>
    <t>】 104元宝沙发-详情图 ht t ps : / / kdo cs . cn/ l / cai Rz 5Z82LqX</t>
  </si>
  <si>
    <t>【金山文档】元宝沙发-买家秀</t>
  </si>
  <si>
    <t>. cn/ l / ce Xw2j z J D0qg</t>
  </si>
  <si>
    <t>元宝沙发/ 160cm长</t>
  </si>
  <si>
    <t>162*64*92cm</t>
  </si>
  <si>
    <t>31. 1</t>
  </si>
  <si>
    <t>197. 32</t>
  </si>
  <si>
    <t>681. 1</t>
  </si>
  <si>
    <t>元宝沙发/ 180cm长</t>
  </si>
  <si>
    <t>182*72*87cm</t>
  </si>
  <si>
    <t>242. 36</t>
  </si>
  <si>
    <t>736. 4</t>
  </si>
  <si>
    <t>元宝沙发/ 200cm长</t>
  </si>
  <si>
    <t>202*72*87cm</t>
  </si>
  <si>
    <t>268. 71</t>
  </si>
  <si>
    <t>805. 2</t>
  </si>
  <si>
    <t>元宝沙发/ 230cm长</t>
  </si>
  <si>
    <t>232*72*87cm</t>
  </si>
  <si>
    <t>308. 22</t>
  </si>
  <si>
    <t>889. 9</t>
  </si>
  <si>
    <t>103圆脚子母茶几 ( 玻璃款)</t>
  </si>
  <si>
    <t>圆脚单茶几/ 奶白脚/ 长虹玻璃/ 45cm</t>
  </si>
  <si>
    <t>48*8*48</t>
  </si>
  <si>
    <t>2. 30</t>
  </si>
  <si>
    <t>】103圆脚子母茶几  ( 玻璃款) -详情图</t>
  </si>
  <si>
    <t>cs . cn/ l / cpD 6J 8EOs q1t</t>
  </si>
  <si>
    <t>【WPS 云文档】 103圆脚子母茶几    ( 玻璃</t>
  </si>
  <si>
    <t>款) -买家秀 ht t ps : / / kdocs</t>
  </si>
  <si>
    <t>. cn/ l / cv Pe TQa OTl c D</t>
  </si>
  <si>
    <t>【WPS云文档】 103圆脚子母茶几-包装图</t>
  </si>
  <si>
    <t>ht t ps : / / www. k docs . cn/ l / ct c bO7N0ng QK</t>
  </si>
  <si>
    <t>圆脚子母茶几 / 奶白脚/ 长虹玻璃/ 大桌60cm/ 小桌45cm</t>
  </si>
  <si>
    <t>66*9*66cm</t>
  </si>
  <si>
    <t>64. 02</t>
  </si>
  <si>
    <t>圆脚子母茶几 / 奶白脚/ 茶色玻璃/ 大桌60cm/ 小桌45cm</t>
  </si>
  <si>
    <t>圆脚子母茶几 / 黑色脚/ 长虹玻璃/ 大桌60cm/ 小桌45cm（停）</t>
  </si>
  <si>
    <t>88. 9</t>
  </si>
  <si>
    <t>圆脚子母茶几 / 黑色脚/ 茶色玻璃/ 大桌60cm/ 小桌45cm</t>
  </si>
  <si>
    <t>圆脚子母茶几 / 金色脚/ 长虹玻璃/ 大桌60cm/ 小桌45cm</t>
  </si>
  <si>
    <t>圆脚子母茶几 / 金色脚/ 茶色玻璃/ 大桌60cm/ 小桌45cm</t>
  </si>
  <si>
    <t>圆脚子母茶几 / 奶白脚/ 长虹玻璃/ 大桌80cm/ 小桌60cm</t>
  </si>
  <si>
    <t>86*9*86cm</t>
  </si>
  <si>
    <t>87. 91</t>
  </si>
  <si>
    <t>128. 9</t>
  </si>
  <si>
    <t>圆脚子母茶几 / 奶白脚/ 茶色玻璃/ 大桌80cm/ 小桌60cm</t>
  </si>
  <si>
    <t>圆脚子母茶几 / 黑色脚/ 长虹玻璃/ 大桌80cm/ 小桌60cm（停）</t>
  </si>
  <si>
    <t>86. 425</t>
  </si>
  <si>
    <t>127. 4</t>
  </si>
  <si>
    <t>圆脚子母茶几 / 黑色脚/ 茶色玻璃/ 大桌80cm/ 小桌60cm</t>
  </si>
  <si>
    <t>圆脚子母茶几 / 金色脚/ 长虹玻璃/ 大桌80cm/ 小桌60cm</t>
  </si>
  <si>
    <t>93. 85</t>
  </si>
  <si>
    <t>134. 9</t>
  </si>
  <si>
    <t>圆脚子母茶几 / 金色脚/ 茶色玻璃/ 大桌80cm/ 小桌60cm</t>
  </si>
  <si>
    <t>102爆款岩板衣帽架</t>
  </si>
  <si>
    <t>（ 奶油风）</t>
  </si>
  <si>
    <t>专利款衣帽架/ 奶白岩板/ 奶白树枝</t>
  </si>
  <si>
    <t>】 爆款岩板衣帽架（奶油风） -详情图</t>
  </si>
  <si>
    <t>cs . cn/ l / ckw wj So TGx X4</t>
  </si>
  <si>
    <t>【金山文档】爆款岩板衣帽架（奶油风）-买家秀</t>
  </si>
  <si>
    <t>. cn/ l / cubJ 88F 9pi xp</t>
  </si>
  <si>
    <t>爆款衣帽架/ 奶白岩板/ 奶白圆饼</t>
  </si>
  <si>
    <t>18. 8</t>
  </si>
  <si>
    <t>1. 71</t>
  </si>
  <si>
    <t>十字衣帽架/ 奶白树枝（停， 改为专利款）</t>
  </si>
  <si>
    <t>47*21*7</t>
  </si>
  <si>
    <t>18. 5</t>
  </si>
  <si>
    <t>1. 28</t>
  </si>
  <si>
    <t>10. 7</t>
  </si>
  <si>
    <t>十字衣帽架/ 奶白圆饼（停）</t>
  </si>
  <si>
    <t>47*21*9</t>
  </si>
  <si>
    <t>1. 25</t>
  </si>
  <si>
    <t>101 彩虹晾鞋架</t>
  </si>
  <si>
    <t>彩虹晾鞋架 / 1层4列/ 金色</t>
  </si>
  <si>
    <t>44*14*7cm</t>
  </si>
  <si>
    <t>0. 25</t>
  </si>
  <si>
    <t>0. 54</t>
  </si>
  <si>
    <t>0. 68</t>
  </si>
  <si>
    <t>】 彩虹晾鞋架-详情图</t>
  </si>
  <si>
    <t>ht t ps : / / kdo cs . cn/ l / cr l mSO223UTB</t>
  </si>
  <si>
    <t>【金山文档】 101彩虹晾鞋架</t>
  </si>
  <si>
    <t>. cn/ l / cj 4o V6U Gr t Mx</t>
  </si>
  <si>
    <t>彩虹晾鞋架 / 1层4列/ 白色</t>
  </si>
  <si>
    <t>9. 1</t>
  </si>
  <si>
    <t>彩虹晾鞋架 / 1层4列/ 黑色</t>
  </si>
  <si>
    <t>彩虹晾鞋架 / 1层6列/ 金色</t>
  </si>
  <si>
    <t>65*17*7cm</t>
  </si>
  <si>
    <t>0. 35</t>
  </si>
  <si>
    <t>1. 43</t>
  </si>
  <si>
    <t>1. 02</t>
  </si>
  <si>
    <t>彩虹晾鞋架 / 1层6列/ 白色</t>
  </si>
  <si>
    <t>9. 3</t>
  </si>
  <si>
    <t>彩虹晾鞋架 / 1层6列/ 黑色</t>
  </si>
  <si>
    <t>彩虹晾鞋架 / 2层4列/ 金色</t>
  </si>
  <si>
    <t>45*32. 5*7. 5cm</t>
  </si>
  <si>
    <t>1. 52</t>
  </si>
  <si>
    <t>彩虹晾鞋架 / 2层4列/ 白色</t>
  </si>
  <si>
    <t>彩虹晾鞋架 / 2层4列/ 黑色</t>
  </si>
  <si>
    <t>彩虹晾鞋架 / 2层6列/ 金色</t>
  </si>
  <si>
    <t>67*37*7. 5cm</t>
  </si>
  <si>
    <t>2. 58</t>
  </si>
  <si>
    <t>彩虹晾鞋架 / 2层6列/ 白色</t>
  </si>
  <si>
    <t>16. 6</t>
  </si>
  <si>
    <t>彩虹晾鞋架 / 2层6列/ 黑色</t>
  </si>
  <si>
    <t>彩虹晾鞋架 / 3层4列/ 金色</t>
  </si>
  <si>
    <t>45*49*7. 5cm</t>
  </si>
  <si>
    <t>1. 39</t>
  </si>
  <si>
    <t>彩虹晾鞋架 / 3层4列/ 白色</t>
  </si>
  <si>
    <t>20. 9</t>
  </si>
  <si>
    <t>彩虹晾鞋架 / 3层4列/ 黑色</t>
  </si>
  <si>
    <t>彩虹晾鞋架 / 3层6列/ 金色</t>
  </si>
  <si>
    <t>67*52. 5*7. 5cm</t>
  </si>
  <si>
    <t>1. 1</t>
  </si>
  <si>
    <t>3. 60</t>
  </si>
  <si>
    <t>2. 02</t>
  </si>
  <si>
    <t>26. 9</t>
  </si>
  <si>
    <t>彩虹晾鞋架 / 3层6列/ 白色</t>
  </si>
  <si>
    <t>25. 9</t>
  </si>
  <si>
    <t>彩虹晾鞋架 / 3层6列/ 黑色</t>
  </si>
  <si>
    <t>玻璃茶几A款/ 白架/ 白篮网/ 长虹玻璃/ 直径60cm</t>
  </si>
  <si>
    <t>66*14*66cm</t>
  </si>
  <si>
    <t>9. 25</t>
  </si>
  <si>
    <t>60. 228</t>
  </si>
  <si>
    <t>玻璃茶几A款/ 黑架/ 黑篮网/ 长虹玻璃/ 直径60cm</t>
  </si>
  <si>
    <t>59. 22</t>
  </si>
  <si>
    <t>97. 5</t>
  </si>
  <si>
    <t>100玻璃茶几A款</t>
  </si>
  <si>
    <t>玻璃茶几A款/ 金架/ 金篮网/ 长虹玻璃/ 直径60cm</t>
  </si>
  <si>
    <t>64. 26</t>
  </si>
  <si>
    <t>】100玻璃茶几A款-详情图</t>
  </si>
  <si>
    <t>cs . cn/ l / cct yy 7j oho Ge</t>
  </si>
  <si>
    <t>【WPS 云文档】 100 玻璃茶几A款-买家秀</t>
  </si>
  <si>
    <t>. cn/ l / cqz 0QLU AWDU5</t>
  </si>
  <si>
    <t>玻璃茶几A款/ 白架/ 白岩板/ 茶色玻璃/ 直径60cm</t>
  </si>
  <si>
    <t>64. 85</t>
  </si>
  <si>
    <t>103. 0</t>
  </si>
  <si>
    <t>玻璃茶几A款/ 白架/ 白岩板/ 茶色玻璃/ 直径70cm</t>
  </si>
  <si>
    <t>76*14*76cm</t>
  </si>
  <si>
    <t>12. 17</t>
  </si>
  <si>
    <t>95. 48</t>
  </si>
  <si>
    <t>6. 93</t>
  </si>
  <si>
    <t>136. 9</t>
  </si>
  <si>
    <t>玻璃茶几A款/ 白架/ 白岩板/ 茶色玻璃/ 直径80cm</t>
  </si>
  <si>
    <t>86*14*86cm</t>
  </si>
  <si>
    <t>15. 49</t>
  </si>
  <si>
    <t>112. 884</t>
  </si>
  <si>
    <t>8. 25</t>
  </si>
  <si>
    <t>162. 1</t>
  </si>
  <si>
    <t>玻璃茶几A款/ 白架/ 白岩板/ 长虹玻璃/ 直径60cm</t>
  </si>
  <si>
    <t>玻璃茶几A款/ 白架/ 白岩板/ 长虹玻璃/ 直径70cm</t>
  </si>
  <si>
    <t>玻璃茶几A款/ 白架/ 白岩板/ 长虹玻璃/ 直径80cm</t>
  </si>
  <si>
    <t>玻璃茶几A款/ 黑架/ 白岩板/ 茶色玻璃/ 直径60cm</t>
  </si>
  <si>
    <t>63. 905</t>
  </si>
  <si>
    <t>102. 0</t>
  </si>
  <si>
    <t>玻璃茶几A款/ 黑架/ 白岩板/ 茶色玻璃/ 直径70cm</t>
  </si>
  <si>
    <t>94. 22</t>
  </si>
  <si>
    <t>玻璃茶几A款/ 黑架/ 白岩板/ 茶色玻璃/ 直径80cm</t>
  </si>
  <si>
    <t>111. 54</t>
  </si>
  <si>
    <t>玻璃茶几A款/ 黑架/ 白岩板/ 长虹玻璃/ 直径60cm</t>
  </si>
  <si>
    <t>玻璃茶几A款/ 黑架/ 白岩板/ 长虹玻璃/ 直径70cm（停）</t>
  </si>
  <si>
    <t>玻璃茶几A款/ 黑架/ 白岩板/ 长虹玻璃/ 直径80cm</t>
  </si>
  <si>
    <t>玻璃茶几A款/ 金架/ 白岩板/ 茶色玻璃/ 直径60cm</t>
  </si>
  <si>
    <t>68. 63</t>
  </si>
  <si>
    <t>106. 7</t>
  </si>
  <si>
    <t>玻璃茶几A款/ 金架/ 白岩板/ 茶色玻璃/ 直径70cm</t>
  </si>
  <si>
    <t>100. 52</t>
  </si>
  <si>
    <t>玻璃茶几A款/ 金架/ 白岩板/ 茶色玻璃/ 直径80cm（停）</t>
  </si>
  <si>
    <t>118. 26</t>
  </si>
  <si>
    <t>167. 5</t>
  </si>
  <si>
    <t>玻璃茶几A款/ 金架/ 白岩板/ 长虹玻璃/ 直径60cm</t>
  </si>
  <si>
    <t>玻璃茶几A款/ 金架/ 白岩板/ 长虹玻璃/ 直径70cm</t>
  </si>
  <si>
    <t>玻璃茶几A款/ 金架/ 白岩板/ 长虹玻璃/ 直径80cm（停）</t>
  </si>
  <si>
    <t>099 换鞋凳A款</t>
  </si>
  <si>
    <t>换鞋凳A款/ 黑色脚/ 米白色皮革 / 50cm长</t>
  </si>
  <si>
    <t>52*12*35cm</t>
  </si>
  <si>
    <t>3. 50</t>
  </si>
  <si>
    <t>2. 44</t>
  </si>
  <si>
    <t>80. 4</t>
  </si>
  <si>
    <t>】 99换鞋凳 A款-详情图 ht t ps : / / kdo cs . cn/ l / ct 3 bmVf s vr Fx</t>
  </si>
  <si>
    <t>【金山文档】换鞋凳A款-买家秀</t>
  </si>
  <si>
    <t>. cn/ l / cl mKCRp gv Ek6</t>
  </si>
  <si>
    <t>换鞋凳A款/ 金色脚/ 米白色皮革 / 50cm长（停）</t>
  </si>
  <si>
    <t>73. 5</t>
  </si>
  <si>
    <t>换鞋凳A款/ 黑色脚/ 橙色皮革/ 50cm长</t>
  </si>
  <si>
    <t>换鞋凳A款/ 金色脚/ 橙色皮革/ 50cm长（ 停）</t>
  </si>
  <si>
    <t>换鞋凳A款/ 黑色脚/ 粉色皮革/ 50cm长</t>
  </si>
  <si>
    <t>换鞋凳A款/ 金色脚/ 粉色皮革/ 50cm长（ 停）</t>
  </si>
  <si>
    <t>换鞋凳A款/ 黑色脚/ 灰色皮革/ 50cm长</t>
  </si>
  <si>
    <t>换鞋凳A款/ 金色脚/ 灰色皮革/ 50cm长（ 停）</t>
  </si>
  <si>
    <t>换鞋凳A款/ 黑色脚/ 米白色皮革 / 80cm长（停）</t>
  </si>
  <si>
    <t>83*35*13cm</t>
  </si>
  <si>
    <t>106. 3</t>
  </si>
  <si>
    <t>换鞋凳A款/ 金色脚/ 米白色皮革 / 80cm长（停）</t>
  </si>
  <si>
    <t>116. 3</t>
  </si>
  <si>
    <t>换鞋凳A款/ 黑色脚/ 橙色皮革/ 80cm长（ 停）</t>
  </si>
  <si>
    <t>换鞋凳A款/ 金色脚/ 橙色皮革/ 80cm长</t>
  </si>
  <si>
    <t>换鞋凳A款/ 黑色脚/ 粉色皮革/ 80cm长（ 停）</t>
  </si>
  <si>
    <t>换鞋凳A款/ 金色脚/ 粉色皮革/ 80cm长</t>
  </si>
  <si>
    <t>换鞋凳A款/ 黑色脚/ 灰色皮革/ 80cm长（ 停）</t>
  </si>
  <si>
    <t>换鞋凳A款/ 金色脚/ 灰色皮革/ 80cm长</t>
  </si>
  <si>
    <t>换鞋凳A款/ 黑色脚/ 米白色皮革/ 100cm长（ 停）</t>
  </si>
  <si>
    <t>102*35*13cm</t>
  </si>
  <si>
    <t>7. 22</t>
  </si>
  <si>
    <t>127. 8</t>
  </si>
  <si>
    <t>换鞋凳A款/ 金色脚/ 米白色皮革/ 100cm长（ 停）</t>
  </si>
  <si>
    <t>137. 8</t>
  </si>
  <si>
    <t>换鞋凳A款/ 黑色脚/ 橙色皮革/ 100cm长</t>
  </si>
  <si>
    <t>换鞋凳A款/ 金色脚/ 橙色皮革/ 100cm长</t>
  </si>
  <si>
    <t>换鞋凳A款/ 黑色脚/ 粉色皮革/ 100cm长</t>
  </si>
  <si>
    <t>换鞋凳A款/ 金色脚/ 粉色皮革/ 100cm长</t>
  </si>
  <si>
    <t>换鞋凳A款/ 黑色脚/ 灰色皮革/ 100cm长（停）</t>
  </si>
  <si>
    <t>换鞋凳A款/ 金色脚/ 灰色皮革/ 100cm长（停）</t>
  </si>
  <si>
    <t>098云朵茶几</t>
  </si>
  <si>
    <t>----</t>
  </si>
  <si>
    <t>分两个包裹发货</t>
  </si>
  <si>
    <t>云朵茶几/ 米白色/ 100cm长</t>
  </si>
  <si>
    <t>桌面：109. 5*12*78CM桌脚： 41*41*34. 5CM</t>
  </si>
  <si>
    <t>桌面: 14. 8</t>
  </si>
  <si>
    <t>桌脚: 4. 85</t>
  </si>
  <si>
    <t>23. 86</t>
  </si>
  <si>
    <t>315. 0</t>
  </si>
  <si>
    <t>】 云朵茶几</t>
  </si>
  <si>
    <t>cs . cn/ l / cm9</t>
  </si>
  <si>
    <t>J hGFLf 6XT</t>
  </si>
  <si>
    <t>【金山文档】云朵茶几-买家秀</t>
  </si>
  <si>
    <t>. cn/ l / ca DXYyy v Hx 0I</t>
  </si>
  <si>
    <t>云朵茶几/ 米白色/ 120cm长</t>
  </si>
  <si>
    <t>桌面：127. 5*12*94CM桌脚： 41*41*34. 5CM</t>
  </si>
  <si>
    <t>桌面: 18. 9</t>
  </si>
  <si>
    <t>29. 99</t>
  </si>
  <si>
    <t>云朵茶几/ 米白色/ 130cm长（ 停）</t>
  </si>
  <si>
    <t>桌面：137. 5*12*98CM桌脚： 41*41*34. 5CM</t>
  </si>
  <si>
    <t>桌面: 21. 2</t>
  </si>
  <si>
    <t>32. 65</t>
  </si>
  <si>
    <t>097 半圆晾鞋架</t>
  </si>
  <si>
    <t>半圆晾鞋架/ 单层/ 窄挂钩/ 白色（ 停）</t>
  </si>
  <si>
    <t>40*21*8cm</t>
  </si>
  <si>
    <t>0. 84</t>
  </si>
  <si>
    <t>11. 9</t>
  </si>
  <si>
    <t>】 半圆晾鞋架-详情图</t>
  </si>
  <si>
    <t>cs . cn/ l / cf n Ny 3Y5mZU9</t>
  </si>
  <si>
    <t>【金山文档】半圆晾鞋架 -买家秀</t>
  </si>
  <si>
    <t>. cn/ l / cl r s 2m0 yhg D7</t>
  </si>
  <si>
    <t>【WPS云文档】 097 半圆晾鞋架-包装图</t>
  </si>
  <si>
    <t>docs . cn/ l / cet 6i xg J BHHy</t>
  </si>
  <si>
    <t>半圆晾鞋架/ 单层/ 宽挂钩/ 白色</t>
  </si>
  <si>
    <t>半圆晾鞋架/ 单层/ 贴墙款/ 白色</t>
  </si>
  <si>
    <t>#DI V/ 0!</t>
  </si>
  <si>
    <t>半圆晾鞋架/ 双层/ 窄挂钩/ 白色</t>
  </si>
  <si>
    <t>51*10*23cm</t>
  </si>
  <si>
    <t>19. 0</t>
  </si>
  <si>
    <t>22. 1</t>
  </si>
  <si>
    <t>半圆晾鞋架/ 双层/ 宽挂钩/ 白色</t>
  </si>
  <si>
    <t>半圆晾鞋架/ 单层/ 窄挂钩/ 黑色（ 停）</t>
  </si>
  <si>
    <t>半圆晾鞋架/ 单层/ 宽挂钩/ 黑色</t>
  </si>
  <si>
    <t>半圆晾鞋架/ 单层/ 贴墙款/ 黑色</t>
  </si>
  <si>
    <t>半圆晾鞋架/ 双层/ 窄挂钩/ 黑色</t>
  </si>
  <si>
    <t>半圆晾鞋架/ 双层/ 宽挂钩/ 黑色</t>
  </si>
  <si>
    <t>半圆晾鞋架/ 单层/ 窄挂钩/ 金色（ 停）</t>
  </si>
  <si>
    <t>半圆晾鞋架/ 单层/ 宽挂钩/ 金色</t>
  </si>
  <si>
    <t>半圆晾鞋架/ 单层/ 贴墙款/ 金色</t>
  </si>
  <si>
    <t>21. 8</t>
  </si>
  <si>
    <t>半圆晾鞋架/ 双层/ 窄挂钩/ 金色</t>
  </si>
  <si>
    <t>23. 2</t>
  </si>
  <si>
    <t>半圆晾鞋架/ 双层/ 宽挂钩/ 金色</t>
  </si>
  <si>
    <t>096经济款蝴蝶椅</t>
  </si>
  <si>
    <t>（靠背可拆装 ，2个支撑点组装）</t>
  </si>
  <si>
    <t>经济款蝴蝶椅/ 白色皮革</t>
  </si>
  <si>
    <t>45*9*44cm</t>
  </si>
  <si>
    <t>2. 59</t>
  </si>
  <si>
    <t>27. 5</t>
  </si>
  <si>
    <t>1. 75</t>
  </si>
  <si>
    <t>37. 3</t>
  </si>
  <si>
    <t>】096经济款蝴蝶椅-详情图</t>
  </si>
  <si>
    <t>ht t ps : / / kdo cs . cn/ l / cv E QdPER8m6U</t>
  </si>
  <si>
    <t>【金山文档】三段式蝴蝶椅 -买家秀</t>
  </si>
  <si>
    <t>. cn/ l / cvuCNj 3 h23j p</t>
  </si>
  <si>
    <t>【WPS云文档】 096经济款蝴蝶椅 -包装图</t>
  </si>
  <si>
    <t>docs . cn/ l / cmw no HdKVg 0R</t>
  </si>
  <si>
    <t>经济款蝴蝶椅/ 粉色皮革</t>
  </si>
  <si>
    <t>经济款蝴蝶椅/ 粉色绒布</t>
  </si>
  <si>
    <t>经济款蝴蝶椅/ 绿色绒布</t>
  </si>
  <si>
    <t>经济款蝴蝶椅/ 蓝色绒布</t>
  </si>
  <si>
    <t>经济款蝴蝶椅/ 灰色绒布</t>
  </si>
  <si>
    <t>经济水晶款蝴蝶椅 / 白色皮革</t>
  </si>
  <si>
    <t>经济水晶款蝴蝶椅 / 粉色皮革</t>
  </si>
  <si>
    <t>经济水晶款蝴蝶椅 / 粉色绒布</t>
  </si>
  <si>
    <t>经济水晶款蝴蝶椅 / 绿色绒布</t>
  </si>
  <si>
    <t>经济水晶款蝴蝶椅 / 蓝色绒布</t>
  </si>
  <si>
    <t>经济水晶款蝴蝶椅 / 灰色绒布</t>
  </si>
  <si>
    <t>经济款蝴蝶椅/ 白色皮革+毛毛垫30cm</t>
  </si>
  <si>
    <t>42. 3</t>
  </si>
  <si>
    <t>47. 8</t>
  </si>
  <si>
    <t>经济款蝴蝶椅/ 粉色皮革+毛毛垫30cm</t>
  </si>
  <si>
    <t>经济款蝴蝶椅/ 粉色绒布+毛毛垫30cm</t>
  </si>
  <si>
    <t>经济款蝴蝶椅/ 绿色绒布+毛毛垫30cm</t>
  </si>
  <si>
    <t>经济款蝴蝶椅/ 蓝色绒布+毛毛垫30cm</t>
  </si>
  <si>
    <t>经济款蝴蝶椅/ 灰色绒布+毛毛垫30cm</t>
  </si>
  <si>
    <t>经济水晶款蝴蝶椅 / 白色皮革+毛毛垫30cm</t>
  </si>
  <si>
    <t>经济水晶款蝴蝶椅 / 粉色皮革+毛毛垫30cm</t>
  </si>
  <si>
    <t>经济水晶款蝴蝶椅 / 粉色绒布+毛毛垫30cm</t>
  </si>
  <si>
    <t>经济水晶款蝴蝶椅 / 绿色绒布+毛毛垫30cm</t>
  </si>
  <si>
    <t>经济水晶款蝴蝶椅 / 蓝色绒布+毛毛垫30cm</t>
  </si>
  <si>
    <t>经济水晶款蝴蝶椅 / 灰色绒布+毛毛垫30cm</t>
  </si>
  <si>
    <t>095葡萄鞋架</t>
  </si>
  <si>
    <t>葡萄鞋架/ 4 层/ 金色( 停）</t>
  </si>
  <si>
    <t>78*7*28cm</t>
  </si>
  <si>
    <t>2. 29</t>
  </si>
  <si>
    <t>13. 4</t>
  </si>
  <si>
    <t>】 葡萄鞋架</t>
  </si>
  <si>
    <t>cs . cn/ l / cu8</t>
  </si>
  <si>
    <t>hg 2qFaz Vq</t>
  </si>
  <si>
    <t>【金山文档】葡萄鞋架-买家秀</t>
  </si>
  <si>
    <t>. cn/ l / ci l TOae t wZ1z</t>
  </si>
  <si>
    <t>葡萄鞋架/ 4 层/ 白色（停）</t>
  </si>
  <si>
    <t>葡萄鞋架/ 4 层/ 黑色</t>
  </si>
  <si>
    <t>葡萄鞋架/ 5 层/ 金色（停）</t>
  </si>
  <si>
    <t>95*7*28cm</t>
  </si>
  <si>
    <t>2. 78</t>
  </si>
  <si>
    <t>葡萄鞋架/ 5 层/ 白色（停）</t>
  </si>
  <si>
    <t>葡萄鞋架/ 5 层/ 黑色（停）</t>
  </si>
  <si>
    <t>葡萄鞋架/ 6 层/ 金色（停）</t>
  </si>
  <si>
    <t>113*7*28cm</t>
  </si>
  <si>
    <t>葡萄鞋架/ 6 层/ 白色（停）</t>
  </si>
  <si>
    <t>57. 2</t>
  </si>
  <si>
    <t>葡萄鞋架/ 6 层/ 黑色（停）</t>
  </si>
  <si>
    <t>葡萄鞋架/ 7 层/ 金色</t>
  </si>
  <si>
    <t>130*7*28cm</t>
  </si>
  <si>
    <t>3. 80</t>
  </si>
  <si>
    <t>12. 6</t>
  </si>
  <si>
    <t>葡萄鞋架/ 7 层/ 白色（停）</t>
  </si>
  <si>
    <t>葡萄鞋架/ 7 层/ 黑色（停）</t>
  </si>
  <si>
    <t>葡萄鞋架/ 8 层/ 金色（停）</t>
  </si>
  <si>
    <t>147*7*28cm</t>
  </si>
  <si>
    <t>4. 29</t>
  </si>
  <si>
    <t>8. 8</t>
  </si>
  <si>
    <t>69. 3</t>
  </si>
  <si>
    <t>葡萄鞋架/ 8 层/ 白色（停）</t>
  </si>
  <si>
    <t>66. 3</t>
  </si>
  <si>
    <t>葡萄鞋架/ 8 层/ 黑色</t>
  </si>
  <si>
    <t>094 五二零边几</t>
  </si>
  <si>
    <t>方形五二零边几 / 白色/ 大号（ 停）</t>
  </si>
  <si>
    <t>60*45*45cm</t>
  </si>
  <si>
    <t>17. 12</t>
  </si>
  <si>
    <t>7. 18</t>
  </si>
  <si>
    <t>132. 2</t>
  </si>
  <si>
    <t>】 094五二零边几-详情图</t>
  </si>
  <si>
    <t>ht t ps : / / kdo cs . cn/ l / co W l hbwOmyym</t>
  </si>
  <si>
    <t>【金山文档】方形五二零边几-买家秀</t>
  </si>
  <si>
    <t>. cn/ l / cef 274R c NBOj</t>
  </si>
  <si>
    <t>方形五二零边几 / 黑色/ 大号（ 停）</t>
  </si>
  <si>
    <t>方形五二零边几 / 金色/ 大号（ 停）</t>
  </si>
  <si>
    <t>方形五二零边几 / 白色/ 小号（ 停）</t>
  </si>
  <si>
    <t>60*40*40cm</t>
  </si>
  <si>
    <t>13. 67</t>
  </si>
  <si>
    <t>6. 13</t>
  </si>
  <si>
    <t>111. 1</t>
  </si>
  <si>
    <t>方形五二零边几 / 黑色/ 小号（ 停）</t>
  </si>
  <si>
    <t>方形五二零边几 / 金色/ 小号</t>
  </si>
  <si>
    <t>116. 1</t>
  </si>
  <si>
    <t>四脚五二零边几/ 奶白（停）</t>
  </si>
  <si>
    <t>39*39*29cm</t>
  </si>
  <si>
    <t>3. 45</t>
  </si>
  <si>
    <t>】094四脚五二零边几-详情图</t>
  </si>
  <si>
    <t>ht t ps : / / kdo cs . cn/ l / cg X Gr MXU4o U8</t>
  </si>
  <si>
    <t>四脚五二零边几/ 黑色（停）</t>
  </si>
  <si>
    <t>093 方形抽屉边几A款</t>
  </si>
  <si>
    <t>方形抽屉边几 A款/ 黑色脚/ 灰色款（停）</t>
  </si>
  <si>
    <t>】 方形抽屉边几A款-详情图</t>
  </si>
  <si>
    <t>cs . cn/ l / ct e 4I y Zeg 9bL</t>
  </si>
  <si>
    <t>【金山文档】 方形抽屉边几 A款-买家秀</t>
  </si>
  <si>
    <t>. cn/ l / cas Bf e I 99bf c</t>
  </si>
  <si>
    <t>方形抽屉边几 A款/ 黑色脚/ 白色款</t>
  </si>
  <si>
    <t>方形抽屉边几 A款/ 金色脚/ 灰色款（停）</t>
  </si>
  <si>
    <t>212. 0</t>
  </si>
  <si>
    <t>方形抽屉边几 A款/ 金色脚/ 白色款（停）</t>
  </si>
  <si>
    <t>弯弯椅/ 白色羊羔绒/ 黑脚（停）</t>
  </si>
  <si>
    <t>13. 58</t>
  </si>
  <si>
    <t>11. 6</t>
  </si>
  <si>
    <t>162. 6</t>
  </si>
  <si>
    <t>弯弯椅/ 白色羊羔绒/ 黑脚+毛毛地毯/ 直径80cm（停）</t>
  </si>
  <si>
    <t>174. 6</t>
  </si>
  <si>
    <t>092 弯弯椅</t>
  </si>
  <si>
    <t>弯弯椅/ 白色羊羔绒/ 金脚（停）</t>
  </si>
  <si>
    <t>76*61*23cm</t>
  </si>
  <si>
    <t>165. 6</t>
  </si>
  <si>
    <t>】 弯弯椅-详情图</t>
  </si>
  <si>
    <t>cs . cn/ l / cf R a J v 7t f UhJ</t>
  </si>
  <si>
    <t>【金山文档】弯弯椅-买家秀 ht t ps : / / kdocs</t>
  </si>
  <si>
    <t>. cn/ l / cbROC2i t NAym</t>
  </si>
  <si>
    <t>弯弯椅/ 白色羊羔绒/ 金脚+毛毛地毯/ 直径80cm（停）</t>
  </si>
  <si>
    <t>177. 6</t>
  </si>
  <si>
    <t>弯弯椅/ 粉色羊羔绒/ 黑脚</t>
  </si>
  <si>
    <t>弯弯椅/ 粉色羊羔绒/ 黑脚+毛毛地毯/ 直径80cm</t>
  </si>
  <si>
    <t>弯弯椅/ 粉色羊羔绒/ 金脚</t>
  </si>
  <si>
    <t>弯弯椅/ 粉色羊羔绒/ 金脚+毛毛地毯/ 直径80cm</t>
  </si>
  <si>
    <t>弯弯椅/ 灰色羊羔绒/ 黑脚</t>
  </si>
  <si>
    <t>弯弯椅/ 灰色羊羔绒/ 黑脚+毛毛地毯/ 直径80cm</t>
  </si>
  <si>
    <t>弯弯椅/ 灰色羊羔绒/ 金脚</t>
  </si>
  <si>
    <t>弯弯椅/ 灰色羊羔绒/ 金脚+毛毛地毯/ 直径80cm</t>
  </si>
  <si>
    <t>弯弯椅/ 卡其色羊羔绒 / 黑脚（ 停）</t>
  </si>
  <si>
    <t>弯弯椅/ 卡其色羊羔绒 / 黑脚+毛毛地毯/ 直径80cm（ 停）</t>
  </si>
  <si>
    <t>弯弯椅/ 卡其色羊羔绒 / 金脚（ 停）</t>
  </si>
  <si>
    <t>弯弯椅/ 卡其色羊羔绒 / 金脚+毛毛地毯/ 直径80cm（ 停）</t>
  </si>
  <si>
    <t>091飞碟花架B款</t>
  </si>
  <si>
    <t>飞碟花架B款/ 大号/ 白色/ 1 只装</t>
  </si>
  <si>
    <t>30*30*7cm</t>
  </si>
  <si>
    <t>0. 45</t>
  </si>
  <si>
    <t>0. 90</t>
  </si>
  <si>
    <t>[ 金山文档] 091飞碟花架 B款详情图</t>
  </si>
  <si>
    <t>cs . cn/ l / cmW bAZt CNGhc</t>
  </si>
  <si>
    <t>【金山文档】飞碟花架B款-买家秀</t>
  </si>
  <si>
    <t>. cn/ l / cqCWnYc 5s Yhj</t>
  </si>
  <si>
    <t>飞碟花架B款/ 大号/ 白色/ 3 只装</t>
  </si>
  <si>
    <t>30*30*10cm</t>
  </si>
  <si>
    <t>1. 35</t>
  </si>
  <si>
    <t>1. 13</t>
  </si>
  <si>
    <t>20. 1</t>
  </si>
  <si>
    <t>26. 1</t>
  </si>
  <si>
    <t>41. 9</t>
  </si>
  <si>
    <t>飞碟花架B款/ 大号/ 黑色/ 1 只装</t>
  </si>
  <si>
    <t>飞碟花架B款/ 大号/ 黑色/ 3 只装</t>
  </si>
  <si>
    <t>飞碟花架B款/ 大号/ 金色/ 1 只装</t>
  </si>
  <si>
    <t>飞碟花架B款/ 大号/ 金色/ 3 只装</t>
  </si>
  <si>
    <t>飞碟花架B款/ 小号/ 白色/ 1 只装</t>
  </si>
  <si>
    <t>23*23*7cm</t>
  </si>
  <si>
    <t>0. 3</t>
  </si>
  <si>
    <t>飞碟花架B款/ 小号/ 白色/ 3 只装</t>
  </si>
  <si>
    <t>23*23*10cm</t>
  </si>
  <si>
    <t>14. 1</t>
  </si>
  <si>
    <t>19. 6</t>
  </si>
  <si>
    <t>飞碟花架B款/ 小号/ 黑色/ 1 只装</t>
  </si>
  <si>
    <t>飞碟花架B款/ 小号/ 黑色/ 3 只装</t>
  </si>
  <si>
    <t>飞碟花架B款/ 小号/ 金色/ 1 只装</t>
  </si>
  <si>
    <t>飞碟花架B款/ 小号/ 金色/ 3 只装</t>
  </si>
  <si>
    <t>22. 0</t>
  </si>
  <si>
    <t>33. 9</t>
  </si>
  <si>
    <t>090 熊耳晾鞋架</t>
  </si>
  <si>
    <t>熊耳晾鞋架 / 2层/ 金色</t>
  </si>
  <si>
    <t>29*23*8. 5cm</t>
  </si>
  <si>
    <t>0. 2</t>
  </si>
  <si>
    <t>0. 75</t>
  </si>
  <si>
    <t>】 熊耳晾鞋架-详情图</t>
  </si>
  <si>
    <t>cs . cn/ l / cpK pGAI kz l 6O</t>
  </si>
  <si>
    <t>【金山文档】 090熊耳晾鞋架</t>
  </si>
  <si>
    <t>. cn/ l / cs HbMu8 ukBXg</t>
  </si>
  <si>
    <t>熊耳晾鞋架 / 2层/ 白色</t>
  </si>
  <si>
    <t>熊耳晾鞋架 / 2层/ 黑色</t>
  </si>
  <si>
    <t>熊耳晾鞋架 / 3层/ 金色</t>
  </si>
  <si>
    <t>49*23*7cm</t>
  </si>
  <si>
    <t>0. 88</t>
  </si>
  <si>
    <t>熊耳晾鞋架 / 3层/ 白色</t>
  </si>
  <si>
    <t>熊耳晾鞋架 / 3层/ 黑色</t>
  </si>
  <si>
    <t>熊耳晾鞋架 / 4层/ 金色</t>
  </si>
  <si>
    <t>65*23*7cm</t>
  </si>
  <si>
    <t>1. 60</t>
  </si>
  <si>
    <t>1. 11</t>
  </si>
  <si>
    <t>熊耳晾鞋架 / 4层/ 白色</t>
  </si>
  <si>
    <t>熊耳晾鞋架 / 4层/ 黑色</t>
  </si>
  <si>
    <t>089E字型边几   ( 100个起批)</t>
  </si>
  <si>
    <t>E字型边几/ 黑色脚/ 阿玛尼灰岩板（ 停）</t>
  </si>
  <si>
    <t>55*35*12cm</t>
  </si>
  <si>
    <t>3. 69</t>
  </si>
  <si>
    <t>99. 5</t>
  </si>
  <si>
    <t>-198. 0</t>
  </si>
  <si>
    <t>】 E字型边几-详情图</t>
  </si>
  <si>
    <t>cs . cn/ l / chu r 2DwahGSo</t>
  </si>
  <si>
    <t>【金山文档】 E字型边几-买家秀</t>
  </si>
  <si>
    <t>. cn/ l / cpv NhHs nI vr a</t>
  </si>
  <si>
    <t>E字型边几/ 黑色脚/ 劳伦黑岩板（停）</t>
  </si>
  <si>
    <t>E字型边几/ 黑色脚/ 雪山白岩板（停）</t>
  </si>
  <si>
    <t>E字型边几/ 金色脚/ 阿玛尼灰岩板（ 停）</t>
  </si>
  <si>
    <t>E字型边几/ 金色脚/ 劳伦黑岩板（停）</t>
  </si>
  <si>
    <t>E字型边几/ 金色脚/ 雪山白岩板（停）</t>
  </si>
  <si>
    <t>088 晾鞋架</t>
  </si>
  <si>
    <t>晾鞋架/ 窄挂钩/ 白色/ 1 个装（ 停）</t>
  </si>
  <si>
    <t>44*23*7cm</t>
  </si>
  <si>
    <t>0. 89</t>
  </si>
  <si>
    <t>】 晾鞋架-详情图</t>
  </si>
  <si>
    <t>ht t ps : / / kdo cs . cn/ l / cs q Z1J Fv Cwe Z</t>
  </si>
  <si>
    <t>【金山文档】晾鞋架-买家秀 ht t ps : / / kdocs</t>
  </si>
  <si>
    <t>. cn/ l / cqys I Kz ONl qQ</t>
  </si>
  <si>
    <t>晾鞋架/ 窄挂钩/ 黑色/ 1 个装（ 停）</t>
  </si>
  <si>
    <t>晾鞋架/ 窄挂钩/ 金色/ 1 个装（ 停）</t>
  </si>
  <si>
    <t>晾鞋架/ 窄挂钩/ 白色/ 2 个装（ 停）</t>
  </si>
  <si>
    <t>44*23*9cm</t>
  </si>
  <si>
    <t>1. 14</t>
  </si>
  <si>
    <t>晾鞋架/ 窄挂钩/ 黑色/ 2 个装（ 停）</t>
  </si>
  <si>
    <t>晾鞋架/ 窄挂钩/ 金色/ 2 个装（ 停）</t>
  </si>
  <si>
    <t>23. 9</t>
  </si>
  <si>
    <t>晾鞋架/ 宽挂钩/ 白色/ 1 个装（ 停）</t>
  </si>
  <si>
    <t>晾鞋架/ 宽挂钩/ 黑色/ 1 个装（ 停）</t>
  </si>
  <si>
    <t>晾鞋架/ 宽挂钩/ 金色/ 1 个装（ 停）</t>
  </si>
  <si>
    <t>晾鞋架/ 宽挂钩/ 白色/ 2 个装（ 停）</t>
  </si>
  <si>
    <t>44*23*9</t>
  </si>
  <si>
    <t>晾鞋架/ 宽挂钩/ 黑色/ 2 个装（ 停）</t>
  </si>
  <si>
    <t>晾鞋架/ 宽挂钩/ 金色/ 2 个装（ 停）</t>
  </si>
  <si>
    <t>晾鞋架/ 贴墙款/ 白色/ 1 个装（ 停）</t>
  </si>
  <si>
    <t>晾鞋架/ 贴墙款/ 黑色/ 1 个装（ 停）</t>
  </si>
  <si>
    <t>晾鞋架/ 贴墙款/ 金色/ 1 个装（ 停）</t>
  </si>
  <si>
    <t>晾鞋架/ 贴墙款/ 白色/ 2 个装（ 停）</t>
  </si>
  <si>
    <t>17. 0</t>
  </si>
  <si>
    <t>晾鞋架/ 贴墙款/ 黑色/ 2 个装（ 停）</t>
  </si>
  <si>
    <t>晾鞋架/ 贴墙款/ 金色/ 2 个装（ 停）</t>
  </si>
  <si>
    <t>087双排鞋架A款</t>
  </si>
  <si>
    <t>双排鞋架A款/ 5 层/ 金色</t>
  </si>
  <si>
    <t>80*7*50cm</t>
  </si>
  <si>
    <t>4. 13</t>
  </si>
  <si>
    <t>3. 36</t>
  </si>
  <si>
    <t>】 双排鞋架 A款-详情图 ht t ps : / / kdo cs . cn/ l / cj t pZo XmZmPK</t>
  </si>
  <si>
    <t>【金山文档】双排鞋架A款-买家秀</t>
  </si>
  <si>
    <t>. cn/ l / cukJ XKP HK0NQ</t>
  </si>
  <si>
    <t>双排鞋架A款/ 5层/ 白色（停）</t>
  </si>
  <si>
    <t>69. 4</t>
  </si>
  <si>
    <t>双排鞋架A款/ 5层/ 黑色（停）</t>
  </si>
  <si>
    <t>双排鞋架A款/ 6 层/ 金色</t>
  </si>
  <si>
    <t>96*7*50cm</t>
  </si>
  <si>
    <t>4. 95</t>
  </si>
  <si>
    <t>3. 93</t>
  </si>
  <si>
    <t>双排鞋架A款/ 6层/ 白色（停）</t>
  </si>
  <si>
    <t>双排鞋架A款/ 6层/ 黑色（停）</t>
  </si>
  <si>
    <t>双排鞋架A款/ 7层/ 金色（停）</t>
  </si>
  <si>
    <t>112*7*50cm</t>
  </si>
  <si>
    <t>5. 76</t>
  </si>
  <si>
    <t>双排鞋架A款/ 7层/ 白色（停）</t>
  </si>
  <si>
    <t>84. 5</t>
  </si>
  <si>
    <t>双排鞋架A款/ 7层/ 黑色（停）</t>
  </si>
  <si>
    <t>双排鞋架A款/ 8层/ 金色（停）</t>
  </si>
  <si>
    <t>128*7*50cm</t>
  </si>
  <si>
    <t>6. 58</t>
  </si>
  <si>
    <t>18. 0</t>
  </si>
  <si>
    <t>97. 1</t>
  </si>
  <si>
    <t>双排鞋架A款/ 8层/ 白色（停）</t>
  </si>
  <si>
    <t>90. 1</t>
  </si>
  <si>
    <t>双排鞋架A款/ 8层/ 黑色（停）</t>
  </si>
  <si>
    <t>086平头单杆鞋架</t>
  </si>
  <si>
    <t>平头单杆鞋架/ 4 层/ 黑色</t>
  </si>
  <si>
    <t>66*7*28cm</t>
  </si>
  <si>
    <t>1. 94</t>
  </si>
  <si>
    <t>1. 63</t>
  </si>
  <si>
    <t>29. 6</t>
  </si>
  <si>
    <t>39. 9</t>
  </si>
  <si>
    <t>】 平头单杆鞋架-详情图 ht t ps : / / kdo cs . cn/ l / cnR q44z Oyf Y6</t>
  </si>
  <si>
    <t>【金山文档】平头单杆鞋架买家秀</t>
  </si>
  <si>
    <t>. cn/ l / ct HkDO4 a D5Th</t>
  </si>
  <si>
    <t>【WPS云文档】单杆鞋架汇总 -包装图</t>
  </si>
  <si>
    <t>ht t ps : / / www. k docs . cn/ l / ce Y 7s KBt x Bi K</t>
  </si>
  <si>
    <t>平头单杆鞋架/ 4 层/ 白色</t>
  </si>
  <si>
    <t>平头单杆鞋架/ 5 层/ 黑色</t>
  </si>
  <si>
    <t>82*7*28cm</t>
  </si>
  <si>
    <t>2. 41</t>
  </si>
  <si>
    <t>33. 8</t>
  </si>
  <si>
    <t>49. 9</t>
  </si>
  <si>
    <t>平头单杆鞋架/ 5 层/ 白色</t>
  </si>
  <si>
    <t>平头单杆鞋架/ 6 层/ 黑色</t>
  </si>
  <si>
    <t>98*7*28cm</t>
  </si>
  <si>
    <t>2. 87</t>
  </si>
  <si>
    <t>59. 9</t>
  </si>
  <si>
    <t>平头单杆鞋架/ 6 层/ 白色</t>
  </si>
  <si>
    <t>平头单杆鞋架/ 7 层/ 黑色</t>
  </si>
  <si>
    <t>114*7*28cm</t>
  </si>
  <si>
    <t>3. 34</t>
  </si>
  <si>
    <t>45. 1</t>
  </si>
  <si>
    <t>平头单杆鞋架/ 7 层/ 白色</t>
  </si>
  <si>
    <t>平头单杆鞋架/ 8 层/ 黑色</t>
  </si>
  <si>
    <t>128*7*28cm</t>
  </si>
  <si>
    <t>3. 74</t>
  </si>
  <si>
    <t>2. 68</t>
  </si>
  <si>
    <t>平头单杆鞋架/ 8 层/ 白色</t>
  </si>
  <si>
    <t>平头单杆鞋架/ 9 层/ 黑色</t>
  </si>
  <si>
    <t>145*7*28cm</t>
  </si>
  <si>
    <t>4. 23</t>
  </si>
  <si>
    <t>2. 98</t>
  </si>
  <si>
    <t>平头单杆鞋架/ 9 层/ 白色</t>
  </si>
  <si>
    <t>平头单杆鞋架 / 10层/ 黑色（停）</t>
  </si>
  <si>
    <t>161*7*28cm</t>
  </si>
  <si>
    <t>4. 70</t>
  </si>
  <si>
    <t>3. 58</t>
  </si>
  <si>
    <t>平头单杆鞋架 / 10层/ 白色（停）</t>
  </si>
  <si>
    <t>平头单杆鞋架/ 4 层/ 金色</t>
  </si>
  <si>
    <t>32. 6</t>
  </si>
  <si>
    <t>平头单杆鞋架/ 5 层/ 金色</t>
  </si>
  <si>
    <t>37. 8</t>
  </si>
  <si>
    <t>平头单杆鞋架/ 6 层/ 金色</t>
  </si>
  <si>
    <t>平头单杆鞋架/ 7 层/ 金色</t>
  </si>
  <si>
    <t>51. 1</t>
  </si>
  <si>
    <t>平头单杆鞋架/ 8 层/ 金色</t>
  </si>
  <si>
    <t>平头单杆鞋架/ 9 层/ 金色</t>
  </si>
  <si>
    <t>平头单杆鞋架 / 10层/ 金色</t>
  </si>
  <si>
    <t>73. 4</t>
  </si>
  <si>
    <t>109. 9</t>
  </si>
  <si>
    <t>085 抽屉边几D款( 100个起批)</t>
  </si>
  <si>
    <t>抽屉边几D款/ 单层/ 黑色脚/ 白色款 ( 停)</t>
  </si>
  <si>
    <t>46*46*17cm</t>
  </si>
  <si>
    <t>5. 47</t>
  </si>
  <si>
    <t>92. 9</t>
  </si>
  <si>
    <t>4. 25</t>
  </si>
  <si>
    <t>129. 7</t>
  </si>
  <si>
    <t>】 抽屉边几 D款-详情图 ht t ps : / / kdo cs . cn/ l / cei 7j s r ZWgm4</t>
  </si>
  <si>
    <t>【金山文档】抽屉边几D款-买家秀</t>
  </si>
  <si>
    <t>. cn/ l / ckf Qi 2C i a 4j j</t>
  </si>
  <si>
    <t>抽屉边几D款/ 单层/ 黑色脚/ 黑色款（ 停）</t>
  </si>
  <si>
    <t>抽屉边几D款/ 单层/ 黑色脚/ 灰色款（ 停）</t>
  </si>
  <si>
    <t>抽屉边几D款/ 单层/ 金色脚/ 白色款 ( 停)</t>
  </si>
  <si>
    <t>100. 7</t>
  </si>
  <si>
    <t>137. 5</t>
  </si>
  <si>
    <t>抽屉边几D款/ 单层/ 金色脚/ 黑色款（ 停）</t>
  </si>
  <si>
    <t>抽屉边几D款/ 单层/ 金色脚/ 灰色款（ 停）</t>
  </si>
  <si>
    <t>抽屉边几D款/ 双层/ 黑色脚/ 白色款（ 停）</t>
  </si>
  <si>
    <t>抽屉边几D款/ 双层/ 黑色脚/ 黑色款（ 停）</t>
  </si>
  <si>
    <t>抽屉边几D款/ 双层/ 黑色脚/ 灰色款（ 停）</t>
  </si>
  <si>
    <t>抽屉边几D款/ 双层/ 金色脚/ 白色款  （停）</t>
  </si>
  <si>
    <t>抽屉边几D款/ 双层/ 金色脚/ 黑色款（ 停）</t>
  </si>
  <si>
    <t>抽屉边几D款/ 双层/ 金色脚/ 灰色款（ 停）</t>
  </si>
  <si>
    <t>084 高跟小圆几</t>
  </si>
  <si>
    <t>高跟小圆几/ 黑色脚/ 阿玛尼灰岩板</t>
  </si>
  <si>
    <t>53*11. 5*44cm</t>
  </si>
  <si>
    <t>26. 62</t>
  </si>
  <si>
    <t>】 高跟小圆几-详情图</t>
  </si>
  <si>
    <t>cs . cn/ l / cbc XSPT9nt 6Q</t>
  </si>
  <si>
    <t>【金山文档】高跟小圆几-买家秀</t>
  </si>
  <si>
    <t>. cn/ l / co 5yz y T V7Bt n</t>
  </si>
  <si>
    <t>高跟小圆几/ 黑色脚/ 劳伦黑岩板</t>
  </si>
  <si>
    <t>高跟小圆几/ 黑色脚/ 雪山白岩板</t>
  </si>
  <si>
    <t>高跟小圆几/ 金色脚/ 阿玛尼灰岩板（停）</t>
  </si>
  <si>
    <t>27. 62</t>
  </si>
  <si>
    <t>高跟小圆几/ 金色脚/ 劳伦黑岩板 （停）</t>
  </si>
  <si>
    <t>高跟小圆几/ 金色脚/ 雪山白岩板 （停）</t>
  </si>
  <si>
    <t>083 花瓶小圆几  ( 100个起批)</t>
  </si>
  <si>
    <t>花瓶小圆几/ 黑色脚/ 阿玛尼灰岩板（停）</t>
  </si>
  <si>
    <t>54*44*12cm</t>
  </si>
  <si>
    <t>4. 02</t>
  </si>
  <si>
    <t>41. 62</t>
  </si>
  <si>
    <t>】 花瓶小圆几-详情图</t>
  </si>
  <si>
    <t>cs . cn/ l / cb9 i 7i 2HEj j c</t>
  </si>
  <si>
    <t>【金山文档】花瓶小圆几 -买家秀</t>
  </si>
  <si>
    <t>. cn/ l / cl 9Ni nM Lc J 7L</t>
  </si>
  <si>
    <t>花瓶小圆几/ 黑色脚/ 劳伦黑岩板 （停）</t>
  </si>
  <si>
    <t>花瓶小圆几/ 黑色脚/ 雪山白岩板 （停）</t>
  </si>
  <si>
    <t>花瓶小圆几/ 金色脚/ 阿玛尼灰岩板（停）</t>
  </si>
  <si>
    <t>43. 62</t>
  </si>
  <si>
    <t>花瓶小圆几/ 金色脚/ 劳伦黑岩板 （停）</t>
  </si>
  <si>
    <t>花瓶小圆几/ 金色脚/ 雪山白岩板 （停）</t>
  </si>
  <si>
    <t>082V型小圆几   ( 100个起批)</t>
  </si>
  <si>
    <t>V型小圆几/ 黑色脚/ 阿玛尼灰岩板 （停）</t>
  </si>
  <si>
    <t>47*43*13cm</t>
  </si>
  <si>
    <t>3. 70</t>
  </si>
  <si>
    <t>43. 42</t>
  </si>
  <si>
    <t>68. 3</t>
  </si>
  <si>
    <t>】 V型小圆几-详情图</t>
  </si>
  <si>
    <t>cs . cn/ l / cbZ e Bbecj bqg</t>
  </si>
  <si>
    <t>【金山文档】 V型小圆几-买家秀</t>
  </si>
  <si>
    <t>. cn/ l / cn1NdV6 yq2n6</t>
  </si>
  <si>
    <t>V型小圆几/ 黑色脚/ 劳伦黑岩板（ 停）</t>
  </si>
  <si>
    <t>V型小圆几/ 黑色脚/ 雪山白岩板（ 停）</t>
  </si>
  <si>
    <t>V型小圆几/ 金色脚/ 阿玛尼灰岩板 （停）</t>
  </si>
  <si>
    <t>45. 42</t>
  </si>
  <si>
    <t>70. 3</t>
  </si>
  <si>
    <t>V型小圆几/ 金色脚/ 劳伦黑岩板（ 停）</t>
  </si>
  <si>
    <t>V型小圆几/ 金色脚/ 雪山白岩板（ 停）</t>
  </si>
  <si>
    <t>080 抽屉边几B款( 100个起批)</t>
  </si>
  <si>
    <t>抽屉边几B款/ 黑色脚/ 白色款（停）</t>
  </si>
  <si>
    <t>55*55*30cm</t>
  </si>
  <si>
    <t>12. 15</t>
  </si>
  <si>
    <t>124. 46</t>
  </si>
  <si>
    <t>10. 96</t>
  </si>
  <si>
    <t>168. 9</t>
  </si>
  <si>
    <t>】 抽屉边几 B款-详情图 ht t ps : / / kdo cs . cn/ l / cl L v 6CRe EA0t</t>
  </si>
  <si>
    <t>【金山文档】抽屉边几B款-买家秀</t>
  </si>
  <si>
    <t>. cn/ l / ct DFf D5 hGax V</t>
  </si>
  <si>
    <t>抽屉边几B款/ 黑色脚/ 黑色款（停）</t>
  </si>
  <si>
    <t>抽屉边几B款/ 黑色脚/ 灰色款（停）</t>
  </si>
  <si>
    <t>抽屉边几B款/ 金色脚/ 白色款（停）</t>
  </si>
  <si>
    <t>127. 46</t>
  </si>
  <si>
    <t>171. 9</t>
  </si>
  <si>
    <t>抽屉边几B款/ 金色脚/ 黑色款（停）</t>
  </si>
  <si>
    <t>抽屉边几B款/ 金色脚/ 灰色款（停）</t>
  </si>
  <si>
    <t>079直角四盘花架</t>
  </si>
  <si>
    <t>直角四盘花架/ 白色/ 80cm高</t>
  </si>
  <si>
    <t>79*8*30cm</t>
  </si>
  <si>
    <t>2. 45</t>
  </si>
  <si>
    <t>2. 37</t>
  </si>
  <si>
    <t>2. 57</t>
  </si>
  <si>
    <t>36. 6</t>
  </si>
  <si>
    <t>】 078直角五盘花架 079直角四盘花架-详情图</t>
  </si>
  <si>
    <t>cs . cn/ l / cr 4 j b7mr 2Uks</t>
  </si>
  <si>
    <t>【金山文档】 078直角四五盘花架-买家秀</t>
  </si>
  <si>
    <t>. cn/ l / ck1G3h7 85EmG</t>
  </si>
  <si>
    <t>【WPS云文档】 079直角四盘花架-包装图</t>
  </si>
  <si>
    <t>ht t ps : / / www. k docs . cn/ l / cv C J 4u56qc Ex</t>
  </si>
  <si>
    <t>直角四盘花架/ 黑色/ 80cm高</t>
  </si>
  <si>
    <t>直角四盘花架/ 金色/ 80cm高</t>
  </si>
  <si>
    <t>38. 6</t>
  </si>
  <si>
    <t>078直角五盘花架</t>
  </si>
  <si>
    <t>直角五盘花架/ 白色/ 100cm高</t>
  </si>
  <si>
    <t>98*29*7cm</t>
  </si>
  <si>
    <t>3. 15</t>
  </si>
  <si>
    <t>2. 97</t>
  </si>
  <si>
    <t>3. 13</t>
  </si>
  <si>
    <t>直角五盘花架/ 黑色/ 100cm高</t>
  </si>
  <si>
    <t>直角五盘花架/ 金色/ 100cm高</t>
  </si>
  <si>
    <t>48. 1</t>
  </si>
  <si>
    <t>直角五盘花架/ 白色/ 120cm高</t>
  </si>
  <si>
    <t>118*29*7cm</t>
  </si>
  <si>
    <t>3. 57</t>
  </si>
  <si>
    <t>3. 66</t>
  </si>
  <si>
    <t>47. 4</t>
  </si>
  <si>
    <t>直角五盘花架/ 黑色/ 120cm高</t>
  </si>
  <si>
    <t>直角五盘花架/ 金色/ 120cm高</t>
  </si>
  <si>
    <t>077 好运小圆几</t>
  </si>
  <si>
    <t>好运小圆几/ 黑色脚/ 阿玛尼灰岩板（停）</t>
  </si>
  <si>
    <t>56*44*15. 5cm</t>
  </si>
  <si>
    <t>5. 64</t>
  </si>
  <si>
    <t>40. 62</t>
  </si>
  <si>
    <t>4. 15</t>
  </si>
  <si>
    <t>】 好运小圆几-详情图</t>
  </si>
  <si>
    <t>cs . cn/ l / cm0 uVNt e 17l p</t>
  </si>
  <si>
    <t>【金山文档】好运小圆几 -买家秀</t>
  </si>
  <si>
    <t>. cn/ l / cbnj E3j wpa 2i</t>
  </si>
  <si>
    <t>好运小圆几/ 黑色脚/ 劳伦黑岩板</t>
  </si>
  <si>
    <t>好运小圆几/ 黑色脚/ 雪山白岩板 （停）</t>
  </si>
  <si>
    <t>好运小圆几/ 金色脚/ 阿玛尼灰岩板</t>
  </si>
  <si>
    <t>42. 62</t>
  </si>
  <si>
    <t>61. 8</t>
  </si>
  <si>
    <t>好运小圆几/ 金色脚/ 劳伦黑岩板</t>
  </si>
  <si>
    <t>好运小圆几/ 金色脚/ 雪山白岩板</t>
  </si>
  <si>
    <t>076 转角服装架B款 ( 100个起批)</t>
  </si>
  <si>
    <t>转角服装架B款/ 金色（ 停）</t>
  </si>
  <si>
    <t>93*12*43cm</t>
  </si>
  <si>
    <t>6. 72</t>
  </si>
  <si>
    <t>】 转角服装架B款-详情图</t>
  </si>
  <si>
    <t>ht t ps : / / kdo cs . cn/ l / cqW X6dj HEq8K</t>
  </si>
  <si>
    <t>【金山文档】转角服装架 B款买家秀</t>
  </si>
  <si>
    <t>. cn/ l / cr j B135 e URv I</t>
  </si>
  <si>
    <t>转角服装架B款/ 白色（ 停）</t>
  </si>
  <si>
    <t>39. 3</t>
  </si>
  <si>
    <t>转角服装架B款/ 黑色（ 停）</t>
  </si>
  <si>
    <t>075甜甜圈椅</t>
  </si>
  <si>
    <t>甜甜圈椅/ 白色羊羔绒</t>
  </si>
  <si>
    <t>48*43*15cm</t>
  </si>
  <si>
    <t>4. 31</t>
  </si>
  <si>
    <t>2. 94</t>
  </si>
  <si>
    <t>81. 9</t>
  </si>
  <si>
    <t>】075甜甜圈椅-详情图</t>
  </si>
  <si>
    <t>/ cq8EqGhi RY A2</t>
  </si>
  <si>
    <t>【金山文档】 075 甜甜圈椅-买家秀</t>
  </si>
  <si>
    <t>. cn/ l / cc 0Ez z w z 1ehu</t>
  </si>
  <si>
    <t>甜甜圈椅/ 粉色羊羔绒</t>
  </si>
  <si>
    <t>甜甜圈椅/ 灰色羊羔绒</t>
  </si>
  <si>
    <t>甜甜圈椅/ 卡其色羊羔绒</t>
  </si>
  <si>
    <t>甜甜圈椅/ 棕色羊羔绒</t>
  </si>
  <si>
    <t>甜甜圈椅/ 白色羊羔绒+毛毛地毯/ 直径80cm</t>
  </si>
  <si>
    <t>甜甜圈椅/ 粉色羊羔绒+毛毛地毯/ 直径80cm</t>
  </si>
  <si>
    <t>甜甜圈椅/ 灰色羊羔绒+毛毛地毯/ 直径80cm</t>
  </si>
  <si>
    <t>甜甜圈椅/ 卡其色羊羔绒 +毛毛地毯/ 直径80cm</t>
  </si>
  <si>
    <t>074毛毛地毯</t>
  </si>
  <si>
    <t>毛毛地毯/ 直径80cm</t>
  </si>
  <si>
    <t>不单卖</t>
  </si>
  <si>
    <t>073熊耳转角置物架</t>
  </si>
  <si>
    <t>熊耳转角置物架 / 3 层/ 白色（停）</t>
  </si>
  <si>
    <t>86*33*7cm</t>
  </si>
  <si>
    <t>2. 96</t>
  </si>
  <si>
    <t>43. 0</t>
  </si>
  <si>
    <t>】 熊耳转角置物架-详情图</t>
  </si>
  <si>
    <t>ht t ps : / / kdo cs . cn/ l / can 9GR498f j h</t>
  </si>
  <si>
    <t>【金山文档】 073能耳转角置物架-买家秀</t>
  </si>
  <si>
    <t>. cn/ l / ci VQ1r q J dTX3</t>
  </si>
  <si>
    <t>熊耳转角置物架 / 3 层/ 黑色（停）</t>
  </si>
  <si>
    <t>熊耳转角置物架 / 3 层/ 金色（停）</t>
  </si>
  <si>
    <t>熊耳转角置物架 / 5层/ 白色 （ 停）</t>
  </si>
  <si>
    <t>146*33*7cm</t>
  </si>
  <si>
    <t>5. 83</t>
  </si>
  <si>
    <t>55. 85</t>
  </si>
  <si>
    <t>-58. 5</t>
  </si>
  <si>
    <t>熊耳转角置物架 / 5层/ 黑色</t>
  </si>
  <si>
    <t>熊耳转角置物架 / 5 层/ 金色（停）</t>
  </si>
  <si>
    <t>86. 2</t>
  </si>
  <si>
    <t>072熊耳单杆鞋架</t>
  </si>
  <si>
    <t>熊耳单杆鞋架/ 4 层/ 黑色</t>
  </si>
  <si>
    <t>】 熊耳单杆鞋架-详情图 ht t ps : / / kdo cs . cn/ l / cf E 4YI R3bOA3</t>
  </si>
  <si>
    <t>【金山文档】 072熊耳单杆鞋架-买家秀</t>
  </si>
  <si>
    <t>. cn/ l / cbF4EVW CbR0s</t>
  </si>
  <si>
    <t>docs . cn/ l / ce Y 7s KBt x Bi K</t>
  </si>
  <si>
    <t>熊耳单杆鞋架/ 4 层/ 白色</t>
  </si>
  <si>
    <t>熊耳单杆鞋架/ 5 层/ 黑色</t>
  </si>
  <si>
    <t>熊耳单杆鞋架/ 5 层/ 白色</t>
  </si>
  <si>
    <t>熊耳单杆鞋架/ 6 层/ 黑色</t>
  </si>
  <si>
    <t>熊耳单杆鞋架/ 6 层/ 白色</t>
  </si>
  <si>
    <t>熊耳单杆鞋架/ 7 层/ 黑色</t>
  </si>
  <si>
    <t>熊耳单杆鞋架/ 7 层/ 白色</t>
  </si>
  <si>
    <t>熊耳单杆鞋架/ 8 层/ 黑色</t>
  </si>
  <si>
    <t>熊耳单杆鞋架/ 8 层/ 白色</t>
  </si>
  <si>
    <t>熊耳单杆鞋架/ 9 层/ 黑色</t>
  </si>
  <si>
    <t>熊耳单杆鞋架/ 9 层/ 白色</t>
  </si>
  <si>
    <t>熊耳单杆鞋架 / 10层/ 黑色</t>
  </si>
  <si>
    <t>熊耳单杆鞋架 / 10层/ 白色</t>
  </si>
  <si>
    <t>熊耳单杆鞋架/ 4 层/ 金色</t>
  </si>
  <si>
    <t>熊耳单杆鞋架/ 5 层/ 金色</t>
  </si>
  <si>
    <t>熊耳单杆鞋架/ 6 层/ 金色</t>
  </si>
  <si>
    <t>熊耳单杆鞋架/ 7 层/ 金色</t>
  </si>
  <si>
    <t>熊耳单杆鞋架/ 8 层/ 金色</t>
  </si>
  <si>
    <t>熊耳单杆鞋架/ 9 层/ 金色</t>
  </si>
  <si>
    <t>熊耳单杆鞋架 / 10层/ 金色</t>
  </si>
  <si>
    <t>071 梯形衣帽架B款</t>
  </si>
  <si>
    <t>梯形衣帽架 B款/ 阿玛尼灰岩板/ 白色杆( 停)</t>
  </si>
  <si>
    <t>61*36*11</t>
  </si>
  <si>
    <t>26. 23</t>
  </si>
  <si>
    <t>40. 7</t>
  </si>
  <si>
    <t>】 梯形衣帽架B款-详情图</t>
  </si>
  <si>
    <t>cs . cn/ l / ckj 73ux Kgo 3e</t>
  </si>
  <si>
    <t>【金山文档】 071梯形衣帽架 B款-买家秀</t>
  </si>
  <si>
    <t>. cn/ l / cl pf z QR t c SW7</t>
  </si>
  <si>
    <t>【WPS云文档】 071 梯形衣帽架B款-包装图</t>
  </si>
  <si>
    <t>ht t ps : / / www. k docs . cn/ l / cpV v 2pnHwSI f</t>
  </si>
  <si>
    <t>梯形衣帽架B款/ 劳伦黑岩板/ 白色杆</t>
  </si>
  <si>
    <t>梯形衣帽架B款/ 雪山白岩板/ 白色杆</t>
  </si>
  <si>
    <t>梯形衣帽架 B款/ 阿玛尼灰岩板/ 黑色杆( 停)</t>
  </si>
  <si>
    <t>梯形衣帽架B款/ 劳伦黑岩板/ 黑色杆</t>
  </si>
  <si>
    <t>梯形衣帽架B款/ 雪山白岩板/ 黑色杆( 停)</t>
  </si>
  <si>
    <t>梯形衣帽架B款/ 阿玛尼灰岩板 / 金色杆</t>
  </si>
  <si>
    <t>27. 23</t>
  </si>
  <si>
    <t>41. 7</t>
  </si>
  <si>
    <t>梯形衣帽架B款/ 劳伦黑岩板/ 金色杆（停）</t>
  </si>
  <si>
    <t>梯形衣帽架B款/ 雪山白岩板/ 金色杆</t>
  </si>
  <si>
    <t>070 梯形衣帽架A款</t>
  </si>
  <si>
    <t>梯形衣帽架A款/ 阿玛尼灰岩板 / 白色杆（停）</t>
  </si>
  <si>
    <t>60*33. 5*8. 5cm</t>
  </si>
  <si>
    <t>18. 75</t>
  </si>
  <si>
    <t>】 梯形衣帽架A款-详情图</t>
  </si>
  <si>
    <t>ht t ps : / / kdo cs . cn/ l / cus Ph0t vuWe J</t>
  </si>
  <si>
    <t>【金山文档】 070梯形衣帽架 A款-买家秀</t>
  </si>
  <si>
    <t>. cn/ l / cqI wj MQ dca Yq</t>
  </si>
  <si>
    <t>拼多多： 暂无限制     京东：暂无限制</t>
  </si>
  <si>
    <t>梯形衣帽架A款/ 劳伦黑岩板/ 白色杆（停）</t>
  </si>
  <si>
    <t>梯形衣帽架A款/ 雪山白岩板/ 白色杆（停）</t>
  </si>
  <si>
    <t>梯形衣帽架A款/ 阿玛尼灰岩板 / 黑色杆（停）</t>
  </si>
  <si>
    <t>梯形衣帽架A款/ 劳伦黑岩板/ 黑色杆（停）</t>
  </si>
  <si>
    <t>梯形衣帽架A款/ 雪山白岩板/ 黑色杆（停)</t>
  </si>
  <si>
    <t>梯形衣帽架 A款/ 阿玛尼灰岩板 / 金色杆（ 停)</t>
  </si>
  <si>
    <t>19. 75</t>
  </si>
  <si>
    <t>梯形衣帽架A款/ 劳伦黑岩板/ 金色杆（停)</t>
  </si>
  <si>
    <t>梯形衣帽架A款/ 雪山白岩板/ 金色杆（停)</t>
  </si>
  <si>
    <t>069方形子母茶几</t>
  </si>
  <si>
    <t>方形子母茶几/ 黑色脚/ 白色小桌 50cm-单桌( 停)</t>
  </si>
  <si>
    <t>54*54*16cm</t>
  </si>
  <si>
    <t>7. 06</t>
  </si>
  <si>
    <t>】 方形子母茶几-详情图 ht t ps : / / kdo cs . cn/ l / cgy PE53XZf i 3</t>
  </si>
  <si>
    <t>【金山文档】方形子母茶几 -买家秀</t>
  </si>
  <si>
    <t>. cn/ l / cuZYt mV CcgdL</t>
  </si>
  <si>
    <t>方形子母茶几/ 黑色脚/ 白色大桌 70cm/ 白色小桌 50cm ( 停)</t>
  </si>
  <si>
    <t>81*81*19cm</t>
  </si>
  <si>
    <t>18. 08</t>
  </si>
  <si>
    <t>127. 92</t>
  </si>
  <si>
    <t>14. 64</t>
  </si>
  <si>
    <t>196. 6</t>
  </si>
  <si>
    <t>方形子母茶几/ 黑色脚/ 白色大桌 70cm/ 黑色小桌 50cm ( 停)</t>
  </si>
  <si>
    <t>方形子母茶几/ 黑色脚/ 黑色大桌 70cm/ 白色小桌 50cm ( 停)</t>
  </si>
  <si>
    <t>方形子母茶几/ 黑色脚/ 黑色大桌 70cm/ 黑色小桌 50cm ( 停)</t>
  </si>
  <si>
    <t>方形子母茶几/ 黑色脚/ 灰色大桌 70cm/ 灰色小桌 50cm ( 停)</t>
  </si>
  <si>
    <t>方形子母茶几/ 金色脚/ 白色大桌 70cm/ 白色小桌 50cm ( 停)</t>
  </si>
  <si>
    <t>132. 92</t>
  </si>
  <si>
    <t>201. 6</t>
  </si>
  <si>
    <t>方形子母茶几/ 金色脚/ 白色大桌 70cm/ 黑色小桌 50cm ( 停)</t>
  </si>
  <si>
    <t>方形子母茶几/ 金色脚/ 黑色大桌 70cm/ 白色小桌 50cm ( 停)</t>
  </si>
  <si>
    <t>方形子母茶几/ 金色脚/ 黑色大桌 70cm/ 黑色小桌 50cm ( 停)</t>
  </si>
  <si>
    <t>方形子母茶几/ 金色脚/ 灰色大桌 70cm/ 灰色小桌 50cm ( 停)</t>
  </si>
  <si>
    <t>068 简约小圆几</t>
  </si>
  <si>
    <t>简约小圆几/ 黑色脚/ 阿玛尼灰岩板</t>
  </si>
  <si>
    <t>51*44*9cm</t>
  </si>
  <si>
    <t>25. 62</t>
  </si>
  <si>
    <t>2. 15</t>
  </si>
  <si>
    <t>】 简约小圆几-详情图</t>
  </si>
  <si>
    <t>cs . cn/ l / cbv w2ug SL3mF</t>
  </si>
  <si>
    <t>【金山文档】 068简约小圆几</t>
  </si>
  <si>
    <t>. cn/ l / cedve J J WJ wz H</t>
  </si>
  <si>
    <t>简约小圆几/ 黑色脚/ 劳伦黑岩板</t>
  </si>
  <si>
    <t>简约小圆几/ 黑色脚/ 雪山白岩板</t>
  </si>
  <si>
    <t>简约小圆几/ 金色脚/ 阿玛尼灰岩板（停）</t>
  </si>
  <si>
    <t>简约小圆几/ 金色脚/ 劳伦黑岩板 （停）</t>
  </si>
  <si>
    <t>简约小圆几/ 金色脚/ 雪山白岩板</t>
  </si>
  <si>
    <t>067抽屉边几</t>
  </si>
  <si>
    <t>抽屉边几/ 单层/ 黑色脚/ 白色款（ 停）</t>
  </si>
  <si>
    <t>54*30*54cm</t>
  </si>
  <si>
    <t>12. 54</t>
  </si>
  <si>
    <t>103. 46</t>
  </si>
  <si>
    <t>147. 4</t>
  </si>
  <si>
    <t>94. 3</t>
  </si>
  <si>
    <t>】 抽屉边几</t>
  </si>
  <si>
    <t>-详情图 ht t ps : / / kdo cs . cn/ l / cl g l r xydoz Vh</t>
  </si>
  <si>
    <t>【金山文档】抽屉边几-买家秀</t>
  </si>
  <si>
    <t>. cn/ l / cupr EOV wSqs Q</t>
  </si>
  <si>
    <t>抽屉边几/ 单层/ 金色脚/ 白色款（ 停）</t>
  </si>
  <si>
    <t>105. 46</t>
  </si>
  <si>
    <t>149. 4</t>
  </si>
  <si>
    <t>抽屉边几/ 双层/ 黑色脚/ 白色款（ 停）</t>
  </si>
  <si>
    <t>115. 46</t>
  </si>
  <si>
    <t>161. 4</t>
  </si>
  <si>
    <t>抽屉边几/ 双层/ 金色脚/ 白色款（ 停）</t>
  </si>
  <si>
    <t>117. 46</t>
  </si>
  <si>
    <t>163. 4</t>
  </si>
  <si>
    <t>066四花鞋架</t>
  </si>
  <si>
    <t>四花鞋架/ 4 层/ 黑色（停）</t>
  </si>
  <si>
    <t>82*24*8cm</t>
  </si>
  <si>
    <t>2. 33</t>
  </si>
  <si>
    <t>1. 84</t>
  </si>
  <si>
    <t>】 四花鞋架</t>
  </si>
  <si>
    <t>cs . cn/ l / ci R</t>
  </si>
  <si>
    <t>x 4pXSi EI Y</t>
  </si>
  <si>
    <t>【金山文档】四花鞋架-买家秀</t>
  </si>
  <si>
    <t>. cn/ l / cr d2SYL j xhnH</t>
  </si>
  <si>
    <t>四花鞋架/ 4 层/ 银色（停）</t>
  </si>
  <si>
    <t>四花鞋架/ 4 层/ 金色（停）</t>
  </si>
  <si>
    <t>四花鞋架/ 5 层/ 黑色</t>
  </si>
  <si>
    <t>98*24*8cm</t>
  </si>
  <si>
    <t>2. 13</t>
  </si>
  <si>
    <t>70. 1</t>
  </si>
  <si>
    <t>四花鞋架/ 5 层/ 银色（停）</t>
  </si>
  <si>
    <t>72. 1</t>
  </si>
  <si>
    <t>四花鞋架/ 5 层/ 金色（停）</t>
  </si>
  <si>
    <t>四花鞋架/ 6 层/ 黑色</t>
  </si>
  <si>
    <t>114*24*8cm</t>
  </si>
  <si>
    <t>3. 23</t>
  </si>
  <si>
    <t>2. 39</t>
  </si>
  <si>
    <t>87. 4</t>
  </si>
  <si>
    <t>55. 3</t>
  </si>
  <si>
    <t>四花鞋架/ 6 层/ 银色</t>
  </si>
  <si>
    <t>90. 4</t>
  </si>
  <si>
    <t>四花鞋架/ 6 层/ 金色（停）</t>
  </si>
  <si>
    <t>065 三层小圆几A款</t>
  </si>
  <si>
    <t>三层小圆几A款/ 黑色脚/ 雪山白岩板 （停）</t>
  </si>
  <si>
    <t>71*45. 5*13cm</t>
  </si>
  <si>
    <t>6. 00</t>
  </si>
  <si>
    <t>53. 39</t>
  </si>
  <si>
    <t>3. 78</t>
  </si>
  <si>
    <t>88. 7</t>
  </si>
  <si>
    <t>】 三层小圆几A款-详情图</t>
  </si>
  <si>
    <t>ht t ps : / / kdo cs . cn/ l / ckQ g 5PVy I z l P</t>
  </si>
  <si>
    <t>【金山文档】三层小圆几 A款</t>
  </si>
  <si>
    <t>. cn/ l / cpI c QI B 60QQo</t>
  </si>
  <si>
    <t>三层小圆几A款/ 黑色脚/ 阿玛尼灰岩板（停）</t>
  </si>
  <si>
    <t>三层小圆几A款/ 黑色脚/ 劳伦黑岩板 （停）</t>
  </si>
  <si>
    <t>三层小圆几A款/ 金色脚/ 雪山白岩板 （停）</t>
  </si>
  <si>
    <t>55. 39</t>
  </si>
  <si>
    <t>90. 7</t>
  </si>
  <si>
    <t>三层小圆几A款/ 金色脚/ 阿玛尼灰岩板（停）</t>
  </si>
  <si>
    <t>三层小圆几A款/ 金色脚/ 劳伦黑岩板 （停）</t>
  </si>
  <si>
    <t>063 细腰小圆几</t>
  </si>
  <si>
    <t>细腰小圆几/ 黑色脚/ 阿玛尼灰岩板（停）</t>
  </si>
  <si>
    <t>49*12*44cm</t>
  </si>
  <si>
    <t>60. 1</t>
  </si>
  <si>
    <t>】 细腰小圆几-详情图</t>
  </si>
  <si>
    <t>cs . cn/ l / cqo Bxs N1Uj ge</t>
  </si>
  <si>
    <t>【金山文档】细腰小圆几 -买家秀</t>
  </si>
  <si>
    <t>. cn/ l / cf PedKs VG8U8</t>
  </si>
  <si>
    <t>细腰小圆几/ 黑色脚/ 劳伦黑岩板 （停）</t>
  </si>
  <si>
    <t>细腰小圆几/ 黑色脚/ 雪山白岩板 （停）</t>
  </si>
  <si>
    <t>细腰小圆几/ 金色脚/ 阿玛尼灰岩板（停）</t>
  </si>
  <si>
    <t>45. 62</t>
  </si>
  <si>
    <t>细腰小圆几/ 金色脚/ 劳伦黑岩板 （停）</t>
  </si>
  <si>
    <t>细腰小圆几/ 金色脚/ 雪山白岩板 （停）</t>
  </si>
  <si>
    <t>细腰小圆几/ 银色脚/ 阿玛尼灰岩板（停）</t>
  </si>
  <si>
    <t>细腰小圆几/ 银色脚/ 劳伦黑岩板 （停）</t>
  </si>
  <si>
    <t>细腰小圆几/ 银色脚/ 雪山白岩板 （停）</t>
  </si>
  <si>
    <t>061 带筐L型衣帽架</t>
  </si>
  <si>
    <t>带筐L型衣帽架/ 阿玛尼灰岩板 / 黑色款（停）</t>
  </si>
  <si>
    <t>43*19*31cm</t>
  </si>
  <si>
    <t>52. 23</t>
  </si>
  <si>
    <t>】 带筐L型衣帽架-详情图</t>
  </si>
  <si>
    <t>ht t ps : / / kdo cs . cn/ l / cqn cl g Xaf aah</t>
  </si>
  <si>
    <t>【金山文档】带筐L型衣帽架</t>
  </si>
  <si>
    <t>. cn/ l / cns x MHR 2Xg J y</t>
  </si>
  <si>
    <t>带筐L型衣帽架/ 劳伦黑岩板/ 黑色款（停）</t>
  </si>
  <si>
    <t>带筐L型衣帽架/ 阿玛尼灰岩板 / 金色款（停）</t>
  </si>
  <si>
    <t>55. 23</t>
  </si>
  <si>
    <t>带筐L型衣帽架/ 劳伦黑岩板/ 金色款（停）</t>
  </si>
  <si>
    <t>带筐L型衣帽架/ 雪山白岩板/ 金色款（停）</t>
  </si>
  <si>
    <t>带筐L型衣帽架/ 阿玛尼灰岩板 / 银色款（停）</t>
  </si>
  <si>
    <t>带筐L型衣帽架/ 劳伦黑岩板/ 银色款（停）</t>
  </si>
  <si>
    <t>带筐L型衣帽架/ 雪山白岩板/ 银色款（停）</t>
  </si>
  <si>
    <t>060 葫芦小圆几</t>
  </si>
  <si>
    <t>（100 件起批）</t>
  </si>
  <si>
    <t>葫芦小圆几/ 黑色脚/ 阿玛尼灰岩板（停）</t>
  </si>
  <si>
    <t>45*44*17cm</t>
  </si>
  <si>
    <t>4. 76</t>
  </si>
  <si>
    <t>53. 23</t>
  </si>
  <si>
    <t>】 葫芦小圆几-详情图</t>
  </si>
  <si>
    <t>ht t ps : / / kdo cs . cn/ l / cdj</t>
  </si>
  <si>
    <t>【金山文档】葫芦小圆几 -买家秀</t>
  </si>
  <si>
    <t>. cn/ l / ca ZEct 8</t>
  </si>
  <si>
    <t>葫芦小圆几/ 黑色脚/ 劳伦黑岩板 （停）</t>
  </si>
  <si>
    <t>葫芦小圆几/ 黑色脚/ 雪山白岩板 （停）</t>
  </si>
  <si>
    <t>葫芦小圆几/ 金色脚/ 阿玛尼灰岩板（停）</t>
  </si>
  <si>
    <t>78. 0</t>
  </si>
  <si>
    <t>葫芦小圆几/ 金色脚/ 劳伦黑岩板 （停）</t>
  </si>
  <si>
    <t>葫芦小圆几/ 金色脚/ 雪山白岩板 （停）</t>
  </si>
  <si>
    <t>葫芦小圆几/ 银色脚/ 阿玛尼灰岩板（停）</t>
  </si>
  <si>
    <t>44NOp5pl H</t>
  </si>
  <si>
    <t>J EC8g</t>
  </si>
  <si>
    <t>葫芦小圆几/ 银色脚/ 劳伦黑岩板 （停）</t>
  </si>
  <si>
    <t>葫芦小圆几/ 银色脚/ 雪山白岩板 （停）</t>
  </si>
  <si>
    <t>059 转角服装架A款</t>
  </si>
  <si>
    <t>转角服装架A款/ 两层/ 白色( 停)</t>
  </si>
  <si>
    <t>93*43*14cm</t>
  </si>
  <si>
    <t>7. 76</t>
  </si>
  <si>
    <t>79. 0</t>
  </si>
  <si>
    <t>】 转角服装架A款-详情图</t>
  </si>
  <si>
    <t>cs . cn/ l / cs 4 7J G1I HQqp</t>
  </si>
  <si>
    <t>【金山文档】转角服装架 A款</t>
  </si>
  <si>
    <t>. cn/ l / cr TdNr C r 3Amg</t>
  </si>
  <si>
    <t>转角服装架A款/ 两层/ 黑色( 停)</t>
  </si>
  <si>
    <t>转角服装架A款/ 三层/ 白色( 停)</t>
  </si>
  <si>
    <t>86. 0</t>
  </si>
  <si>
    <t>-85. 0</t>
  </si>
  <si>
    <t>转角服装架A款/ 三层/ 黑色( 停)</t>
  </si>
  <si>
    <t>转角服装架A款/ 两层/ 金色（停）</t>
  </si>
  <si>
    <t>87. 0</t>
  </si>
  <si>
    <t>转角服装架A款/ 三层/ 金色( 停)</t>
  </si>
  <si>
    <t>-95. 0</t>
  </si>
  <si>
    <t>058碟盘双层小圆几 ( 100个起批)</t>
  </si>
  <si>
    <t>碟盘双层小圆几 / 黑色脚/ 阿玛尼灰岩板（ 停）</t>
  </si>
  <si>
    <t>55*44*15cm</t>
  </si>
  <si>
    <t>5. 04</t>
  </si>
  <si>
    <t>40. 42</t>
  </si>
  <si>
    <t>】 碟盘双层小圆几-详情图</t>
  </si>
  <si>
    <t>cs . cn/ l / ci e a 5TJ QFND3</t>
  </si>
  <si>
    <t>【金山文档】碟盘双层小圆几-买家秀</t>
  </si>
  <si>
    <t>. cn/ l / ct Kmdy S hAqUz</t>
  </si>
  <si>
    <t>碟盘双层小圆几 / 黑色脚/ 劳伦黑岩板（停）</t>
  </si>
  <si>
    <t>碟盘双层小圆几 / 黑色脚/ 雪山白岩板（停）</t>
  </si>
  <si>
    <t>碟盘双层小圆几 / 金色脚/ 阿玛尼灰岩板（ 停）</t>
  </si>
  <si>
    <t>42. 42</t>
  </si>
  <si>
    <t>碟盘双层小圆几 / 金色脚/ 劳伦黑岩板（停）</t>
  </si>
  <si>
    <t>碟盘双层小圆几 / 金色脚/ 雪山白岩板（停）</t>
  </si>
  <si>
    <t>057 火箭小圆几</t>
  </si>
  <si>
    <t>火箭小圆几/ 黑色脚/ 阿玛尼灰岩板（停）</t>
  </si>
  <si>
    <t>48. 5*43. 5*12. 5cm</t>
  </si>
  <si>
    <t>30. 62</t>
  </si>
  <si>
    <t>2. 69</t>
  </si>
  <si>
    <t>】 火箭小圆几-详情图</t>
  </si>
  <si>
    <t>cs . cn/ l / cl Q x CI Ti QNj N</t>
  </si>
  <si>
    <t>【金山文档】火箭小圆几 -买家秀</t>
  </si>
  <si>
    <t>. cn/ l / ct 5Rc Fg p38pQ</t>
  </si>
  <si>
    <t>火箭小圆几/ 黑色脚/ 劳伦黑岩板 （停）</t>
  </si>
  <si>
    <t>火箭小圆几/ 黑色脚/ 雪山白岩板 （停）</t>
  </si>
  <si>
    <t>火箭小圆几/ 金色脚/ 阿玛尼灰岩板（停）</t>
  </si>
  <si>
    <t>32. 62</t>
  </si>
  <si>
    <t>火箭小圆几/ 金色脚/ 劳伦黑岩板 （停）</t>
  </si>
  <si>
    <t>火箭小圆几/ 金色脚/ 雪山白岩板 （停）</t>
  </si>
  <si>
    <t>056 环球小圆几</t>
  </si>
  <si>
    <t>环球小圆几/ 黑色脚/ 阿玛尼灰岩板（停）</t>
  </si>
  <si>
    <t>52*14*44cm</t>
  </si>
  <si>
    <t>4. 47</t>
  </si>
  <si>
    <t>2. 47</t>
  </si>
  <si>
    <t>】 环球小圆几-详情图</t>
  </si>
  <si>
    <t>ht t ps : / / kdo cs . cn/ l / cmP 8b5Hqt Y0p</t>
  </si>
  <si>
    <t>【金山文档】环球小圆几 -买家秀</t>
  </si>
  <si>
    <t>. cn/ l / camKkDR Ei z N7</t>
  </si>
  <si>
    <t>环球小圆几/ 黑色脚/ 劳伦黑岩板 （停）</t>
  </si>
  <si>
    <t>环球小圆几/ 黑色脚/ 雪山白岩板 （停）</t>
  </si>
  <si>
    <t>环球小圆几/ 金色脚/ 阿玛尼灰岩板（停）</t>
  </si>
  <si>
    <t>56. 1</t>
  </si>
  <si>
    <t>环球小圆几/ 金色脚/ 劳伦黑岩板 （停）</t>
  </si>
  <si>
    <t>环球小圆几/ 金色脚/ 雪山白岩板 （停）</t>
  </si>
  <si>
    <t>055 双层小圆几</t>
  </si>
  <si>
    <t>双层小圆几/ 黑色脚/ 阿玛尼灰岩板（停）</t>
  </si>
  <si>
    <t>45*13*62cm</t>
  </si>
  <si>
    <t>5. 07</t>
  </si>
  <si>
    <t>60. 9</t>
  </si>
  <si>
    <t>】 双层小圆几-详情图</t>
  </si>
  <si>
    <t>ht t ps : / / kdo cs . cn/ l / caf P1RWas y 2P</t>
  </si>
  <si>
    <t>【金山文档】双层小圆几 -买家秀</t>
  </si>
  <si>
    <t>. cn/ l / ca D1o 4I J FEmO</t>
  </si>
  <si>
    <t>双层小圆几/ 黑色脚/ 劳伦黑金岩板（停）</t>
  </si>
  <si>
    <t>双层小圆几/ 黑色脚/ 雪山白岩板 （停）</t>
  </si>
  <si>
    <t>双层小圆几/ 金色脚/ 阿玛尼灰岩板（停）</t>
  </si>
  <si>
    <t>62. 9</t>
  </si>
  <si>
    <t>双层小圆几/ 金色脚/ 劳伦黑金岩板（停）</t>
  </si>
  <si>
    <t>双层小圆几/ 金色脚/ 雪山白岩板 （停）</t>
  </si>
  <si>
    <t>054 迷你小圆几</t>
  </si>
  <si>
    <t>迷你小圆几/ 黑色脚/ 阿玛尼灰岩板</t>
  </si>
  <si>
    <t>51*9*44cm</t>
  </si>
  <si>
    <t>2. 99</t>
  </si>
  <si>
    <t>43. 8</t>
  </si>
  <si>
    <t>】 迷你小圆几-详情图</t>
  </si>
  <si>
    <t>ht t ps : / / kdo cs . cn/ l / ct 0 hr 8VCEKAl</t>
  </si>
  <si>
    <t>【金山文档】 054迷你小圆几</t>
  </si>
  <si>
    <t>. cn/ l / ca Rx H44 Ds 9x 2</t>
  </si>
  <si>
    <t>迷你小圆几/ 黑色脚/ 劳伦黑岩板</t>
  </si>
  <si>
    <t>迷你小圆几/ 黑色脚/ 雪山白岩板</t>
  </si>
  <si>
    <t>迷你小圆几/ 金色脚/ 阿玛尼灰岩板</t>
  </si>
  <si>
    <t>迷你小圆几/ 金色脚/ 劳伦黑岩板</t>
  </si>
  <si>
    <t>迷你小圆几/ 金色脚/ 雪山白岩板</t>
  </si>
  <si>
    <t>053椭圆仙人掌经济款</t>
  </si>
  <si>
    <t>椭圆仙人掌经济款 / 白色杆-长60cm（停）</t>
  </si>
  <si>
    <t>58*31*12. 5cm</t>
  </si>
  <si>
    <t>3. 47</t>
  </si>
  <si>
    <t>56. 0</t>
  </si>
  <si>
    <t>19. 7</t>
  </si>
  <si>
    <t>】 053椭圆仙人掌衣帽架-详情图</t>
  </si>
  <si>
    <t>cs . cn/ l / cdS MWeadybc U</t>
  </si>
  <si>
    <t>【金山文档】椭圆仙人掌衣帽架-买家秀</t>
  </si>
  <si>
    <t>. cn/ l / cf XUbz h Xj yes</t>
  </si>
  <si>
    <t>椭圆仙人掌经济款 / 黑色杆-长60cm</t>
  </si>
  <si>
    <t>椭圆仙人掌经济款 / 金色杆-长60cm（停）</t>
  </si>
  <si>
    <t>58. 0</t>
  </si>
  <si>
    <t>椭圆仙人掌经济款 / 白色杆-长80cm（停）</t>
  </si>
  <si>
    <t>78*31*12. 5cm</t>
  </si>
  <si>
    <t>4. 42</t>
  </si>
  <si>
    <t>64. 0</t>
  </si>
  <si>
    <t>椭圆仙人掌经济款 / 黑色杆-长80cm</t>
  </si>
  <si>
    <t>椭圆仙人掌经济款 / 金色杆-长80cm</t>
  </si>
  <si>
    <t>66. 0</t>
  </si>
  <si>
    <t>椭圆仙人掌经济款 / 白色杆-长100cm（停）</t>
  </si>
  <si>
    <t>98*31*12. 5cm</t>
  </si>
  <si>
    <t>5. 54</t>
  </si>
  <si>
    <t>椭圆仙人掌经济款 / 黑色杆-长100cm</t>
  </si>
  <si>
    <t>椭圆仙人掌经济款 / 金色杆-长100cm（停）</t>
  </si>
  <si>
    <t>051 熊宝宝鞋架</t>
  </si>
  <si>
    <t>熊宝宝鞋架 / 3层/ 白色</t>
  </si>
  <si>
    <t>4. 10</t>
  </si>
  <si>
    <t>2580. 0</t>
  </si>
  <si>
    <t>】051熊宝宝鞋架-详情图 ht t ps : / / kdo cs . cn/ l / cd0 t OB9hcm2I</t>
  </si>
  <si>
    <t>【WPS 云文档】 051熊宝宝鞋架</t>
  </si>
  <si>
    <t>. cn/ l / ccnThK4 DD5r U</t>
  </si>
  <si>
    <t>熊宝宝鞋架 / 3层/ 黑色</t>
  </si>
  <si>
    <t>熊宝宝鞋架 / 4层/ 白色</t>
  </si>
  <si>
    <t>熊宝宝鞋架 / 4层/ 黑色</t>
  </si>
  <si>
    <t>熊宝宝鞋架 / 5层/ 白色</t>
  </si>
  <si>
    <t>1. 95</t>
  </si>
  <si>
    <t>21. 6</t>
  </si>
  <si>
    <t>熊宝宝鞋架 / 5层/ 黑色</t>
  </si>
  <si>
    <t>熊宝宝鞋架 / 6层/ 白色</t>
  </si>
  <si>
    <t>熊宝宝鞋架 / 6层/ 黑色</t>
  </si>
  <si>
    <t>熊宝宝鞋架 / 7层/ 白色</t>
  </si>
  <si>
    <t>42. 2</t>
  </si>
  <si>
    <t>熊宝宝鞋架 / 7层/ 黑色</t>
  </si>
  <si>
    <t>熊宝宝鞋架 / 8层/ 白色</t>
  </si>
  <si>
    <t>45. 2</t>
  </si>
  <si>
    <t>熊宝宝鞋架 / 8层/ 黑色</t>
  </si>
  <si>
    <t>熊宝宝鞋架 / 3层/ 金色</t>
  </si>
  <si>
    <t>38. 8</t>
  </si>
  <si>
    <t>熊宝宝鞋架 / 4层/ 金色</t>
  </si>
  <si>
    <t>30. 4</t>
  </si>
  <si>
    <t>熊宝宝鞋架 / 5层/ 金色</t>
  </si>
  <si>
    <t>熊宝宝鞋架 / 6层/ 金色</t>
  </si>
  <si>
    <t>39. 4</t>
  </si>
  <si>
    <t>熊宝宝鞋架 / 7层/ 金色</t>
  </si>
  <si>
    <t>45. 4</t>
  </si>
  <si>
    <t>熊宝宝鞋架 / 8层/ 金色</t>
  </si>
  <si>
    <t>48. 4</t>
  </si>
  <si>
    <t>048太能装服装架</t>
  </si>
  <si>
    <t>篮子推车/ 黑色（停）</t>
  </si>
  <si>
    <t>61*41*28cm</t>
  </si>
  <si>
    <t>9. 44</t>
  </si>
  <si>
    <t>4. 82</t>
  </si>
  <si>
    <t>108. 8</t>
  </si>
  <si>
    <t>】 太能装服装架-详情图 ht t ps : / / kdo cs . cn/ l / ccw 33KR9t 41T</t>
  </si>
  <si>
    <t>【金山文档】太能装服装架 -买家秀</t>
  </si>
  <si>
    <t>. cn/ l / ct ZGko 5 qo Xc L</t>
  </si>
  <si>
    <t>篮子推车/ 白色（停）</t>
  </si>
  <si>
    <t>篮子推车/ 金色（停）</t>
  </si>
  <si>
    <t>115. 8</t>
  </si>
  <si>
    <t>太能装服装架 / 黑色（停）</t>
  </si>
  <si>
    <t>太能装服装架 / 白色（停）</t>
  </si>
  <si>
    <t>太能装服装架 / 金色（停）</t>
  </si>
  <si>
    <t>134. 8</t>
  </si>
  <si>
    <t>047环抱沙发</t>
  </si>
  <si>
    <t>】047环抱沙发-详情图</t>
  </si>
  <si>
    <t>/ cs NVhMUnmY x N</t>
  </si>
  <si>
    <t>【金山文档】环抱沙发-买家秀</t>
  </si>
  <si>
    <t>. cn/ l / ci Qqs s S gt ba 6</t>
  </si>
  <si>
    <t>（单人）-包装</t>
  </si>
  <si>
    <t>图</t>
  </si>
  <si>
    <t>环抱沙发/ 双人位/ 粉色绒布</t>
  </si>
  <si>
    <t>143*68*76cm</t>
  </si>
  <si>
    <t>98. 96</t>
  </si>
  <si>
    <t>349. 0</t>
  </si>
  <si>
    <t>环抱沙发/ 双人位/ 灰色绒布</t>
  </si>
  <si>
    <t>环抱沙发/ 三人位/ 粉色绒布</t>
  </si>
  <si>
    <t>183*68*76cm</t>
  </si>
  <si>
    <t>126. 26</t>
  </si>
  <si>
    <t>环抱沙发/ 三人位/ 灰色绒布</t>
  </si>
  <si>
    <t>046多功能服装架</t>
  </si>
  <si>
    <t>多功能服装架 / 白色/ 60CM（停）</t>
  </si>
  <si>
    <t>98*40*9cm</t>
  </si>
  <si>
    <t>88. 6</t>
  </si>
  <si>
    <t>】 多功能服装架-详情图 ht t ps : / / kdo cs . cn/ l / cqy 4NpJ yuXx I</t>
  </si>
  <si>
    <t>多功能服装架 / 黑色/ 60CM（停）</t>
  </si>
  <si>
    <t>多功能服装架 / 白色/ 80CM（停）</t>
  </si>
  <si>
    <t>多功能服装架 / 黑色/ 80CM（停）</t>
  </si>
  <si>
    <t>多功能服装架/ 白色/ 100CM（ 停）</t>
  </si>
  <si>
    <t>多功能服装架/ 黑色/ 100CM（ 停）</t>
  </si>
  <si>
    <t>多功能服装架/ 白色/ 120CM（ 停）</t>
  </si>
  <si>
    <t>118*40*9cm</t>
  </si>
  <si>
    <t>105. 3</t>
  </si>
  <si>
    <t>39. 7</t>
  </si>
  <si>
    <t>多功能服装架/ 黑色/ 120CM（ 停）</t>
  </si>
  <si>
    <t>多功能服装架 / 金色/ 60CM（停）</t>
  </si>
  <si>
    <t>29. 1</t>
  </si>
  <si>
    <t>多功能服装架 / 金色/ 80CM（停）</t>
  </si>
  <si>
    <t>103. 3</t>
  </si>
  <si>
    <t>-78. 5</t>
  </si>
  <si>
    <t>多功能服装架/ 金色/ 100CM（ 停）</t>
  </si>
  <si>
    <t>多功能服装架/ 金色/ 120CM（ 停）</t>
  </si>
  <si>
    <t>112. 3</t>
  </si>
  <si>
    <t>-25. 2</t>
  </si>
  <si>
    <t>045卡洛庭衣帽架</t>
  </si>
  <si>
    <t>卡洛庭衣帽架/ 阿玛尼灰岩板 / 白色圆饼（ 停）</t>
  </si>
  <si>
    <t>63. 5*43*13. 5cm</t>
  </si>
  <si>
    <t>5. 36</t>
  </si>
  <si>
    <t>41. 23</t>
  </si>
  <si>
    <t>2. 84</t>
  </si>
  <si>
    <t>】 卡洛庭衣帽架-详情图 ht t ps : / / kdo cs . cn/ l / co 6 7n9ut ghH2</t>
  </si>
  <si>
    <t>卡洛庭衣帽架/ 阿玛尼灰岩板 / 黑色圆饼（ 停）</t>
  </si>
  <si>
    <t>卡洛庭衣帽架 / 劳伦黑岩板/ 白色圆饼（停）</t>
  </si>
  <si>
    <t>卡洛庭衣帽架 / 劳伦黑岩板/ 黑色圆饼（停）</t>
  </si>
  <si>
    <t>卡洛庭衣帽架 / 雪山白岩板/ 白色圆饼（停）</t>
  </si>
  <si>
    <t>卡洛庭衣帽架 / 雪山白岩板/ 黑色圆饼（停）</t>
  </si>
  <si>
    <t>卡洛庭衣帽架 / 雪山白岩板/ 金色圆饼（停）</t>
  </si>
  <si>
    <t>44. 23</t>
  </si>
  <si>
    <t>卡洛庭衣帽架/ 阿玛尼灰岩板 / 金色圆饼（ 停）</t>
  </si>
  <si>
    <t>卡洛庭衣帽架 / 劳伦黑岩板/ 金色圆饼（停）</t>
  </si>
  <si>
    <t>043 圆筒凳</t>
  </si>
  <si>
    <t>圆筒凳/ 粉色绒布</t>
  </si>
  <si>
    <t>44*44*56. 6cm</t>
  </si>
  <si>
    <t>15. 34</t>
  </si>
  <si>
    <t>-25. 4</t>
  </si>
  <si>
    <t>】 圆筒凳-详情图</t>
  </si>
  <si>
    <t>ht t ps : / / kdo cs . cn/ l / co T j 0hDPz M6U</t>
  </si>
  <si>
    <t>【金山文档】圆筒凳-买家秀 ht t ps : / / kdocs</t>
  </si>
  <si>
    <t>. cn/ l / cqLpnWT s Ppvm</t>
  </si>
  <si>
    <t>圆筒凳/ 灰色绒布（ 停）</t>
  </si>
  <si>
    <t>圆筒凳/ 米色皮革（ 停）</t>
  </si>
  <si>
    <t>圆筒凳/ 千鸟格（停）</t>
  </si>
  <si>
    <t>042 门型衣帽架</t>
  </si>
  <si>
    <t>门型衣帽架 / 阿玛尼灰岩板 / 白色支架（停）</t>
  </si>
  <si>
    <t>58. 5*10*54. 5cm</t>
  </si>
  <si>
    <t>4. 62</t>
  </si>
  <si>
    <t>42. 23</t>
  </si>
  <si>
    <t>】 门型衣帽架-详情图</t>
  </si>
  <si>
    <t>cs . cn/ l / cnr p5Xv W9Wa E</t>
  </si>
  <si>
    <t>. cn/ l / ci yi 7us 1mnHG</t>
  </si>
  <si>
    <t>门型衣帽架 / 阿玛尼灰岩板 / 黑色支架</t>
  </si>
  <si>
    <t>门型衣帽架/ 劳伦黑岩板/ 白色支架</t>
  </si>
  <si>
    <t>门型衣帽架/ 劳伦黑岩板/ 黑色支架</t>
  </si>
  <si>
    <t>门型衣帽架/ 雪山白岩板/ 白色支架（停）</t>
  </si>
  <si>
    <t>门型衣帽架/ 雪山白岩板/ 黑色支架</t>
  </si>
  <si>
    <t>门型衣帽架 / 阿玛尼灰岩板 / 金色支架（停）</t>
  </si>
  <si>
    <t>45. 23</t>
  </si>
  <si>
    <t>门型衣帽架/ 劳伦黑岩板/ 金色支架（停）</t>
  </si>
  <si>
    <t>门型衣帽架/ 雪山白岩板/ 金色支架</t>
  </si>
  <si>
    <t>041U型二盘花架</t>
  </si>
  <si>
    <t>U型二盘花架/ 白色支架/ 阿玛尼灰岩板</t>
  </si>
  <si>
    <t>74*9*36cm</t>
  </si>
  <si>
    <t>19. 25</t>
  </si>
  <si>
    <t>2. 63</t>
  </si>
  <si>
    <t>【WPS 云文档】 041U型二盘花架-详情图（版本1 ）</t>
  </si>
  <si>
    <t>ht t ps : / / kdocs . cn/ l / cr r L3XJ ul oh4</t>
  </si>
  <si>
    <t>【金山文档】 041U型二盘花架-买家秀</t>
  </si>
  <si>
    <t>. cn/ l / ci 8qm8j gt uQe</t>
  </si>
  <si>
    <t>【WPS云文档】 041U型二盘花架</t>
  </si>
  <si>
    <t>-包装图</t>
  </si>
  <si>
    <t>ht t ps : / / www. k docs . cn/ l / ct J RI j h5y NUh</t>
  </si>
  <si>
    <t>U型二盘花架 / 白色支架/ 劳伦黑岩板</t>
  </si>
  <si>
    <t>U型二盘花架 / 白色支架/ 雪山白岩板</t>
  </si>
  <si>
    <t>U型二盘花架/ 黑色支架/ 阿玛尼灰岩板</t>
  </si>
  <si>
    <t>U型二盘花架 / 黑色支架/ 劳伦黑岩板</t>
  </si>
  <si>
    <t>【WPS 云文档】 041U型二盘花架-详情图（版本2 ）</t>
  </si>
  <si>
    <t>ht t ps : / / kdocs . cn/ l / ci nLG4BMHBn6</t>
  </si>
  <si>
    <t>U型二盘花架 / 黑色支架/ 雪山白岩板</t>
  </si>
  <si>
    <t>U型二盘花架/ 金色支架/ 阿玛尼灰岩板</t>
  </si>
  <si>
    <t>21. 25</t>
  </si>
  <si>
    <t>45. 9</t>
  </si>
  <si>
    <t>U型二盘花架 / 金色支架/ 劳伦黑岩板</t>
  </si>
  <si>
    <t>U型二盘花架 / 金色支架/ 雪山白岩板</t>
  </si>
  <si>
    <t>040直角三盘花架</t>
  </si>
  <si>
    <t>直角三盘花架/ 白色支架/ 阿玛尼灰岩板（ 停）</t>
  </si>
  <si>
    <t>20. 75</t>
  </si>
  <si>
    <t>33. 4</t>
  </si>
  <si>
    <t>】 040直角三盘花架-详情图</t>
  </si>
  <si>
    <t>ht t ps : / / kdo cs . cn/ l / cqw</t>
  </si>
  <si>
    <t>QXhAe 5Aj o</t>
  </si>
  <si>
    <t>【金山文档】直角三盘花架 -买家秀</t>
  </si>
  <si>
    <t>. cn/ l / ca EVcq5 Zu6KO</t>
  </si>
  <si>
    <t>直角三盘花架 / 白色支架/ 劳伦黑岩板（停）</t>
  </si>
  <si>
    <t>直角三盘花架 / 白色支架/ 雪山白岩板（停）</t>
  </si>
  <si>
    <t>直角三盘花架/ 黑色支架/ 阿玛尼灰岩板（ 停）</t>
  </si>
  <si>
    <t>直角三盘花架 / 黑色支架/ 劳伦黑岩板（停）</t>
  </si>
  <si>
    <t>直角三盘花架 / 黑色支架/ 雪山白岩板  （停）</t>
  </si>
  <si>
    <t>直角三盘花架/ 金色支架/ 阿玛尼灰岩板（ 停）</t>
  </si>
  <si>
    <t>21. 75</t>
  </si>
  <si>
    <t>直角三盘花架 / 金色支架/ 劳伦黑岩板（停）</t>
  </si>
  <si>
    <t>直角三盘花架 / 金色支架/ 雪山白岩板（停）</t>
  </si>
  <si>
    <t>039仙人掌衣帽架</t>
  </si>
  <si>
    <t>仙人掌衣帽架 / 阿玛尼灰岩板/ 白色杆（停）</t>
  </si>
  <si>
    <t>53*36*17cm</t>
  </si>
  <si>
    <t>4. 50</t>
  </si>
  <si>
    <t>】 仙人掌衣帽架-详情图 ht t ps : / / kdo cs . cn/ l / cv B mAgd25Eg P</t>
  </si>
  <si>
    <t>【金山文档】仙人掌衣帽架 -买家秀</t>
  </si>
  <si>
    <t>. cn/ l / cpg 0Gxq EAoyi</t>
  </si>
  <si>
    <t>仙人掌衣帽架 / 阿玛尼灰岩板/ 黑色杆（停）</t>
  </si>
  <si>
    <t>仙人掌衣帽架 / 劳伦黑岩板 / 白色杆（停）</t>
  </si>
  <si>
    <t>仙人掌衣帽架 / 劳伦黑岩板 / 黑色杆（停）</t>
  </si>
  <si>
    <t>仙人掌衣帽架 / 雪山白岩板 / 白色杆（停）</t>
  </si>
  <si>
    <t>仙人掌衣帽架 / 雪山白岩板 / 黑色杆（停）</t>
  </si>
  <si>
    <t>仙人掌衣帽架 / 阿玛尼灰岩板/ 金色杆</t>
  </si>
  <si>
    <t>28. 05</t>
  </si>
  <si>
    <t>41. 6</t>
  </si>
  <si>
    <t>仙人掌衣帽架/ 劳伦黑岩板/ 金色杆</t>
  </si>
  <si>
    <t>仙人掌衣帽架/ 雪山白岩板/ 金色杆</t>
  </si>
  <si>
    <t>038 兔耳朵鞋架</t>
  </si>
  <si>
    <t>兔耳朵鞋架 / 3层/ 白色（停）</t>
  </si>
  <si>
    <t>28*28*42cm</t>
  </si>
  <si>
    <t>4. 52</t>
  </si>
  <si>
    <t>2. 62</t>
  </si>
  <si>
    <t>26. 0</t>
  </si>
  <si>
    <t>. cn/ l / ch5Oa 57 Pps 91</t>
  </si>
  <si>
    <t>兔耳朵鞋架 / 3层/ 黑色</t>
  </si>
  <si>
    <t>兔耳朵鞋架 / 4层/ 白色（停）</t>
  </si>
  <si>
    <t>29. 5*29. 5*56. 5cm</t>
  </si>
  <si>
    <t>6. 41</t>
  </si>
  <si>
    <t>36. 8</t>
  </si>
  <si>
    <t>兔耳朵鞋架 / 4层/ 黑色（停）</t>
  </si>
  <si>
    <t>兔耳朵鞋架 / 5层/ 白色（停）</t>
  </si>
  <si>
    <t>28*28*47. 5cm</t>
  </si>
  <si>
    <t>5. 15</t>
  </si>
  <si>
    <t>35. 2</t>
  </si>
  <si>
    <t>兔耳朵鞋架 / 5层/ 黑色</t>
  </si>
  <si>
    <t>兔耳朵鞋架 / 6层/ 白色（停）</t>
  </si>
  <si>
    <t>46. 8</t>
  </si>
  <si>
    <t>兔耳朵鞋架 / 6层/ 黑色（停）</t>
  </si>
  <si>
    <t>兔耳朵鞋架 / 7层/ 白色（停）</t>
  </si>
  <si>
    <t>兔耳朵鞋架 / 7层/ 黑色</t>
  </si>
  <si>
    <t>兔耳朵鞋架 / 8层/ 白色（停）</t>
  </si>
  <si>
    <t>兔耳朵鞋架 / 8层/ 黑色（停）</t>
  </si>
  <si>
    <t>兔耳朵鞋架 / 3层/ 金色（停）</t>
  </si>
  <si>
    <t>27. 6</t>
  </si>
  <si>
    <t>兔耳朵鞋架 / 4层/ 金色（停）</t>
  </si>
  <si>
    <t>35. 0</t>
  </si>
  <si>
    <t>兔耳朵鞋架 / 5层/ 金色（停）</t>
  </si>
  <si>
    <t>45. 8</t>
  </si>
  <si>
    <t>兔耳朵鞋架 / 6层/ 金色（停）</t>
  </si>
  <si>
    <t>兔耳朵鞋架 / 7层/ 金色（停）</t>
  </si>
  <si>
    <t>45. 6</t>
  </si>
  <si>
    <t>兔耳朵鞋架 / 8层/ 金色（停）</t>
  </si>
  <si>
    <t>53. 0</t>
  </si>
  <si>
    <t>037 异形椅</t>
  </si>
  <si>
    <t>异形椅/ 橙色（停）</t>
  </si>
  <si>
    <t>46*30*93cm</t>
  </si>
  <si>
    <t>134. 0</t>
  </si>
  <si>
    <t>异形椅/ 红色</t>
  </si>
  <si>
    <t>异形椅/ 蓝色（停）</t>
  </si>
  <si>
    <t>036猫头鞋架</t>
  </si>
  <si>
    <t>猫头鞋架/ 白色</t>
  </si>
  <si>
    <t>26*7*73cm</t>
  </si>
  <si>
    <t>2. 00</t>
  </si>
  <si>
    <t>1. 21</t>
  </si>
  <si>
    <t>. cn/ l / ct Pc Z7L o TGOv</t>
  </si>
  <si>
    <t>猫头鞋架/ 黑色</t>
  </si>
  <si>
    <t>猫头鞋架/ 金色</t>
  </si>
  <si>
    <t>035餐桌</t>
  </si>
  <si>
    <t>餐桌/ 岩板劳伦黑金+黑脚/ 120*60*75CM单桌</t>
  </si>
  <si>
    <t>126*65*15cm</t>
  </si>
  <si>
    <t>18. 22</t>
  </si>
  <si>
    <t>14. 54</t>
  </si>
  <si>
    <t>217. 0</t>
  </si>
  <si>
    <t>】 岩板餐桌椅-详情图</t>
  </si>
  <si>
    <t>ht t ps : / / kdo cs . cn/ l / ci i wBB4mc K0m</t>
  </si>
  <si>
    <t>餐桌/ 岩板雪山白 +黑脚/ 120*60*75CM单桌</t>
  </si>
  <si>
    <t>201. 0</t>
  </si>
  <si>
    <t>餐桌/ 岩板阿玛尼灰+黑脚/ 120*60*75CM单桌</t>
  </si>
  <si>
    <t>餐桌/ 岩板劳伦黑金+黑脚/ 140*80*75CM单桌</t>
  </si>
  <si>
    <t>146*85*15cm</t>
  </si>
  <si>
    <t>待补充</t>
  </si>
  <si>
    <t>21. 07</t>
  </si>
  <si>
    <t>29. 17</t>
  </si>
  <si>
    <t>279. 2</t>
  </si>
  <si>
    <t>219. 2</t>
  </si>
  <si>
    <t>餐桌/ 岩板雪山白 +黑脚/ 140*80*75CM单桌</t>
  </si>
  <si>
    <t>餐桌/ 岩板阿玛尼灰+黑脚/ 140*80*75CM单桌</t>
  </si>
  <si>
    <t>餐桌/ 岩板劳伦黑金+黑脚/ 160*80*75CM单桌</t>
  </si>
  <si>
    <t>166*85*15cm</t>
  </si>
  <si>
    <t>23. 92</t>
  </si>
  <si>
    <t>196. 5</t>
  </si>
  <si>
    <t>31. 64</t>
  </si>
  <si>
    <t>300. 1</t>
  </si>
  <si>
    <t>240. 1</t>
  </si>
  <si>
    <t>餐桌/ 岩板雪山白 +黑脚/ 160*80*75CM单桌</t>
  </si>
  <si>
    <t>257. 0</t>
  </si>
  <si>
    <t>餐桌/ 岩板阿玛尼灰+黑脚/ 160*80*75CM单桌</t>
  </si>
  <si>
    <t>餐桌/ 岩板劳伦黑金 +黑脚/ 120CM单桌+4张餐椅</t>
  </si>
  <si>
    <t>餐椅4个装的尺寸： 96*57*67</t>
  </si>
  <si>
    <t>餐椅4个装的重</t>
  </si>
  <si>
    <t>餐椅4个装的重餐椅4个装的重餐椅4个装的重餐椅4个装的重餐椅4个装的重餐椅4个装的重餐椅4个装的重</t>
  </si>
  <si>
    <t>512. 5</t>
  </si>
  <si>
    <t>36. 61</t>
  </si>
  <si>
    <t>651. 1</t>
  </si>
  <si>
    <t>564. 1</t>
  </si>
  <si>
    <t>餐桌/ 岩板雪山白+黑脚/ 120CM单桌+4张餐椅</t>
  </si>
  <si>
    <t>587. 0</t>
  </si>
  <si>
    <t>餐桌/ 岩板阿玛尼灰 +黑脚/ 120CM单桌+4张餐椅</t>
  </si>
  <si>
    <t>餐桌/ 岩板劳伦黑金 +黑脚/ 140CM单桌+4张餐椅</t>
  </si>
  <si>
    <t>51. 24</t>
  </si>
  <si>
    <t>696. 2</t>
  </si>
  <si>
    <t>604. 2</t>
  </si>
  <si>
    <t>餐桌/ 岩板雪山白+黑脚/ 140CM单桌+4张餐椅</t>
  </si>
  <si>
    <t>615. 0</t>
  </si>
  <si>
    <t>餐桌/ 岩板阿玛尼灰 +黑脚/ 140CM单桌+4张餐椅</t>
  </si>
  <si>
    <t>餐桌/ 岩板劳伦黑金 +黑脚/ 160CM单桌+4张餐椅</t>
  </si>
  <si>
    <t>556. 5</t>
  </si>
  <si>
    <t>53. 71</t>
  </si>
  <si>
    <t>722. 2</t>
  </si>
  <si>
    <t>625. 2</t>
  </si>
  <si>
    <t>餐桌/ 岩板雪山白+黑脚/ 160CM单桌+4张餐椅</t>
  </si>
  <si>
    <t>餐桌/ 岩板阿玛尼灰 +黑脚/ 160CM单桌+4张餐椅</t>
  </si>
  <si>
    <t>034L型岩板衣帽</t>
  </si>
  <si>
    <t>L型岩板衣帽架 / 阿玛尼灰岩板/ 1. 5米白色光杆 （停）</t>
  </si>
  <si>
    <t>60*42*7cm</t>
  </si>
  <si>
    <t>】 L型岩板衣帽架-详情图</t>
  </si>
  <si>
    <t>cs . cn/ l / cj g t Bj RMt BMB</t>
  </si>
  <si>
    <t>【金山文档】 L型岩板衣帽架</t>
  </si>
  <si>
    <t>. cn/ l / cs 6NZ5G n0w4M</t>
  </si>
  <si>
    <t>L型岩板衣帽架 / 阿玛尼灰岩板/ 1. 5米黑色光杆 （停）</t>
  </si>
  <si>
    <t>L型岩板衣帽架 / 劳伦黑金岩板/ 1. 5米白色光杆 （停）</t>
  </si>
  <si>
    <t>L型岩板衣帽架 / 劳伦黑金岩板/ 1. 5米黑色光杆 （停）</t>
  </si>
  <si>
    <t>L型岩板衣帽架 / 雪山白岩板 / 1. 5米白色光杆（停）</t>
  </si>
  <si>
    <t>L型岩板衣帽架 / 雪山白岩板 / 1. 5米黑色光杆（停）</t>
  </si>
  <si>
    <t>L型岩板衣帽架 / 劳伦黑金岩板/ 1. 5米金色光杆 （停）</t>
  </si>
  <si>
    <t>L型岩板衣帽架 / 阿玛尼灰岩板/ 1. 5米金色光杆 （停）</t>
  </si>
  <si>
    <t>L型岩板衣帽架 / 雪山白岩板 / 1. 5米金色光杆（停）</t>
  </si>
  <si>
    <t>L型岩板衣帽架 / 阿玛尼灰岩板/ 1. 7米白色光杆 （停）</t>
  </si>
  <si>
    <t>L型岩板衣帽架 / 阿玛尼灰岩板/ 1. 7米黑色光杆 （停）</t>
  </si>
  <si>
    <t>L型岩板衣帽架 / 劳伦黑金岩板/ 1. 7米白色光杆 （停）</t>
  </si>
  <si>
    <t>L型岩板衣帽架 / 劳伦黑金岩板/ 1. 7米黑色光杆 （停）</t>
  </si>
  <si>
    <t>L型岩板衣帽架 / 雪山白岩板 / 1. 7米白色光杆（停）</t>
  </si>
  <si>
    <t>L型岩板衣帽架 / 雪山白岩板 / 1. 7米黑色光杆（停）</t>
  </si>
  <si>
    <t>L型岩板衣帽架 / 阿玛尼灰岩板/ 1. 7米金色光杆 （停）</t>
  </si>
  <si>
    <t>L型岩板衣帽架 / 劳伦黑金岩板/ 1. 7米金色光杆 （停）</t>
  </si>
  <si>
    <t>L型岩板衣帽架 / 雪山白岩板 / 1. 7米金色光杆（停）</t>
  </si>
  <si>
    <t>033L型岩板衣帽架</t>
  </si>
  <si>
    <t>（ 有挂钩）</t>
  </si>
  <si>
    <t>L型岩板衣帽架/ 阿玛尼灰岩板/ 白色树枝款（ 停）</t>
  </si>
  <si>
    <t>60*48*11cm</t>
  </si>
  <si>
    <t>4. 48</t>
  </si>
  <si>
    <t>32. 73</t>
  </si>
  <si>
    <t>2. 79</t>
  </si>
  <si>
    <t>L型岩板衣帽架/ 阿玛尼灰岩板 / 黑色树枝款 （停)</t>
  </si>
  <si>
    <t>L型岩板衣帽架/ 劳伦黑金岩板 / 白色树枝款 （停)</t>
  </si>
  <si>
    <t>L型岩板衣帽架/ 劳伦黑金岩板/ 黑色树枝款（ 停）</t>
  </si>
  <si>
    <t>L型岩板衣帽架 / 雪山白岩板/ 白色树枝款（停）</t>
  </si>
  <si>
    <t>L型岩板衣帽架 / 雪山白岩板/ 黑色树枝款（停）</t>
  </si>
  <si>
    <t>L型岩板衣帽架/ 阿玛尼灰岩板/ 白色圆饼款（ 停）</t>
  </si>
  <si>
    <t>L型岩板衣帽架/ 阿玛尼灰岩板/ 黑色圆饼款（ 停）</t>
  </si>
  <si>
    <t>L型岩板衣帽架/ 劳伦黑金岩板/ 白色圆饼款（ 停）</t>
  </si>
  <si>
    <t>L型岩板衣帽架/ 劳伦黑金岩板/ 黑色圆饼款（ 停）</t>
  </si>
  <si>
    <t>L型岩板衣帽架 / 雪山白岩板/ 白色圆饼款（停）</t>
  </si>
  <si>
    <t>L型岩板衣帽架 / 雪山白岩板/ 黑色圆饼款（停）</t>
  </si>
  <si>
    <t>L型岩板衣帽架/ 阿玛尼灰岩板/ 金色树枝款（ 停）</t>
  </si>
  <si>
    <t>33. 23</t>
  </si>
  <si>
    <t>L型岩板衣帽架/ 劳伦黑金岩板/ 金色树枝款（ 停）</t>
  </si>
  <si>
    <t>L型岩板衣帽架 / 雪山白岩板/ 金色树枝款（停）</t>
  </si>
  <si>
    <t>L型岩板衣帽架/ 阿玛尼灰岩板/ 金色圆饼款（ 停）</t>
  </si>
  <si>
    <t>L型岩板衣帽架/ 劳伦黑金岩板/ 金色圆饼款（ 停）</t>
  </si>
  <si>
    <t>L型岩板衣帽架 / 雪山白岩板/ 金色圆饼款（停）</t>
  </si>
  <si>
    <t>031 爆款衣帽架</t>
  </si>
  <si>
    <t>直径29cm-岩板底座</t>
  </si>
  <si>
    <t>】 爆款岩板衣帽架-详情图</t>
  </si>
  <si>
    <t>ht t ps : / / kdo cs . cn/ l / chJ J AmQ3n9nA</t>
  </si>
  <si>
    <t>【金山文档】爆款岩板衣帽架-买家秀</t>
  </si>
  <si>
    <t>. cn/ l / ckAc 5uC 5uBQq</t>
  </si>
  <si>
    <t>专利款衣帽架/ 阿玛尼灰岩板/ 黑色树枝</t>
  </si>
  <si>
    <t>专利款衣帽架/ 阿玛尼灰岩板/ 金色树枝</t>
  </si>
  <si>
    <t>爆款衣帽架 / 阿玛尼灰岩板 / 白色圆饼（停）</t>
  </si>
  <si>
    <t>1. 81</t>
  </si>
  <si>
    <t>爆款衣帽架/ 劳伦黑岩板/ 白色圆饼（停）</t>
  </si>
  <si>
    <t>爆款衣帽架/ 雪山白岩板/ 白色圆饼</t>
  </si>
  <si>
    <t>爆款衣帽架 / 阿玛尼灰岩板 / 黑色圆饼</t>
  </si>
  <si>
    <t>爆款衣帽架/ 劳伦黑岩板/ 黑色圆饼</t>
  </si>
  <si>
    <t>爆款衣帽架/ 雪山白岩板/ 黑色圆饼</t>
  </si>
  <si>
    <t>爆款衣帽架 / 阿玛尼灰岩板 / 金色圆饼</t>
  </si>
  <si>
    <t>爆款衣帽架/ 劳伦黑岩板/ 金色圆饼</t>
  </si>
  <si>
    <t>爆款衣帽架/ 雪山白岩板/ 金色圆饼</t>
  </si>
  <si>
    <t>030 衣帽架</t>
  </si>
  <si>
    <t>直径32cm-岩板底座</t>
  </si>
  <si>
    <t>专利款衣帽架/ 雪山白岩板 32cm/ 白色树枝</t>
  </si>
  <si>
    <t>35. 5*9. 5*36cm</t>
  </si>
  <si>
    <t>】 岩板衣帽架-详情图</t>
  </si>
  <si>
    <t>ht t ps : / / kdo cs . cn/ l / cnB PbTy 1DGr X</t>
  </si>
  <si>
    <t>【金山文档】岩板衣帽架 -买家秀</t>
  </si>
  <si>
    <t>. cn/ l / cr 3pwl l t yo Rd</t>
  </si>
  <si>
    <t>专利款衣帽架 / 阿玛尼灰岩板 32cm/ 黑色树枝</t>
  </si>
  <si>
    <t>专利款衣帽架/ 雪山白岩板 32cm/ 黑色树枝</t>
  </si>
  <si>
    <t>专利款衣帽架 / 阿玛尼灰岩板 32cm/ 金色树枝</t>
  </si>
  <si>
    <t>专利款衣帽架/ 雪山白岩板 32cm/ 金色树枝</t>
  </si>
  <si>
    <t>衣帽架/ 阿玛尼灰岩板 / 白色圆饼（停）</t>
  </si>
  <si>
    <t>43. 9</t>
  </si>
  <si>
    <t>衣帽架/ 劳伦黑岩板/ 白色圆饼（停）</t>
  </si>
  <si>
    <t>衣帽架/ 雪山白岩板/ 白色圆饼</t>
  </si>
  <si>
    <t>衣帽架/ 阿玛尼灰岩板 / 黑色圆饼</t>
  </si>
  <si>
    <t>衣帽架/ 劳伦黑岩板/ 黑色圆饼（停）</t>
  </si>
  <si>
    <t>衣帽架/ 雪山白岩板/ 黑色圆饼</t>
  </si>
  <si>
    <t>衣帽架/ 阿玛尼灰岩板 / 金色圆饼</t>
  </si>
  <si>
    <t>衣帽架/ 劳伦黑岩板/ 金色圆饼（停）</t>
  </si>
  <si>
    <t>衣帽架/ 雪山白岩板/ 金色圆饼</t>
  </si>
  <si>
    <t>029 衣帽架</t>
  </si>
  <si>
    <t>直径32cm-大理石底座</t>
  </si>
  <si>
    <t>专利款衣帽架/ 黑色大理石 32cm/ 黑色树枝</t>
  </si>
  <si>
    <t>30. 6</t>
  </si>
  <si>
    <t>专利款衣帽架/ 白色大理石 32cm/ 金色树枝</t>
  </si>
  <si>
    <t>专利款衣帽架/ 白色大理石 32cm/ 黑色树枝</t>
  </si>
  <si>
    <t>专利款衣帽架/ 黑色大理石 32cm/ 金色树枝</t>
  </si>
  <si>
    <t>衣帽架/ 白色大理石/ 白色圆饼</t>
  </si>
  <si>
    <t>36. 0</t>
  </si>
  <si>
    <t>衣帽架/ 白色大理石/ 黑色圆饼</t>
  </si>
  <si>
    <t>衣帽架/ 白色大理石/ 金色圆饼</t>
  </si>
  <si>
    <t>衣帽架/ 黑色大理石/ 白色圆饼</t>
  </si>
  <si>
    <t>衣帽架/ 黑色大理石/ 黑色圆饼</t>
  </si>
  <si>
    <t>衣帽架/ 黑色大理石/ 金色圆饼</t>
  </si>
  <si>
    <t>026弯曲三盘花架</t>
  </si>
  <si>
    <t>弯曲三盘花架 / 白色支架/ 劳伦黑岩板（停）</t>
  </si>
  <si>
    <t>73*7. 5*43cm</t>
  </si>
  <si>
    <t>3. 00</t>
  </si>
  <si>
    <t>35. 8</t>
  </si>
  <si>
    <t>】026弯曲三盘花架-详情图</t>
  </si>
  <si>
    <t>cs . cn/ l / ci k h2s ha Pmo F</t>
  </si>
  <si>
    <t>【金山文档】 026弯曲三盘花架-买家秀</t>
  </si>
  <si>
    <t>. cn/ l / cuz dcnX 4WOs K</t>
  </si>
  <si>
    <t>弯曲三盘花架 / 白色支架/ 雪山白岩板</t>
  </si>
  <si>
    <t>弯曲三盘花架 / 黑色支架/ 劳伦黑岩板</t>
  </si>
  <si>
    <t>弯曲三盘花架 / 黑色支架/ 雪山白岩板</t>
  </si>
  <si>
    <t>弯曲三盘花架 / 金色支架/ 劳伦黑岩板</t>
  </si>
  <si>
    <t>弯曲三盘花架 / 金色支架/ 雪山白岩板</t>
  </si>
  <si>
    <t>三只脚单茶几/ 金色脚/ 白色小桌 45cm</t>
  </si>
  <si>
    <t>47*9*47cm</t>
  </si>
  <si>
    <t>2. 88</t>
  </si>
  <si>
    <t>47. 46</t>
  </si>
  <si>
    <t>69. 5</t>
  </si>
  <si>
    <t>三只脚单茶几/ 金色脚/ 白色小桌 60cm</t>
  </si>
  <si>
    <t>62*10*62cm</t>
  </si>
  <si>
    <t>54. 57</t>
  </si>
  <si>
    <t>101. 1</t>
  </si>
  <si>
    <t>三只脚单茶几 / 金色脚/ 白色小桌 45cm（停）</t>
  </si>
  <si>
    <t>48*7*48cm</t>
  </si>
  <si>
    <t>】 三只脚岩板子母茶几</t>
  </si>
  <si>
    <t>（新） -详情</t>
  </si>
  <si>
    <t>ht t ps : / / kdo cs . cn/ l / cml 46z qTDqkV</t>
  </si>
  <si>
    <t>三只脚子母茶几 / 白色脚/ 白色大桌 60cm/ 白色小桌 45cm</t>
  </si>
  <si>
    <t>142. 1</t>
  </si>
  <si>
    <t>三只脚子母茶几 / 白色脚/ 白色大桌 60cm/ 黑色小桌 45cm</t>
  </si>
  <si>
    <t>三只脚子母茶几 / 白色脚/ 黑色大桌 60cm/ 白色小桌 45cm</t>
  </si>
  <si>
    <t>三只脚子母茶几 / 白色脚/ 黑色大桌 60cm/ 黑色小桌 45cm</t>
  </si>
  <si>
    <t>三只脚子母茶几 / 黑色脚/ 白色大桌 60cm/ 白色小桌 45cm</t>
  </si>
  <si>
    <t>三只脚子母茶几 / 黑色脚/ 白色大桌 60cm/ 黑色小桌 45cm</t>
  </si>
  <si>
    <t>三只脚子母茶几 / 黑色脚/ 黑色大桌 60cm/ 白色小桌 45cm</t>
  </si>
  <si>
    <t>三只脚子母茶几 / 黑色脚/ 黑色大桌 60cm/ 黑色小桌 45cm</t>
  </si>
  <si>
    <t>三只脚子母茶几 / 金色脚/ 白色大桌 60cm/ 白色小桌 45cm</t>
  </si>
  <si>
    <t>108. 7</t>
  </si>
  <si>
    <t>148. 1</t>
  </si>
  <si>
    <t>三只脚子母茶几 / 金色脚/ 白色大桌 60cm/ 黑色小桌 45cm</t>
  </si>
  <si>
    <t>三只脚子母茶几 / 金色脚/ 黑色大桌 60cm/ 白色小桌 45cm</t>
  </si>
  <si>
    <t>三只脚子母茶</t>
  </si>
  <si>
    <t>023三只脚子母茶几</t>
  </si>
  <si>
    <t>三只脚子母茶几 / 金色脚/ 黑色大桌 60cm/ 黑色小桌 45cm</t>
  </si>
  <si>
    <t>几-买家秀</t>
  </si>
  <si>
    <t>三只脚子母茶几 / 白色脚/ 白色大桌 80cm/ 白色小桌 60cm( 停)</t>
  </si>
  <si>
    <t>138. 8</t>
  </si>
  <si>
    <t>193. 3</t>
  </si>
  <si>
    <t>. cn/ l / cus i Xue</t>
  </si>
  <si>
    <t>三只脚子母茶几 / 白色脚/ 白色大桌 80cm/ 黑色小桌 60cm( 停)</t>
  </si>
  <si>
    <t>C2Pv V</t>
  </si>
  <si>
    <t>三只脚子母茶几 / 白色脚/ 黑色大桌 80cm/ 白色小桌 60cm( 停)</t>
  </si>
  <si>
    <t>三只脚子母茶几 / 白色脚/ 黑色大桌 80cm/ 黑色小桌 60cm( 停)</t>
  </si>
  <si>
    <t>三只脚子母茶几 / 黑色脚/ 白色大桌 80cm/ 白色小桌 60cm( 停)</t>
  </si>
  <si>
    <t>三只脚子母茶几 / 黑色脚/ 白色大桌 80cm/ 黑色小桌 60cm( 停)</t>
  </si>
  <si>
    <t>三只脚子母茶几 / 黑色脚/ 黑色大桌 80cm/ 白色小桌 60cm( 停)</t>
  </si>
  <si>
    <t>三只脚子母茶几 / 黑色脚/ 黑色大桌 80cm/ 黑色小桌 60cm( 停)</t>
  </si>
  <si>
    <t>三只脚子母茶几 / 金色脚/ 白色大桌 80cm/ 白色小桌 60cm( 停)</t>
  </si>
  <si>
    <t>197. 3</t>
  </si>
  <si>
    <t>三只脚子母茶几 / 金色脚/ 白色大桌 80cm/ 黑色小桌 60cm( 停)</t>
  </si>
  <si>
    <t>三只脚子母茶几 / 金色脚/ 黑色大桌 80cm/ 白色小桌 60cm( 停)</t>
  </si>
  <si>
    <t>三只脚子母茶几 / 金色脚/ 黑色大桌 80cm/ 黑色小桌 60cm( 停)</t>
  </si>
  <si>
    <t>弯脚圆凳/ 白脚/ 白色皮革（停）</t>
  </si>
  <si>
    <t>68. 0</t>
  </si>
  <si>
    <t>】 弯脚圆凳</t>
  </si>
  <si>
    <t>cs . cn/ l / cv F</t>
  </si>
  <si>
    <t>kwOUCKuwu</t>
  </si>
  <si>
    <t>【金山文档】弯脚圆凳买家秀</t>
  </si>
  <si>
    <t>. cn/ l / cagr I 4t Qki z z</t>
  </si>
  <si>
    <t>弯脚圆凳/ 白脚/ 粉色绒布（停）</t>
  </si>
  <si>
    <t>弯脚圆凳/ 白脚/ 黑色皮革（停）</t>
  </si>
  <si>
    <t>弯脚圆凳/ 白脚/ 黄色皮革（停）</t>
  </si>
  <si>
    <t>弯脚圆凳/ 白脚/ 灰色皮革（停）</t>
  </si>
  <si>
    <t>弯脚圆凳/ 白脚/ 灰色绒布（停）</t>
  </si>
  <si>
    <t>弯脚圆凳/ 白脚/ 蓝色绒布（停）</t>
  </si>
  <si>
    <t>弯脚圆凳/ 白脚/ 绿色绒布（停）</t>
  </si>
  <si>
    <t>弯脚圆凳/ 黑脚/ 白色皮革（停）</t>
  </si>
  <si>
    <t>弯脚圆凳/ 黑脚/ 粉色绒布（停）</t>
  </si>
  <si>
    <t>弯脚圆凳/ 黑脚/ 黑色皮革（1）</t>
  </si>
  <si>
    <t>022弯脚圆凳</t>
  </si>
  <si>
    <t>弯脚圆凳/ 黑脚/ 黄色皮革（停）</t>
  </si>
  <si>
    <t>49*5*41cm</t>
  </si>
  <si>
    <t>弯脚圆凳/ 黑脚/ 灰色皮革（停）</t>
  </si>
  <si>
    <t>弯脚圆凳/ 黑脚/ 灰色绒布（停）</t>
  </si>
  <si>
    <t>弯脚圆凳/ 黑脚/ 蓝色绒布（停）</t>
  </si>
  <si>
    <t>弯脚圆凳/ 黑脚/ 绿色绒布（停）</t>
  </si>
  <si>
    <t>弯脚圆凳/ 金脚/ 白色皮革（停）</t>
  </si>
  <si>
    <t>24. 5</t>
  </si>
  <si>
    <t>70. 0</t>
  </si>
  <si>
    <t>弯脚圆凳/ 金脚/ 粉色绒布（1）</t>
  </si>
  <si>
    <t>弯脚圆凳/ 金脚/ 黑色皮革（停）</t>
  </si>
  <si>
    <t>弯脚圆凳/ 金脚/ 黄色皮革（停）</t>
  </si>
  <si>
    <t>弯脚圆凳/ 金脚/ 灰色皮革（停）</t>
  </si>
  <si>
    <t>弯脚圆凳/ 金脚/ 灰色绒布（停）</t>
  </si>
  <si>
    <t>弯脚圆凳/ 金脚/ 蓝色绒布（停）</t>
  </si>
  <si>
    <t>弯脚圆凳/ 金脚/ 绿色绒布（停）</t>
  </si>
  <si>
    <t>019 骰子魔方凳</t>
  </si>
  <si>
    <t>魔方椅/ 小号/ 骰子皮革</t>
  </si>
  <si>
    <t>39*39*38cm</t>
  </si>
  <si>
    <t>8. 41</t>
  </si>
  <si>
    <t>. cn/ l / cr QAEBx Gda Lb</t>
  </si>
  <si>
    <t>【WPS云文档】 012 魔方椅-包装图</t>
  </si>
  <si>
    <t>ht t ps : / / www. k docs . cn/ l / ccz NETt CBT0r</t>
  </si>
  <si>
    <t>魔方椅/ 大号/ 骰子皮革</t>
  </si>
  <si>
    <t>49*49*48cm</t>
  </si>
  <si>
    <t>16. 26</t>
  </si>
  <si>
    <t>150. 5</t>
  </si>
  <si>
    <t>折叠花架/ 金色</t>
  </si>
  <si>
    <t>2. 25</t>
  </si>
  <si>
    <t>】 折叠花架</t>
  </si>
  <si>
    <t>018折叠花架</t>
  </si>
  <si>
    <t>折叠花架/ 白色</t>
  </si>
  <si>
    <t>71*7*26cm</t>
  </si>
  <si>
    <t>38. 0</t>
  </si>
  <si>
    <t>. cn/ l / cdYN3b9</t>
  </si>
  <si>
    <t>I FOkG</t>
  </si>
  <si>
    <t>cs . cn/ l / chz</t>
  </si>
  <si>
    <t>C1SKDTas r</t>
  </si>
  <si>
    <t>折叠花架/ 黑色</t>
  </si>
  <si>
    <t>魔方椅/ 小号/ 米白色皮革</t>
  </si>
  <si>
    <t>117. 5</t>
  </si>
  <si>
    <t>】 魔方椅-详情图</t>
  </si>
  <si>
    <t>cs . cn/ l / cc T EpNv FOwz J</t>
  </si>
  <si>
    <t>docs . cn/ l / ccz NETt CBT0r</t>
  </si>
  <si>
    <t>魔方椅/ 小号/ 粉紫色皮革</t>
  </si>
  <si>
    <t>魔方椅/ 小号/ 绿色皮革</t>
  </si>
  <si>
    <t>魔方椅/ 小号/ 蓝色皮革</t>
  </si>
  <si>
    <t>魔方椅/ 小号/ 灰色皮革</t>
  </si>
  <si>
    <t>魔方椅/ 小号/ 黄色皮革</t>
  </si>
  <si>
    <t>魔方椅/ 小号/ 橙色皮革</t>
  </si>
  <si>
    <t>魔方椅/ 小号/ 灰色绒布</t>
  </si>
  <si>
    <t>魔方椅/ 小号/ 绿色绒布</t>
  </si>
  <si>
    <t>魔方椅/ 小号/ 蓝色绒布</t>
  </si>
  <si>
    <t>魔方椅/ 小号/ 粉色绒布</t>
  </si>
  <si>
    <t>魔方椅/ 小号/ 黄色绒布</t>
  </si>
  <si>
    <t>魔方椅/ 小号/ 彩色皮革</t>
  </si>
  <si>
    <t>魔方椅/ 小号/ 彩色绒布</t>
  </si>
  <si>
    <t>魔方椅-买家秀</t>
  </si>
  <si>
    <t>012 魔方椅</t>
  </si>
  <si>
    <t>魔方椅/ 大号/ 米白色皮革</t>
  </si>
  <si>
    <t>103. 5</t>
  </si>
  <si>
    <t>144. 5</t>
  </si>
  <si>
    <t>. cn/ l / cvc 4f J q</t>
  </si>
  <si>
    <t>魔方椅/ 大号/ 粉紫色皮革</t>
  </si>
  <si>
    <t>c W4pr</t>
  </si>
  <si>
    <t>魔方椅/ 大号/ 绿色皮革</t>
  </si>
  <si>
    <t>魔方椅/ 大号/ 蓝色皮革</t>
  </si>
  <si>
    <t>魔方椅/ 大号/ 灰色皮革</t>
  </si>
  <si>
    <t>魔方椅/ 大号/ 黄色皮革</t>
  </si>
  <si>
    <t>魔方椅/ 大号/ 橙色皮革</t>
  </si>
  <si>
    <t>魔方椅/ 大号/ 灰色绒布</t>
  </si>
  <si>
    <t>魔方椅/ 大号/ 绿色绒布</t>
  </si>
  <si>
    <t>魔方椅/ 大号/ 蓝色绒布</t>
  </si>
  <si>
    <t>魔方椅/ 大号/ 粉色绒布</t>
  </si>
  <si>
    <t>魔方椅/ 大号/ 黄色绒布</t>
  </si>
  <si>
    <t>魔方椅/ 大号/ 彩色皮革</t>
  </si>
  <si>
    <t>魔方椅/ 大号/ 彩色绒布</t>
  </si>
  <si>
    <t>魔方茶几/ 雪山白/ 白色皮革</t>
  </si>
  <si>
    <t>66*51*61cm</t>
  </si>
  <si>
    <t>28. 38</t>
  </si>
  <si>
    <t>146. 4</t>
  </si>
  <si>
    <t>213. 4</t>
  </si>
  <si>
    <t>】 魔方茶几</t>
  </si>
  <si>
    <t>cs . cn/ l / ck1 I l 7QI E1Mb</t>
  </si>
  <si>
    <t>【金山文档】魔方茶几-买家秀</t>
  </si>
  <si>
    <t>. cn/ l / cocpl U2 ny GYZ</t>
  </si>
  <si>
    <t>魔方茶几/ 雪山白/ 橙色皮革</t>
  </si>
  <si>
    <t>魔方茶几/ 雪山白/ 粉色皮革</t>
  </si>
  <si>
    <t>魔方茶几/ 雪山白/ 粉色绒布</t>
  </si>
  <si>
    <t>魔方茶几/ 雪山白/ 黄色皮革</t>
  </si>
  <si>
    <t>魔方茶几/ 雪山白/ 黄色绒布</t>
  </si>
  <si>
    <t>魔方茶几/ 雪山白/ 灰色皮革</t>
  </si>
  <si>
    <t>魔方茶几/ 雪山白/ 灰色绒布</t>
  </si>
  <si>
    <t>魔方茶几/ 雪山白/ 蓝色皮革</t>
  </si>
  <si>
    <t>魔方茶几/ 雪山白/ 绿色皮革</t>
  </si>
  <si>
    <t>魔方茶几/ 雪山白/ 蓝色绒布</t>
  </si>
  <si>
    <t>011魔方茶几</t>
  </si>
  <si>
    <t>魔方茶几/ 雪山白/ 绿色绒布</t>
  </si>
  <si>
    <t>魔方茶几/ 劳伦黑金/ 白色皮革</t>
  </si>
  <si>
    <t>魔方茶几/ 劳伦黑金/ 橙色皮革</t>
  </si>
  <si>
    <t>魔方茶几/ 劳伦黑金/ 粉色皮革</t>
  </si>
  <si>
    <t>魔方茶几/ 劳伦黑金/ 粉色绒布</t>
  </si>
  <si>
    <t>魔方茶几/ 劳伦黑金/ 黄色皮革</t>
  </si>
  <si>
    <t>魔方茶几/ 劳伦黑金/ 黄色绒布</t>
  </si>
  <si>
    <t>魔方茶几/ 劳伦黑金/ 灰色皮革</t>
  </si>
  <si>
    <t>魔方茶几/ 劳伦黑金/ 灰色绒布</t>
  </si>
  <si>
    <t>魔方茶几/ 劳伦黑金/ 蓝色皮革</t>
  </si>
  <si>
    <t>魔方茶几/ 劳伦黑金/ 绿色皮革</t>
  </si>
  <si>
    <t>魔方茶几/ 劳伦黑金/ 蓝色绒布</t>
  </si>
  <si>
    <t>魔方茶几/ 劳伦黑金/ 绿色绒布</t>
  </si>
  <si>
    <t>灯泡椅/ 灰色皮革（ 停）</t>
  </si>
  <si>
    <t>6. 67</t>
  </si>
  <si>
    <t>41. 3</t>
  </si>
  <si>
    <t>59. 1</t>
  </si>
  <si>
    <t>灯泡椅/ 白色皮革（ 停）</t>
  </si>
  <si>
    <t>灯泡椅/ 粉色皮革（ 停）</t>
  </si>
  <si>
    <t>】 010灯泡</t>
  </si>
  <si>
    <t>010 灯泡椅</t>
  </si>
  <si>
    <t>灯泡椅/ 粉色绒布（ 停）</t>
  </si>
  <si>
    <t>36*36*38cm</t>
  </si>
  <si>
    <t>椅-详情图 ht t ps : / / kdo cs . cn/ l / cbz</t>
  </si>
  <si>
    <t>Ll ui 8dt a 8</t>
  </si>
  <si>
    <t>灯泡椅/ 绿色绒布（ 停）</t>
  </si>
  <si>
    <t>灯泡椅/ 蓝色绒布（ 停）</t>
  </si>
  <si>
    <t>灯泡椅/ 灰色绒布（ 停）</t>
  </si>
  <si>
    <t>双杆服装架/ 黑色/ 80cm</t>
  </si>
  <si>
    <t>7. 45</t>
  </si>
  <si>
    <t>-48. 0</t>
  </si>
  <si>
    <t>双杆服装架/ 白色/ 80cm（ 停）</t>
  </si>
  <si>
    <t>双杆服装架 / 白色/ 100cm</t>
  </si>
  <si>
    <t>】 双杆服装</t>
  </si>
  <si>
    <t>【金山文档】双杆服装架 -买</t>
  </si>
  <si>
    <t>双杆服装架 / 黑色/ 100cm</t>
  </si>
  <si>
    <t>009双杆-服装架</t>
  </si>
  <si>
    <t>双杆服装架 / 白色/ 120cm（停）</t>
  </si>
  <si>
    <t>148*9*39cm</t>
  </si>
  <si>
    <t>架-详情图</t>
  </si>
  <si>
    <t>ht t ps : / / kdo cs . cn/ l / ckJ</t>
  </si>
  <si>
    <t>家秀</t>
  </si>
  <si>
    <t>. cn/ l / cf r 7y 9m</t>
  </si>
  <si>
    <t>双杆服装架 / 黑色/ 120cm</t>
  </si>
  <si>
    <t>双杆服装架/ 金色/ 80cm（ 停）</t>
  </si>
  <si>
    <t>127. 5</t>
  </si>
  <si>
    <t>-50. 0</t>
  </si>
  <si>
    <t>CTnTr WPf M</t>
  </si>
  <si>
    <t>Zz I k8</t>
  </si>
  <si>
    <t>双杆服装架 / 金色/ 100cm</t>
  </si>
  <si>
    <t>52. 0</t>
  </si>
  <si>
    <t>双杆服装架 / 金色/ 120cm</t>
  </si>
  <si>
    <t>弯型服装架/ 基础款/ 金色/ 80CM（停）</t>
  </si>
  <si>
    <t>弯型服装架/ 基础款/ 白色/ 80CM（停）</t>
  </si>
  <si>
    <t>￥ 47. 0</t>
  </si>
  <si>
    <t>-8. 1</t>
  </si>
  <si>
    <t>弯型服装架 / 基础款/ 黑色/ 80CM</t>
  </si>
  <si>
    <t>弯型服装架/ 基础款/ 金色/ 100CM（停）</t>
  </si>
  <si>
    <t>弯型服装架/ 基础款/ 白色/ 100CM（停）</t>
  </si>
  <si>
    <t>￥ 49. 0</t>
  </si>
  <si>
    <t>-12. 9</t>
  </si>
  <si>
    <t>弯型服装架/ 基础款/ 黑色/ 100CM</t>
  </si>
  <si>
    <t>弯型服装架/ 基础款/ 金色/ 120CM（停）</t>
  </si>
  <si>
    <t>弯型服装架/ 基础款/ 白色/ 120CM（停）</t>
  </si>
  <si>
    <t>￥ 51. 0</t>
  </si>
  <si>
    <t>-28. 3</t>
  </si>
  <si>
    <t>弯型服装架/ 基础款/ 黑色/ 120CM（停）</t>
  </si>
  <si>
    <t>弯型服装架/ 收纳款/ 金色/ 80CM（停）</t>
  </si>
  <si>
    <t>63. 8</t>
  </si>
  <si>
    <t>弯型服装架/ 收纳款/ 白色/ 80CM（停）</t>
  </si>
  <si>
    <t>￥ 62. 0</t>
  </si>
  <si>
    <t>-34. 4</t>
  </si>
  <si>
    <t>弯型服装架 / 收纳款/ 黑色/ 80CM</t>
  </si>
  <si>
    <t>007 弯形服装架</t>
  </si>
  <si>
    <t>（ 高度1. 5m）</t>
  </si>
  <si>
    <t>弯型服装架/ 收纳款/ 金色/ 100CM（停）</t>
  </si>
  <si>
    <t>141*5*41cm</t>
  </si>
  <si>
    <t>￥ 64. 0</t>
  </si>
  <si>
    <t>320. 0</t>
  </si>
  <si>
    <t>】 弯型服装架-详情图</t>
  </si>
  <si>
    <t>cs . cn/ l / cnP</t>
  </si>
  <si>
    <t>弯型服装架 -买家秀</t>
  </si>
  <si>
    <t>. cn/ l / cv 3GEde</t>
  </si>
  <si>
    <t>弯型服装架/ 收纳款/ 白色/ 100CM</t>
  </si>
  <si>
    <t>弯型服装架/ 收纳款/ 黑色/ 100CM</t>
  </si>
  <si>
    <t>弯型服装架/ 收纳款/ 金色/ 120CM（停）</t>
  </si>
  <si>
    <t>j RUDbVAU2</t>
  </si>
  <si>
    <t>50x U9</t>
  </si>
  <si>
    <t>弯型服装架/ 收纳款/ 白色/ 120CM（停）</t>
  </si>
  <si>
    <t>￥ 66. 0</t>
  </si>
  <si>
    <t>弯型服装架/ 收纳款/ 黑色/ 120CM（停）</t>
  </si>
  <si>
    <t>弯型服装架 / 移动收纳款 / 金色/ 80CM（停）</t>
  </si>
  <si>
    <t>弯型服装架 / 移动收纳款 / 白色/ 80CM（停）</t>
  </si>
  <si>
    <t>￥ 72. 0</t>
  </si>
  <si>
    <t>17. 1</t>
  </si>
  <si>
    <t>弯型服装架/ 移动收纳款/ 黑色/ 80CM</t>
  </si>
  <si>
    <t>弯型服装架/ 移动收纳款/ 金色/ 100CM（ 停）</t>
  </si>
  <si>
    <t>弯型服装架/ 移动收纳款/ 白色/ 100CM（ 停）</t>
  </si>
  <si>
    <t>￥ 74. 0</t>
  </si>
  <si>
    <t>弯型服装架/ 移动收纳款/ 黑色/ 100CM（ 停）</t>
  </si>
  <si>
    <t>弯型服装架/ 移动收纳款/ 金色/ 120CM（ 停）</t>
  </si>
  <si>
    <t>弯型服装架/ 移动收纳款/ 白色/ 120CM（ 停）</t>
  </si>
  <si>
    <t>￥ 76. 0</t>
  </si>
  <si>
    <t>弯型服装架/ 移动收纳款/ 黑色/ 120CM（ 停）</t>
  </si>
  <si>
    <t>单杆鞋架/ 4 层/ 白色</t>
  </si>
  <si>
    <t>66*9*27cm</t>
  </si>
  <si>
    <t>33. 6</t>
  </si>
  <si>
    <t>】 单杆鞋架</t>
  </si>
  <si>
    <t>cs . cn/ l / cdF</t>
  </si>
  <si>
    <t>Ni z y 2hy Ni</t>
  </si>
  <si>
    <t>【金山文档】 004 单杆鞋架-买家秀</t>
  </si>
  <si>
    <t>. cn/ l / cl l NvwD BDQdH</t>
  </si>
  <si>
    <t>单杆鞋架/ 4 层/ 黑色（停）</t>
  </si>
  <si>
    <t>单杆鞋架/ 5 层/ 白色</t>
  </si>
  <si>
    <t>82*9*27cm</t>
  </si>
  <si>
    <t>单杆鞋架/ 5 层/ 黑色（停）</t>
  </si>
  <si>
    <t>单杆鞋架/ 6 层/ 白色（停）</t>
  </si>
  <si>
    <t>98*9*27cm</t>
  </si>
  <si>
    <t>46. 1</t>
  </si>
  <si>
    <t>单杆鞋架/ 6 层/ 黑色（停）</t>
  </si>
  <si>
    <t>单杆鞋架/ 7 层/ 白色</t>
  </si>
  <si>
    <t>114*9*27cm</t>
  </si>
  <si>
    <t>52. 1</t>
  </si>
  <si>
    <t>单杆鞋架/ 7 层/ 黑色 ( 停)</t>
  </si>
  <si>
    <t>单杆鞋架/ 8 层/ 白色</t>
  </si>
  <si>
    <t>129*9*27cm</t>
  </si>
  <si>
    <t>13. 7</t>
  </si>
  <si>
    <t>单杆鞋架/ 8 层/ 黑色</t>
  </si>
  <si>
    <t>004单杆鞋架</t>
  </si>
  <si>
    <t>单杆鞋架/ 9 层/ 白色</t>
  </si>
  <si>
    <t>145*9*27cm</t>
  </si>
  <si>
    <t>单杆鞋架/ 9 层/ 黑色</t>
  </si>
  <si>
    <t>单杆鞋架/ 10层/ 白色</t>
  </si>
  <si>
    <t>161*9*27cm</t>
  </si>
  <si>
    <t>-125. 9</t>
  </si>
  <si>
    <t>单杆鞋架/ 10层/ 黑色 ( 停)</t>
  </si>
  <si>
    <t>单杆鞋架/ 4 层/ 金色（停）</t>
  </si>
  <si>
    <t>单杆鞋架/ 5 层/ 金色（停）</t>
  </si>
  <si>
    <t>单杆鞋架/ 6 层/ 金色（停）</t>
  </si>
  <si>
    <t>50. 1</t>
  </si>
  <si>
    <t>11. 2</t>
  </si>
  <si>
    <t>单杆鞋架/ 7 层/ 金色（停）</t>
  </si>
  <si>
    <t>单杆鞋架/ 8 层/ 金色</t>
  </si>
  <si>
    <t>单杆鞋架/ 9 层/ 金色</t>
  </si>
  <si>
    <t>66. 8</t>
  </si>
  <si>
    <t>单杆鞋架/ 10层/ 金色</t>
  </si>
  <si>
    <t>77. 6</t>
  </si>
  <si>
    <t>吧台椅/ 灰色绒布/ 75cm高</t>
  </si>
  <si>
    <t>52. 3</t>
  </si>
  <si>
    <t>】003吧台椅</t>
  </si>
  <si>
    <t>/ cas FL4n1J O y C</t>
  </si>
  <si>
    <t>【金山文档】吧台椅-买家秀 ht t ps : / / kdocs</t>
  </si>
  <si>
    <t>. cn/ l / chWdP91 r wMvl</t>
  </si>
  <si>
    <t>吧台椅/ 黑色绒布/ 75cm高</t>
  </si>
  <si>
    <t>吧台椅/ 白色绒布/ 75cm高</t>
  </si>
  <si>
    <t>003 吧台椅</t>
  </si>
  <si>
    <t>吧台椅/ 绿色绒布/ 75cm高</t>
  </si>
  <si>
    <t>75*37*12cm</t>
  </si>
  <si>
    <t>吧台椅/ 粉色绒布/ 75cm高</t>
  </si>
  <si>
    <t>吧台椅/ 深蓝色绒布/ 75cm高</t>
  </si>
  <si>
    <t>吧台椅/ 浅蓝色绒布/ 75cm高</t>
  </si>
  <si>
    <t>飞碟花架/ 小号/ 白色/ 1 只装（ 停）</t>
  </si>
  <si>
    <t>24*24*12cm</t>
  </si>
  <si>
    <t>0. 86</t>
  </si>
  <si>
    <t>-19. 8</t>
  </si>
  <si>
    <t>】 飞碟花架</t>
  </si>
  <si>
    <t>-详情图 ht t ps : / / kdo cs . cn/ l / cve A4l ceof w4</t>
  </si>
  <si>
    <t>【金山文档】飞碟花架-买家秀</t>
  </si>
  <si>
    <t>. cn/ l / cnqgunj DSK4H</t>
  </si>
  <si>
    <t>飞碟花架/ 小号/ 黑色/ 1 只装（ 停）</t>
  </si>
  <si>
    <t>飞碟花架/ 小号/ 白色/ 3 只装（ 停）</t>
  </si>
  <si>
    <t>24*24*14cm</t>
  </si>
  <si>
    <t>1. 05</t>
  </si>
  <si>
    <t>24. 9</t>
  </si>
  <si>
    <t>飞碟花架/ 小号/ 黑色/ 3 只装（ 停）</t>
  </si>
  <si>
    <t>飞碟花架/ 小号/ 金色/ 1 只装（ 停）</t>
  </si>
  <si>
    <t>飞碟花架/ 小号/ 金色/ 3 只装（ 停）</t>
  </si>
  <si>
    <t>002飞碟花架</t>
  </si>
  <si>
    <t>飞碟花架/ 大号/ 白色/ 1 只装（ 停）</t>
  </si>
  <si>
    <t>31*31*24cm</t>
  </si>
  <si>
    <t>-10. 7</t>
  </si>
  <si>
    <t>飞碟花架/ 大号/ 黑色/ 1 只装（ 停）</t>
  </si>
  <si>
    <t>飞碟花架/ 大号/ 白色/ 3 只装（ 停）</t>
  </si>
  <si>
    <t>31*31*26cm</t>
  </si>
  <si>
    <t>19. 5</t>
  </si>
  <si>
    <t>28. 2</t>
  </si>
  <si>
    <t>飞碟花架/ 大号/ 黑色/ 3 只装（ 停）</t>
  </si>
  <si>
    <t>飞碟花架/ 大号/ 金色/ 1 只装（ 停）</t>
  </si>
  <si>
    <t>16. 7</t>
  </si>
  <si>
    <t>-19. 9</t>
  </si>
  <si>
    <t>飞碟花架/ 大号/ 金色/ 3 只装（ 停）</t>
  </si>
  <si>
    <t>32. 7</t>
  </si>
  <si>
    <t>花篮-加粗款/ 黑色</t>
  </si>
  <si>
    <t>1内</t>
  </si>
  <si>
    <t>】 花篮-详情图</t>
  </si>
  <si>
    <t>ht t ps : / / kdo cs . cn/ l / cs y gpc 1nduI K</t>
  </si>
  <si>
    <t>花篮-加粗款/ 白色</t>
  </si>
  <si>
    <t>69. 0</t>
  </si>
  <si>
    <t>花篮-加粗款/ 古铜色</t>
  </si>
  <si>
    <t>花篮-加粗款/ 黑色/ 3只装</t>
  </si>
  <si>
    <t>花篮-加粗款/ 白色/ 3只装</t>
  </si>
  <si>
    <t>花篮-加粗款/ 古铜色/ 3 只装</t>
  </si>
  <si>
    <t>花篮-买家秀</t>
  </si>
  <si>
    <t>001花篮</t>
  </si>
  <si>
    <t>花篮-树叶款/ 黑色（停）</t>
  </si>
  <si>
    <t>8. 3</t>
  </si>
  <si>
    <t>. cn/ l / cqxmbWN</t>
  </si>
  <si>
    <t>花篮-树叶款/ 白色（停）</t>
  </si>
  <si>
    <t>Rl Uar</t>
  </si>
  <si>
    <t>花篮-树叶款/ 古铜色（ 停）</t>
  </si>
  <si>
    <t>花篮-树叶款/ 黑色/ 3只装（停）</t>
  </si>
  <si>
    <t>花篮-树叶款/ 白色/ 3只装（停）</t>
  </si>
  <si>
    <t>花篮-树叶款/ 古铜色/ 3 只装（ 停）</t>
  </si>
  <si>
    <r>
      <t>星空小边几 / 直径50cm</t>
    </r>
    <r>
      <rPr>
        <b/>
        <sz val="12"/>
        <color rgb="FFFF0000"/>
        <rFont val="宋体"/>
        <family val="3"/>
        <charset val="134"/>
      </rPr>
      <t>/ 高41cm</t>
    </r>
  </si>
  <si>
    <r>
      <t xml:space="preserve">星空茶几/ PVC柜/ 直径70cm+星空小边几/ 直径50cm/ </t>
    </r>
    <r>
      <rPr>
        <b/>
        <sz val="12"/>
        <color rgb="FFFF0000"/>
        <rFont val="宋体"/>
        <family val="3"/>
        <charset val="134"/>
      </rPr>
      <t>高41cm</t>
    </r>
  </si>
  <si>
    <r>
      <t xml:space="preserve">星空茶几/ PVC柜/ 直径80cm+星空小边几/ 直径50cm/ </t>
    </r>
    <r>
      <rPr>
        <b/>
        <sz val="12"/>
        <color rgb="FFFF0000"/>
        <rFont val="宋体"/>
        <family val="3"/>
        <charset val="134"/>
      </rPr>
      <t>高41cm</t>
    </r>
  </si>
  <si>
    <r>
      <t xml:space="preserve">星空茶几/ 实木柜/ 直径70cm+星空小边几/ 直径50cm/ </t>
    </r>
    <r>
      <rPr>
        <b/>
        <sz val="12"/>
        <color rgb="FFFF0000"/>
        <rFont val="宋体"/>
        <family val="3"/>
        <charset val="134"/>
      </rPr>
      <t>高41cm</t>
    </r>
  </si>
  <si>
    <r>
      <t xml:space="preserve">星空茶几/ 实木柜/ 直径80cm+星空小边几/ 直径50cm/ </t>
    </r>
    <r>
      <rPr>
        <b/>
        <sz val="12"/>
        <color rgb="FFFF0000"/>
        <rFont val="宋体"/>
        <family val="3"/>
        <charset val="134"/>
      </rPr>
      <t>高41cm</t>
    </r>
  </si>
  <si>
    <r>
      <t>璃光边几/ 直径50cm</t>
    </r>
    <r>
      <rPr>
        <b/>
        <sz val="12"/>
        <color rgb="FFFF0000"/>
        <rFont val="宋体"/>
        <family val="3"/>
        <charset val="134"/>
      </rPr>
      <t>/ 高50cm</t>
    </r>
  </si>
  <si>
    <r>
      <t>银圈圆几/ 宝格丽纹钢化玻璃 70cm+璃光边几</t>
    </r>
    <r>
      <rPr>
        <b/>
        <sz val="12"/>
        <color rgb="FFFF0000"/>
        <rFont val="宋体"/>
        <family val="3"/>
        <charset val="134"/>
      </rPr>
      <t>/ 高50cm</t>
    </r>
  </si>
  <si>
    <r>
      <t>银圈圆几/ 黑色钢化玻璃 70cm+璃光边几</t>
    </r>
    <r>
      <rPr>
        <b/>
        <sz val="12"/>
        <color rgb="FFFF0000"/>
        <rFont val="宋体"/>
        <family val="3"/>
        <charset val="134"/>
      </rPr>
      <t>/ 高50cm</t>
    </r>
  </si>
  <si>
    <r>
      <t>银圈圆几/ 宝格丽纹钢化玻璃 80cm+璃光边几</t>
    </r>
    <r>
      <rPr>
        <b/>
        <sz val="12"/>
        <color rgb="FFFF0000"/>
        <rFont val="宋体"/>
        <family val="3"/>
        <charset val="134"/>
      </rPr>
      <t>/ 高50cm</t>
    </r>
  </si>
  <si>
    <r>
      <t>银圈圆几/ 黑色钢化玻璃 80cm+璃光边几</t>
    </r>
    <r>
      <rPr>
        <b/>
        <sz val="12"/>
        <color rgb="FFFF0000"/>
        <rFont val="宋体"/>
        <family val="3"/>
        <charset val="134"/>
      </rPr>
      <t>/ 高50cm</t>
    </r>
  </si>
  <si>
    <r>
      <t>璃光边几/ 直径50cm</t>
    </r>
    <r>
      <rPr>
        <b/>
        <sz val="12"/>
        <color rgb="FFFF0000"/>
        <rFont val="宋体"/>
        <family val="3"/>
        <charset val="134"/>
      </rPr>
      <t>/ 高41cm</t>
    </r>
  </si>
  <si>
    <r>
      <t>摩登方几/ 黑色钢化玻璃 70cm+璃光边几</t>
    </r>
    <r>
      <rPr>
        <b/>
        <sz val="12"/>
        <color rgb="FFFF0000"/>
        <rFont val="宋体"/>
        <family val="3"/>
        <charset val="134"/>
      </rPr>
      <t>/ 高41cm</t>
    </r>
  </si>
  <si>
    <r>
      <t>摩登方几/ 亮面雪山白岩板 70cm+璃光边几</t>
    </r>
    <r>
      <rPr>
        <b/>
        <sz val="12"/>
        <color rgb="FFFF0000"/>
        <rFont val="宋体"/>
        <family val="3"/>
        <charset val="134"/>
      </rPr>
      <t>/ 高41cm</t>
    </r>
  </si>
  <si>
    <r>
      <t>摩登方几/ 哑光纯黑岩板 70cm+璃光边几</t>
    </r>
    <r>
      <rPr>
        <b/>
        <sz val="12"/>
        <color rgb="FFFF0000"/>
        <rFont val="宋体"/>
        <family val="3"/>
        <charset val="134"/>
      </rPr>
      <t>/ 高41cm</t>
    </r>
  </si>
  <si>
    <r>
      <t>摩登方几/ 黑色钢化玻璃 80cm+璃光边几</t>
    </r>
    <r>
      <rPr>
        <b/>
        <sz val="12"/>
        <color rgb="FFFF0000"/>
        <rFont val="宋体"/>
        <family val="3"/>
        <charset val="134"/>
      </rPr>
      <t>/ 高41cm</t>
    </r>
  </si>
  <si>
    <r>
      <t>摩登方几/ 亮面雪山白岩板 80cm+璃光边几</t>
    </r>
    <r>
      <rPr>
        <b/>
        <sz val="12"/>
        <color rgb="FFFF0000"/>
        <rFont val="宋体"/>
        <family val="3"/>
        <charset val="134"/>
      </rPr>
      <t>/ 高41cm</t>
    </r>
  </si>
  <si>
    <r>
      <t>摩登方几/ 哑光纯黑岩板 80cm+璃光边几</t>
    </r>
    <r>
      <rPr>
        <b/>
        <sz val="12"/>
        <color rgb="FFFF0000"/>
        <rFont val="宋体"/>
        <family val="3"/>
        <charset val="134"/>
      </rPr>
      <t>/ 高41cm</t>
    </r>
  </si>
  <si>
    <r>
      <t xml:space="preserve">元宝椅/ </t>
    </r>
    <r>
      <rPr>
        <b/>
        <sz val="12"/>
        <color rgb="FFFF0000"/>
        <rFont val="宋体"/>
        <family val="3"/>
        <charset val="134"/>
      </rPr>
      <t>羊羔绒</t>
    </r>
    <r>
      <rPr>
        <b/>
        <sz val="12"/>
        <rFont val="宋体"/>
        <family val="3"/>
        <charset val="134"/>
      </rPr>
      <t>/ 白色</t>
    </r>
  </si>
  <si>
    <r>
      <t xml:space="preserve">元宝椅/ </t>
    </r>
    <r>
      <rPr>
        <b/>
        <sz val="12"/>
        <color rgb="FFFF0000"/>
        <rFont val="宋体"/>
        <family val="3"/>
        <charset val="134"/>
      </rPr>
      <t>猫爪皮</t>
    </r>
    <r>
      <rPr>
        <b/>
        <sz val="12"/>
        <rFont val="宋体"/>
        <family val="3"/>
        <charset val="134"/>
      </rPr>
      <t>/ 米白</t>
    </r>
  </si>
  <si>
    <r>
      <t xml:space="preserve">舌头椅/ </t>
    </r>
    <r>
      <rPr>
        <b/>
        <sz val="12"/>
        <color rgb="FFFF0000"/>
        <rFont val="宋体"/>
        <family val="3"/>
        <charset val="134"/>
      </rPr>
      <t>羊羔绒</t>
    </r>
    <r>
      <rPr>
        <b/>
        <sz val="12"/>
        <rFont val="宋体"/>
        <family val="3"/>
        <charset val="134"/>
      </rPr>
      <t>/ 白色</t>
    </r>
  </si>
  <si>
    <r>
      <t>壁挂花瓶/ 圆形/ 齿轮花（陈钦）</t>
    </r>
    <r>
      <rPr>
        <b/>
        <sz val="12"/>
        <color rgb="FFFFCC99"/>
        <rFont val="宋体"/>
        <family val="3"/>
        <charset val="134"/>
      </rPr>
      <t>（同杰）</t>
    </r>
  </si>
  <si>
    <r>
      <t>壁挂花瓶/ 圆形/ 雏菊</t>
    </r>
    <r>
      <rPr>
        <b/>
        <sz val="12"/>
        <color rgb="FFFF0000"/>
        <rFont val="宋体"/>
        <family val="3"/>
        <charset val="134"/>
      </rPr>
      <t>（ 周澄）</t>
    </r>
    <r>
      <rPr>
        <b/>
        <sz val="12"/>
        <color rgb="FFFFCC99"/>
        <rFont val="宋体"/>
        <family val="3"/>
        <charset val="134"/>
      </rPr>
      <t>（ 同杰）</t>
    </r>
  </si>
  <si>
    <r>
      <t>壁挂花架/ 圆形/ 蝴蝶（ 陈钦）</t>
    </r>
    <r>
      <rPr>
        <b/>
        <sz val="12"/>
        <color rgb="FFFFCC99"/>
        <rFont val="宋体"/>
        <family val="3"/>
        <charset val="134"/>
      </rPr>
      <t>（ 同杰）</t>
    </r>
  </si>
  <si>
    <r>
      <t>壁挂花瓶/ 圆形/ 六瓣花（陈钦）</t>
    </r>
    <r>
      <rPr>
        <b/>
        <sz val="12"/>
        <color rgb="FFFFCC99"/>
        <rFont val="宋体"/>
        <family val="3"/>
        <charset val="134"/>
      </rPr>
      <t>（同杰）</t>
    </r>
  </si>
  <si>
    <r>
      <t>壁挂花瓶/ 圆形/ 镂空银杏叶（陈钦）</t>
    </r>
    <r>
      <rPr>
        <b/>
        <sz val="12"/>
        <color rgb="FFFFCC99"/>
        <rFont val="宋体"/>
        <family val="3"/>
        <charset val="134"/>
      </rPr>
      <t>（同杰）</t>
    </r>
  </si>
  <si>
    <r>
      <t>壁挂花瓶/ 圆形/ 实心银杏叶（陈钦）</t>
    </r>
    <r>
      <rPr>
        <b/>
        <sz val="12"/>
        <color rgb="FFFFCC99"/>
        <rFont val="宋体"/>
        <family val="3"/>
        <charset val="134"/>
      </rPr>
      <t>（同杰）</t>
    </r>
  </si>
  <si>
    <r>
      <t>壁挂花瓶/ 圆形/ 五瓣花</t>
    </r>
    <r>
      <rPr>
        <b/>
        <sz val="12"/>
        <color rgb="FFFF0000"/>
        <rFont val="宋体"/>
        <family val="3"/>
        <charset val="134"/>
      </rPr>
      <t>（周澄）</t>
    </r>
    <r>
      <rPr>
        <b/>
        <sz val="12"/>
        <color rgb="FFFFCC99"/>
        <rFont val="宋体"/>
        <family val="3"/>
        <charset val="134"/>
      </rPr>
      <t>（同杰）</t>
    </r>
  </si>
  <si>
    <r>
      <t>壁挂花瓶/ 菱形/ 齿轮花（德河）</t>
    </r>
    <r>
      <rPr>
        <b/>
        <sz val="12"/>
        <color rgb="FF0066CC"/>
        <rFont val="宋体"/>
        <family val="3"/>
        <charset val="134"/>
      </rPr>
      <t>（天猫）</t>
    </r>
  </si>
  <si>
    <r>
      <t>壁挂花瓶/ 菱形/ 雏菊</t>
    </r>
    <r>
      <rPr>
        <b/>
        <sz val="12"/>
        <color rgb="FFFF0000"/>
        <rFont val="宋体"/>
        <family val="3"/>
        <charset val="134"/>
      </rPr>
      <t>（ 周澄</t>
    </r>
    <r>
      <rPr>
        <b/>
        <sz val="12"/>
        <rFont val="宋体"/>
        <family val="3"/>
        <charset val="134"/>
      </rPr>
      <t>）</t>
    </r>
    <r>
      <rPr>
        <b/>
        <sz val="12"/>
        <color rgb="FF0066CC"/>
        <rFont val="宋体"/>
        <family val="3"/>
        <charset val="134"/>
      </rPr>
      <t>（ 天猫）</t>
    </r>
  </si>
  <si>
    <r>
      <t>壁挂花架/ 菱形/ 蝴蝶（ 德河）</t>
    </r>
    <r>
      <rPr>
        <b/>
        <sz val="12"/>
        <color rgb="FF0066CC"/>
        <rFont val="宋体"/>
        <family val="3"/>
        <charset val="134"/>
      </rPr>
      <t>（ 天猫）</t>
    </r>
  </si>
  <si>
    <r>
      <t>壁挂花瓶/ 菱形/ 六瓣花（德河）</t>
    </r>
    <r>
      <rPr>
        <b/>
        <sz val="12"/>
        <color rgb="FF0066CC"/>
        <rFont val="宋体"/>
        <family val="3"/>
        <charset val="134"/>
      </rPr>
      <t>（天猫）</t>
    </r>
  </si>
  <si>
    <r>
      <t>壁挂花瓶/ 菱形/ 镂空银杏叶（德河）</t>
    </r>
    <r>
      <rPr>
        <b/>
        <sz val="12"/>
        <color rgb="FF0066CC"/>
        <rFont val="宋体"/>
        <family val="3"/>
        <charset val="134"/>
      </rPr>
      <t>（天猫）</t>
    </r>
  </si>
  <si>
    <r>
      <t>壁挂花瓶/ 菱形/ 实心银杏叶（德河）</t>
    </r>
    <r>
      <rPr>
        <b/>
        <sz val="12"/>
        <color rgb="FF0066CC"/>
        <rFont val="宋体"/>
        <family val="3"/>
        <charset val="134"/>
      </rPr>
      <t>（天猫）</t>
    </r>
  </si>
  <si>
    <r>
      <t>壁挂花瓶/ 菱形/ 五瓣花</t>
    </r>
    <r>
      <rPr>
        <b/>
        <sz val="12"/>
        <color rgb="FFFF0000"/>
        <rFont val="宋体"/>
        <family val="3"/>
        <charset val="134"/>
      </rPr>
      <t>（周澄）</t>
    </r>
    <r>
      <rPr>
        <b/>
        <sz val="12"/>
        <color rgb="FF0066CC"/>
        <rFont val="宋体"/>
        <family val="3"/>
        <charset val="134"/>
      </rPr>
      <t>（天猫）</t>
    </r>
  </si>
  <si>
    <r>
      <t xml:space="preserve">壁挂花瓶/ 长方形/ 齿轮花（陈勇） </t>
    </r>
    <r>
      <rPr>
        <b/>
        <sz val="12"/>
        <color rgb="FF339966"/>
        <rFont val="宋体"/>
        <family val="3"/>
        <charset val="134"/>
      </rPr>
      <t>（诗琪）</t>
    </r>
  </si>
  <si>
    <r>
      <t>壁挂花瓶/ 长方形/ 雏菊</t>
    </r>
    <r>
      <rPr>
        <b/>
        <sz val="12"/>
        <color rgb="FFFF0000"/>
        <rFont val="宋体"/>
        <family val="3"/>
        <charset val="134"/>
      </rPr>
      <t>（周澄）</t>
    </r>
    <r>
      <rPr>
        <b/>
        <sz val="12"/>
        <color rgb="FF339966"/>
        <rFont val="宋体"/>
        <family val="3"/>
        <charset val="134"/>
      </rPr>
      <t>（诗琪）</t>
    </r>
  </si>
  <si>
    <r>
      <t>壁挂花架/ 长方形/ 蝴蝶（陈勇）</t>
    </r>
    <r>
      <rPr>
        <b/>
        <sz val="12"/>
        <color rgb="FF339966"/>
        <rFont val="宋体"/>
        <family val="3"/>
        <charset val="134"/>
      </rPr>
      <t>（诗琪）</t>
    </r>
  </si>
  <si>
    <r>
      <t xml:space="preserve">壁挂花瓶/ 长方形/ 六瓣花（陈勇） </t>
    </r>
    <r>
      <rPr>
        <b/>
        <sz val="12"/>
        <color rgb="FF339966"/>
        <rFont val="宋体"/>
        <family val="3"/>
        <charset val="134"/>
      </rPr>
      <t>（诗琪）</t>
    </r>
  </si>
  <si>
    <r>
      <t>壁挂花瓶/ 长方形/ 镂空银杏叶（陈勇）</t>
    </r>
    <r>
      <rPr>
        <b/>
        <sz val="12"/>
        <color rgb="FF339966"/>
        <rFont val="宋体"/>
        <family val="3"/>
        <charset val="134"/>
      </rPr>
      <t>（诗琪）</t>
    </r>
  </si>
  <si>
    <r>
      <t>壁挂花瓶/ 长方形/ 实心银杏叶（陈勇）</t>
    </r>
    <r>
      <rPr>
        <b/>
        <sz val="12"/>
        <color rgb="FF339966"/>
        <rFont val="宋体"/>
        <family val="3"/>
        <charset val="134"/>
      </rPr>
      <t>（诗琪）</t>
    </r>
  </si>
  <si>
    <r>
      <t>壁挂花瓶/ 长方形/ 五瓣花</t>
    </r>
    <r>
      <rPr>
        <b/>
        <sz val="12"/>
        <color rgb="FFFF0000"/>
        <rFont val="宋体"/>
        <family val="3"/>
        <charset val="134"/>
      </rPr>
      <t xml:space="preserve">（周澄） </t>
    </r>
    <r>
      <rPr>
        <b/>
        <sz val="12"/>
        <color rgb="FF339966"/>
        <rFont val="宋体"/>
        <family val="3"/>
        <charset val="134"/>
      </rPr>
      <t>（诗琪）</t>
    </r>
  </si>
  <si>
    <r>
      <t xml:space="preserve">带筐L型衣帽架/ 雪山白岩板/ 黑色款 </t>
    </r>
    <r>
      <rPr>
        <sz val="12"/>
        <rFont val="宋体"/>
        <family val="3"/>
        <charset val="134"/>
      </rPr>
      <t>（停）</t>
    </r>
  </si>
  <si>
    <r>
      <t>ht t ps : / / kdo</t>
    </r>
    <r>
      <rPr>
        <b/>
        <sz val="12"/>
        <rFont val="宋体"/>
        <family val="3"/>
        <charset val="134"/>
      </rPr>
      <t xml:space="preserve"> </t>
    </r>
    <r>
      <rPr>
        <b/>
        <u/>
        <sz val="12"/>
        <rFont val="宋体"/>
        <family val="3"/>
        <charset val="134"/>
      </rPr>
      <t>cs . cn/ l / cky</t>
    </r>
  </si>
  <si>
    <r>
      <t> </t>
    </r>
    <r>
      <rPr>
        <b/>
        <u/>
        <sz val="12"/>
        <rFont val="宋体"/>
        <family val="3"/>
        <charset val="134"/>
      </rPr>
      <t>uwmo</t>
    </r>
    <r>
      <rPr>
        <b/>
        <sz val="12"/>
        <rFont val="宋体"/>
        <family val="3"/>
        <charset val="134"/>
      </rPr>
      <t xml:space="preserve"> </t>
    </r>
    <r>
      <rPr>
        <b/>
        <u/>
        <sz val="12"/>
        <rFont val="宋体"/>
        <family val="3"/>
        <charset val="134"/>
      </rPr>
      <t>7OTI r</t>
    </r>
  </si>
  <si>
    <r>
      <t>ht t ps : / / kdo</t>
    </r>
    <r>
      <rPr>
        <b/>
        <sz val="12"/>
        <rFont val="宋体"/>
        <family val="3"/>
        <charset val="134"/>
      </rPr>
      <t xml:space="preserve"> </t>
    </r>
    <r>
      <rPr>
        <b/>
        <u/>
        <sz val="12"/>
        <rFont val="宋体"/>
        <family val="3"/>
        <charset val="134"/>
      </rPr>
      <t>cs . cn/ l / cug</t>
    </r>
  </si>
  <si>
    <r>
      <t> </t>
    </r>
    <r>
      <rPr>
        <b/>
        <u/>
        <sz val="12"/>
        <rFont val="宋体"/>
        <family val="3"/>
        <charset val="134"/>
      </rPr>
      <t>9Ra</t>
    </r>
    <r>
      <rPr>
        <b/>
        <sz val="12"/>
        <rFont val="宋体"/>
        <family val="3"/>
        <charset val="134"/>
      </rPr>
      <t xml:space="preserve"> </t>
    </r>
    <r>
      <rPr>
        <b/>
        <u/>
        <sz val="12"/>
        <rFont val="宋体"/>
        <family val="3"/>
        <charset val="134"/>
      </rPr>
      <t>GDhuPO</t>
    </r>
  </si>
  <si>
    <r>
      <t>ht t ps : / / kdo</t>
    </r>
    <r>
      <rPr>
        <b/>
        <sz val="12"/>
        <rFont val="宋体"/>
        <family val="3"/>
        <charset val="134"/>
      </rPr>
      <t xml:space="preserve"> </t>
    </r>
    <r>
      <rPr>
        <b/>
        <u/>
        <sz val="12"/>
        <rFont val="宋体"/>
        <family val="3"/>
        <charset val="134"/>
      </rPr>
      <t>cs . cn/ l / ci B</t>
    </r>
  </si>
  <si>
    <r>
      <t> </t>
    </r>
    <r>
      <rPr>
        <b/>
        <u/>
        <sz val="12"/>
        <rFont val="宋体"/>
        <family val="3"/>
        <charset val="134"/>
      </rPr>
      <t>x</t>
    </r>
    <r>
      <rPr>
        <b/>
        <sz val="12"/>
        <rFont val="宋体"/>
        <family val="3"/>
        <charset val="134"/>
      </rPr>
      <t xml:space="preserve"> </t>
    </r>
    <r>
      <rPr>
        <b/>
        <u/>
        <sz val="12"/>
        <rFont val="宋体"/>
        <family val="3"/>
        <charset val="134"/>
      </rPr>
      <t>Hk1Xy</t>
    </r>
    <r>
      <rPr>
        <b/>
        <sz val="12"/>
        <rFont val="宋体"/>
        <family val="3"/>
        <charset val="134"/>
      </rPr>
      <t xml:space="preserve"> </t>
    </r>
    <r>
      <rPr>
        <b/>
        <u/>
        <sz val="12"/>
        <rFont val="宋体"/>
        <family val="3"/>
        <charset val="134"/>
      </rPr>
      <t>93Y</t>
    </r>
  </si>
  <si>
    <r>
      <t>ht t ps : / / kdo</t>
    </r>
    <r>
      <rPr>
        <b/>
        <sz val="12"/>
        <rFont val="宋体"/>
        <family val="3"/>
        <charset val="134"/>
      </rPr>
      <t xml:space="preserve"> </t>
    </r>
    <r>
      <rPr>
        <b/>
        <u/>
        <sz val="12"/>
        <rFont val="宋体"/>
        <family val="3"/>
        <charset val="134"/>
      </rPr>
      <t>cs . cn/ l / cr C</t>
    </r>
  </si>
  <si>
    <r>
      <t> </t>
    </r>
    <r>
      <rPr>
        <b/>
        <u/>
        <sz val="12"/>
        <rFont val="宋体"/>
        <family val="3"/>
        <charset val="134"/>
      </rPr>
      <t>mZg</t>
    </r>
    <r>
      <rPr>
        <b/>
        <sz val="12"/>
        <rFont val="宋体"/>
        <family val="3"/>
        <charset val="134"/>
      </rPr>
      <t xml:space="preserve"> </t>
    </r>
    <r>
      <rPr>
        <b/>
        <u/>
        <sz val="12"/>
        <rFont val="宋体"/>
        <family val="3"/>
        <charset val="134"/>
      </rPr>
      <t>3VXKQl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</si>
</sst>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name val="宋体"/>
      <family val="3"/>
      <charset val="134"/>
    </font>
    <font>
      <sz val="9"/>
      <name val="等线"/>
      <family val="2"/>
      <charset val="134"/>
      <scheme val="minor"/>
    </font>
    <font>
      <sz val="11"/>
      <color rgb="FFFF0000"/>
      <name val="宋体"/>
      <family val="3"/>
      <charset val="134"/>
    </font>
    <font>
      <sz val="11"/>
      <color rgb="FFFF0000"/>
      <name val="等线"/>
      <family val="3"/>
      <charset val="134"/>
      <scheme val="minor"/>
    </font>
    <font>
      <sz val="12"/>
      <name val="宋体"/>
      <family val="3"/>
      <charset val="134"/>
    </font>
    <font>
      <sz val="10"/>
      <color rgb="FF000000"/>
      <name val="Times New Roman"/>
      <family val="1"/>
    </font>
    <font>
      <b/>
      <sz val="12"/>
      <name val="微软雅黑"/>
      <family val="2"/>
      <charset val="134"/>
    </font>
    <font>
      <sz val="12"/>
      <color rgb="FF000000"/>
      <name val="Times New Roman"/>
      <family val="1"/>
    </font>
    <font>
      <sz val="12"/>
      <color theme="1"/>
      <name val="等线"/>
      <family val="2"/>
      <charset val="134"/>
      <scheme val="minor"/>
    </font>
    <font>
      <b/>
      <sz val="12"/>
      <name val="宋体"/>
      <family val="3"/>
      <charset val="134"/>
    </font>
    <font>
      <b/>
      <sz val="12"/>
      <color rgb="FFFF0000"/>
      <name val="宋体"/>
      <family val="3"/>
      <charset val="134"/>
    </font>
    <font>
      <b/>
      <sz val="12"/>
      <color rgb="FF000000"/>
      <name val="宋体"/>
      <family val="3"/>
      <charset val="134"/>
    </font>
    <font>
      <b/>
      <i/>
      <sz val="12"/>
      <name val="宋体"/>
      <family val="3"/>
      <charset val="134"/>
    </font>
    <font>
      <sz val="12"/>
      <color rgb="FF000000"/>
      <name val="宋体"/>
      <family val="3"/>
      <charset val="134"/>
    </font>
    <font>
      <b/>
      <sz val="12"/>
      <color rgb="FFFFCC99"/>
      <name val="宋体"/>
      <family val="3"/>
      <charset val="134"/>
    </font>
    <font>
      <b/>
      <sz val="12"/>
      <color rgb="FF0066CC"/>
      <name val="宋体"/>
      <family val="3"/>
      <charset val="134"/>
    </font>
    <font>
      <b/>
      <sz val="12"/>
      <color rgb="FF339966"/>
      <name val="宋体"/>
      <family val="3"/>
      <charset val="134"/>
    </font>
    <font>
      <b/>
      <u/>
      <sz val="12"/>
      <name val="宋体"/>
      <family val="3"/>
      <charset val="134"/>
    </font>
    <font>
      <b/>
      <u/>
      <sz val="12"/>
      <name val="Times New Roman"/>
      <family val="1"/>
    </font>
  </fonts>
  <fills count="11">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DEEBF7"/>
        <bgColor rgb="FF000000"/>
      </patternFill>
    </fill>
    <fill>
      <patternFill patternType="solid">
        <fgColor rgb="FF92D050"/>
        <bgColor rgb="FF000000"/>
      </patternFill>
    </fill>
    <fill>
      <patternFill patternType="solid">
        <fgColor rgb="FFFFFF00"/>
        <bgColor rgb="FF000000"/>
      </patternFill>
    </fill>
    <fill>
      <patternFill patternType="solid">
        <fgColor rgb="FFFF0000"/>
        <bgColor rgb="FF000000"/>
      </patternFill>
    </fill>
    <fill>
      <patternFill patternType="solid">
        <fgColor rgb="FFFF8A6B"/>
        <bgColor rgb="FF000000"/>
      </patternFill>
    </fill>
    <fill>
      <patternFill patternType="solid">
        <fgColor rgb="FF00AFEF"/>
        <bgColor rgb="FF000000"/>
      </patternFill>
    </fill>
    <fill>
      <patternFill patternType="solid">
        <fgColor rgb="FFFAE4D5"/>
        <bgColor rgb="FF000000"/>
      </patternFill>
    </fill>
  </fills>
  <borders count="17">
    <border>
      <left/>
      <right/>
      <top/>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793">
    <xf numFmtId="0" fontId="0" fillId="0" borderId="0" xfId="0">
      <alignment vertical="center"/>
    </xf>
    <xf numFmtId="0" fontId="1" fillId="0" borderId="0" xfId="0" applyFont="1" applyAlignment="1">
      <alignment horizontal="center" vertical="center"/>
    </xf>
    <xf numFmtId="0" fontId="3" fillId="0" borderId="1" xfId="0" applyFont="1" applyBorder="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xf>
    <xf numFmtId="0" fontId="1" fillId="3" borderId="0" xfId="0" applyFont="1" applyFill="1" applyAlignment="1">
      <alignment horizontal="center" vertical="center"/>
    </xf>
    <xf numFmtId="0" fontId="3" fillId="3" borderId="1" xfId="0" applyFont="1" applyFill="1" applyBorder="1" applyAlignment="1">
      <alignment horizontal="center" vertical="center"/>
    </xf>
    <xf numFmtId="0" fontId="3" fillId="0" borderId="0" xfId="0" applyFont="1" applyAlignment="1">
      <alignment horizontal="center" vertical="center"/>
    </xf>
    <xf numFmtId="0" fontId="0" fillId="3" borderId="0" xfId="0" applyFill="1" applyAlignment="1">
      <alignment horizontal="center" vertical="center"/>
    </xf>
    <xf numFmtId="0" fontId="4" fillId="3" borderId="1" xfId="0" applyFont="1" applyFill="1" applyBorder="1" applyAlignment="1">
      <alignment horizontal="center" vertical="center"/>
    </xf>
    <xf numFmtId="0" fontId="3" fillId="3" borderId="0" xfId="0" applyFont="1" applyFill="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6" fillId="0" borderId="0" xfId="0" applyFont="1" applyAlignment="1">
      <alignment horizontal="left" vertical="top"/>
    </xf>
    <xf numFmtId="0" fontId="8" fillId="0" borderId="0" xfId="0" applyFont="1" applyAlignment="1">
      <alignment horizontal="left" vertical="top" wrapText="1"/>
    </xf>
    <xf numFmtId="0" fontId="9" fillId="0" borderId="0" xfId="0" applyFont="1">
      <alignment vertical="center"/>
    </xf>
    <xf numFmtId="0" fontId="10" fillId="0" borderId="8" xfId="0" applyFont="1" applyBorder="1" applyAlignment="1">
      <alignment horizontal="left" vertical="center" wrapText="1"/>
    </xf>
    <xf numFmtId="0" fontId="8" fillId="0" borderId="8" xfId="0" applyFont="1" applyBorder="1" applyAlignment="1">
      <alignment horizontal="left" vertical="top" wrapText="1"/>
    </xf>
    <xf numFmtId="0" fontId="10" fillId="0" borderId="13" xfId="0" applyFont="1" applyBorder="1" applyAlignment="1">
      <alignment horizontal="left" wrapText="1"/>
    </xf>
    <xf numFmtId="0" fontId="10" fillId="0" borderId="7" xfId="0" applyFont="1" applyBorder="1" applyAlignment="1">
      <alignment horizontal="center" vertical="center" wrapText="1"/>
    </xf>
    <xf numFmtId="0" fontId="10" fillId="0" borderId="2" xfId="0" applyFont="1" applyBorder="1" applyAlignment="1">
      <alignment horizontal="left" vertical="top" wrapText="1"/>
    </xf>
    <xf numFmtId="0" fontId="12" fillId="0" borderId="2" xfId="0" applyFont="1" applyBorder="1" applyAlignment="1">
      <alignment horizontal="center" vertical="center"/>
    </xf>
    <xf numFmtId="0" fontId="10" fillId="0" borderId="2" xfId="0" applyFont="1" applyBorder="1" applyAlignment="1">
      <alignment horizontal="left" vertical="center" wrapText="1"/>
    </xf>
    <xf numFmtId="0" fontId="10" fillId="0" borderId="13"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8" xfId="0" applyFont="1" applyBorder="1" applyAlignment="1">
      <alignment horizontal="left" wrapText="1"/>
    </xf>
    <xf numFmtId="0" fontId="10" fillId="0" borderId="0" xfId="0" applyFont="1" applyAlignment="1">
      <alignment horizontal="left" wrapText="1"/>
    </xf>
    <xf numFmtId="0" fontId="10" fillId="0" borderId="14" xfId="0" applyFont="1" applyBorder="1" applyAlignment="1">
      <alignment horizontal="left" wrapText="1"/>
    </xf>
    <xf numFmtId="0" fontId="10" fillId="0" borderId="7" xfId="0" applyFont="1" applyBorder="1" applyAlignment="1">
      <alignment horizontal="center" vertical="top" wrapText="1"/>
    </xf>
    <xf numFmtId="0" fontId="12" fillId="0" borderId="2" xfId="0" applyFont="1" applyBorder="1" applyAlignment="1">
      <alignment horizontal="center" vertical="top"/>
    </xf>
    <xf numFmtId="0" fontId="10" fillId="0" borderId="14"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2" xfId="0" applyFont="1" applyBorder="1" applyAlignment="1">
      <alignment horizontal="left" wrapText="1"/>
    </xf>
    <xf numFmtId="0" fontId="8" fillId="0" borderId="9" xfId="0" applyFont="1" applyBorder="1" applyAlignment="1">
      <alignment horizontal="left" vertical="top" wrapText="1"/>
    </xf>
    <xf numFmtId="0" fontId="10" fillId="0" borderId="4" xfId="0" applyFont="1" applyBorder="1" applyAlignment="1">
      <alignment horizontal="left" vertical="center" wrapText="1"/>
    </xf>
    <xf numFmtId="0" fontId="10" fillId="0" borderId="8" xfId="0" applyFont="1" applyBorder="1" applyAlignment="1">
      <alignment horizontal="center" wrapText="1"/>
    </xf>
    <xf numFmtId="0" fontId="10" fillId="0" borderId="12" xfId="0" applyFont="1" applyBorder="1" applyAlignment="1">
      <alignment horizontal="center" wrapText="1"/>
    </xf>
    <xf numFmtId="0" fontId="10" fillId="0" borderId="9" xfId="0" applyFont="1" applyBorder="1" applyAlignment="1">
      <alignment horizontal="center" vertical="center" wrapText="1"/>
    </xf>
    <xf numFmtId="0" fontId="10" fillId="0" borderId="0" xfId="0" applyFont="1" applyAlignment="1">
      <alignment horizontal="left" vertical="top" wrapText="1"/>
    </xf>
    <xf numFmtId="0" fontId="8" fillId="0" borderId="0" xfId="0" applyFont="1" applyAlignment="1">
      <alignment horizontal="left" wrapText="1"/>
    </xf>
    <xf numFmtId="0" fontId="10" fillId="0" borderId="12" xfId="0" applyFont="1" applyBorder="1" applyAlignment="1">
      <alignment horizontal="center" vertical="top" wrapText="1"/>
    </xf>
    <xf numFmtId="0" fontId="10" fillId="0" borderId="9" xfId="0" applyFont="1" applyBorder="1" applyAlignment="1">
      <alignment horizontal="center" vertical="top" wrapText="1"/>
    </xf>
    <xf numFmtId="0" fontId="10" fillId="4" borderId="7" xfId="0" applyFont="1" applyFill="1" applyBorder="1" applyAlignment="1">
      <alignment horizontal="center" vertical="center" wrapText="1"/>
    </xf>
    <xf numFmtId="0" fontId="10" fillId="0" borderId="12" xfId="0" applyFont="1" applyBorder="1" applyAlignment="1">
      <alignment horizontal="left" vertical="center" wrapText="1"/>
    </xf>
    <xf numFmtId="0" fontId="10" fillId="0" borderId="8" xfId="0" applyFont="1" applyBorder="1" applyAlignment="1">
      <alignment horizontal="center" vertical="top" wrapText="1"/>
    </xf>
    <xf numFmtId="0" fontId="10" fillId="0" borderId="12" xfId="0" applyFont="1" applyBorder="1" applyAlignment="1">
      <alignment horizontal="right" vertical="top" wrapText="1"/>
    </xf>
    <xf numFmtId="0" fontId="10" fillId="0" borderId="12" xfId="0" applyFont="1" applyBorder="1"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left" vertical="top"/>
    </xf>
    <xf numFmtId="0" fontId="10" fillId="0" borderId="7" xfId="0" applyFont="1" applyBorder="1" applyAlignment="1">
      <alignment horizontal="center" wrapText="1"/>
    </xf>
    <xf numFmtId="0" fontId="8" fillId="0" borderId="9" xfId="0" applyFont="1" applyBorder="1" applyAlignment="1">
      <alignment horizontal="left" vertical="center" wrapText="1"/>
    </xf>
    <xf numFmtId="0" fontId="10" fillId="6" borderId="7" xfId="0" applyFont="1" applyFill="1" applyBorder="1" applyAlignment="1">
      <alignment horizontal="center" vertical="top" wrapText="1"/>
    </xf>
    <xf numFmtId="0" fontId="8" fillId="0" borderId="9" xfId="0" applyFont="1" applyBorder="1" applyAlignment="1">
      <alignment horizontal="left" wrapText="1"/>
    </xf>
    <xf numFmtId="0" fontId="10" fillId="10" borderId="7" xfId="0" applyFont="1" applyFill="1" applyBorder="1" applyAlignment="1">
      <alignment horizontal="center" vertical="center" wrapText="1"/>
    </xf>
    <xf numFmtId="0" fontId="8" fillId="0" borderId="8" xfId="0" applyFont="1" applyBorder="1" applyAlignment="1">
      <alignment horizontal="left" vertical="center" wrapText="1"/>
    </xf>
    <xf numFmtId="0" fontId="8" fillId="0" borderId="7" xfId="0" applyFont="1" applyBorder="1" applyAlignment="1">
      <alignment horizontal="left" vertical="top" wrapText="1"/>
    </xf>
    <xf numFmtId="0" fontId="10" fillId="10" borderId="7" xfId="0" applyFont="1" applyFill="1" applyBorder="1" applyAlignment="1">
      <alignment horizontal="center" vertical="top" wrapText="1"/>
    </xf>
    <xf numFmtId="0" fontId="8" fillId="0" borderId="8" xfId="0" applyFont="1" applyBorder="1" applyAlignment="1">
      <alignment horizontal="left" wrapText="1"/>
    </xf>
    <xf numFmtId="0" fontId="8" fillId="0" borderId="12" xfId="0" applyFont="1" applyBorder="1" applyAlignment="1">
      <alignment horizontal="left" wrapText="1"/>
    </xf>
    <xf numFmtId="0" fontId="10" fillId="0" borderId="8" xfId="0" applyFont="1" applyBorder="1" applyAlignment="1">
      <alignment horizontal="left" vertical="top" wrapText="1" indent="3"/>
    </xf>
    <xf numFmtId="0" fontId="10" fillId="0" borderId="9" xfId="0" applyFont="1" applyBorder="1" applyAlignment="1">
      <alignment horizontal="left" vertical="top" wrapText="1" indent="3"/>
    </xf>
    <xf numFmtId="0" fontId="10" fillId="0" borderId="8" xfId="0" applyFont="1" applyBorder="1" applyAlignment="1">
      <alignment horizontal="left" vertical="top" wrapText="1" indent="4"/>
    </xf>
    <xf numFmtId="0" fontId="10" fillId="0" borderId="9" xfId="0" applyFont="1" applyBorder="1" applyAlignment="1">
      <alignment horizontal="left" vertical="top" wrapText="1" indent="4"/>
    </xf>
    <xf numFmtId="0" fontId="10" fillId="0" borderId="12" xfId="0" applyFont="1" applyBorder="1" applyAlignment="1">
      <alignment horizontal="center" vertical="top" wrapText="1"/>
    </xf>
    <xf numFmtId="0" fontId="10" fillId="0" borderId="8" xfId="0" applyFont="1" applyBorder="1" applyAlignment="1">
      <alignment horizontal="center" vertical="top" wrapText="1"/>
    </xf>
    <xf numFmtId="0" fontId="10" fillId="0" borderId="9" xfId="0" applyFont="1" applyBorder="1" applyAlignment="1">
      <alignment horizontal="center" vertical="top"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8" xfId="0" applyFont="1" applyBorder="1" applyAlignment="1">
      <alignment horizontal="left" vertical="center" wrapText="1" indent="3"/>
    </xf>
    <xf numFmtId="0" fontId="10" fillId="0" borderId="12" xfId="0" applyFont="1" applyBorder="1" applyAlignment="1">
      <alignment horizontal="left" vertical="center" wrapText="1" indent="3"/>
    </xf>
    <xf numFmtId="0" fontId="10" fillId="0" borderId="9" xfId="0" applyFont="1" applyBorder="1" applyAlignment="1">
      <alignment horizontal="left" vertical="center" wrapText="1" indent="3"/>
    </xf>
    <xf numFmtId="0" fontId="10" fillId="0" borderId="8" xfId="0" applyFont="1" applyBorder="1" applyAlignment="1">
      <alignment horizontal="center" wrapText="1"/>
    </xf>
    <xf numFmtId="0" fontId="10" fillId="0" borderId="12" xfId="0" applyFont="1" applyBorder="1" applyAlignment="1">
      <alignment horizontal="center" wrapText="1"/>
    </xf>
    <xf numFmtId="0" fontId="10" fillId="0" borderId="9" xfId="0" applyFont="1" applyBorder="1" applyAlignment="1">
      <alignment horizontal="center" wrapText="1"/>
    </xf>
    <xf numFmtId="0" fontId="10" fillId="0" borderId="12" xfId="0" applyFont="1" applyBorder="1" applyAlignment="1">
      <alignment horizontal="center" vertical="center" wrapText="1"/>
    </xf>
    <xf numFmtId="0" fontId="10" fillId="0" borderId="8" xfId="0" applyFont="1" applyBorder="1" applyAlignment="1">
      <alignment horizontal="left" vertical="center" wrapText="1" indent="2"/>
    </xf>
    <xf numFmtId="0" fontId="10" fillId="0" borderId="9" xfId="0" applyFont="1" applyBorder="1" applyAlignment="1">
      <alignment horizontal="left" vertical="center" wrapText="1" indent="2"/>
    </xf>
    <xf numFmtId="0" fontId="10" fillId="0" borderId="8" xfId="0" applyFont="1" applyBorder="1" applyAlignment="1">
      <alignment horizontal="left" vertical="center" wrapText="1" indent="4"/>
    </xf>
    <xf numFmtId="0" fontId="10" fillId="0" borderId="9" xfId="0" applyFont="1" applyBorder="1" applyAlignment="1">
      <alignment horizontal="left" vertical="center" wrapText="1" indent="4"/>
    </xf>
    <xf numFmtId="0" fontId="10" fillId="0" borderId="8" xfId="0" applyFont="1" applyBorder="1" applyAlignment="1">
      <alignment horizontal="left" vertical="top" wrapText="1" indent="2"/>
    </xf>
    <xf numFmtId="0" fontId="10" fillId="0" borderId="9" xfId="0" applyFont="1" applyBorder="1" applyAlignment="1">
      <alignment horizontal="left" vertical="top" wrapText="1" indent="2"/>
    </xf>
    <xf numFmtId="0" fontId="10" fillId="0" borderId="12" xfId="0" applyFont="1" applyBorder="1" applyAlignment="1">
      <alignment horizontal="left" vertical="top" wrapText="1" indent="3"/>
    </xf>
    <xf numFmtId="0" fontId="10" fillId="0" borderId="12" xfId="0" applyFont="1" applyBorder="1" applyAlignment="1">
      <alignment horizontal="left" vertical="top" wrapText="1" indent="4"/>
    </xf>
    <xf numFmtId="0" fontId="10" fillId="0" borderId="12" xfId="0" applyFont="1" applyBorder="1" applyAlignment="1">
      <alignment horizontal="left" vertical="center" wrapText="1" indent="2"/>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6" fillId="0" borderId="13" xfId="0" applyFont="1" applyBorder="1" applyAlignment="1">
      <alignment horizontal="left" vertical="top" wrapText="1"/>
    </xf>
    <xf numFmtId="0" fontId="10" fillId="0" borderId="10" xfId="0" applyFont="1" applyBorder="1" applyAlignment="1">
      <alignment horizontal="left" vertical="top" wrapText="1"/>
    </xf>
    <xf numFmtId="0" fontId="10" fillId="0" borderId="13" xfId="0" applyFont="1" applyBorder="1" applyAlignment="1">
      <alignment horizontal="left" vertical="top" wrapText="1"/>
    </xf>
    <xf numFmtId="0" fontId="8" fillId="5" borderId="5" xfId="0" applyFont="1" applyFill="1" applyBorder="1" applyAlignment="1">
      <alignment horizontal="left" wrapText="1"/>
    </xf>
    <xf numFmtId="0" fontId="8" fillId="5" borderId="6" xfId="0" applyFont="1" applyFill="1" applyBorder="1" applyAlignment="1">
      <alignment horizontal="left" wrapText="1"/>
    </xf>
    <xf numFmtId="0" fontId="8" fillId="5" borderId="16" xfId="0" applyFont="1" applyFill="1" applyBorder="1" applyAlignment="1">
      <alignment horizontal="left" wrapText="1"/>
    </xf>
    <xf numFmtId="0" fontId="8" fillId="0" borderId="5" xfId="0" applyFont="1" applyBorder="1" applyAlignment="1">
      <alignment horizontal="left" wrapText="1"/>
    </xf>
    <xf numFmtId="0" fontId="8" fillId="0" borderId="16" xfId="0" applyFont="1" applyBorder="1" applyAlignment="1">
      <alignment horizontal="left" wrapText="1"/>
    </xf>
    <xf numFmtId="0" fontId="6" fillId="5" borderId="11" xfId="0" applyFont="1" applyFill="1" applyBorder="1" applyAlignment="1">
      <alignment horizontal="left" vertical="top" wrapText="1"/>
    </xf>
    <xf numFmtId="0" fontId="6" fillId="5" borderId="13" xfId="0" applyFont="1" applyFill="1" applyBorder="1" applyAlignment="1">
      <alignment horizontal="left" vertical="top" wrapText="1"/>
    </xf>
    <xf numFmtId="0" fontId="6" fillId="5" borderId="0" xfId="0" applyFont="1" applyFill="1" applyAlignment="1">
      <alignment horizontal="left" vertical="top" wrapText="1"/>
    </xf>
    <xf numFmtId="0" fontId="6" fillId="5" borderId="14" xfId="0" applyFont="1" applyFill="1" applyBorder="1" applyAlignment="1">
      <alignment horizontal="left" vertical="top" wrapText="1"/>
    </xf>
    <xf numFmtId="0" fontId="6" fillId="0" borderId="2" xfId="0" applyFont="1" applyBorder="1" applyAlignment="1">
      <alignment horizontal="left" vertical="top" wrapText="1"/>
    </xf>
    <xf numFmtId="0" fontId="6" fillId="0" borderId="15" xfId="0" applyFont="1" applyBorder="1" applyAlignment="1">
      <alignment horizontal="left" vertical="top" wrapText="1"/>
    </xf>
    <xf numFmtId="0" fontId="10" fillId="5" borderId="4"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14" xfId="0" applyFont="1" applyFill="1" applyBorder="1" applyAlignment="1">
      <alignment horizontal="left" vertical="top" wrapText="1"/>
    </xf>
    <xf numFmtId="0" fontId="10" fillId="0" borderId="4" xfId="0" applyFont="1" applyBorder="1" applyAlignment="1">
      <alignment horizontal="left" vertical="top" wrapText="1" indent="1"/>
    </xf>
    <xf numFmtId="0" fontId="10" fillId="0" borderId="14" xfId="0" applyFont="1" applyBorder="1" applyAlignment="1">
      <alignment horizontal="left" vertical="top" wrapText="1" indent="1"/>
    </xf>
    <xf numFmtId="0" fontId="8" fillId="0" borderId="6" xfId="0" applyFont="1" applyBorder="1" applyAlignment="1">
      <alignment horizontal="left" wrapText="1"/>
    </xf>
    <xf numFmtId="0" fontId="8" fillId="0" borderId="2" xfId="0" applyFont="1" applyBorder="1" applyAlignment="1">
      <alignment horizontal="left" wrapText="1"/>
    </xf>
    <xf numFmtId="0" fontId="8" fillId="0" borderId="3" xfId="0" applyFont="1" applyBorder="1" applyAlignment="1">
      <alignment horizontal="left" wrapText="1"/>
    </xf>
    <xf numFmtId="0" fontId="8" fillId="0" borderId="15" xfId="0" applyFont="1" applyBorder="1" applyAlignment="1">
      <alignment horizontal="left" wrapText="1"/>
    </xf>
    <xf numFmtId="0" fontId="10" fillId="0" borderId="2" xfId="0" applyFont="1" applyBorder="1" applyAlignment="1">
      <alignment horizontal="left" vertical="top" wrapText="1" indent="1"/>
    </xf>
    <xf numFmtId="0" fontId="10" fillId="0" borderId="15" xfId="0" applyFont="1" applyBorder="1" applyAlignment="1">
      <alignment horizontal="left" vertical="top" wrapText="1" indent="1"/>
    </xf>
    <xf numFmtId="0" fontId="10" fillId="0" borderId="10" xfId="0" applyFont="1" applyBorder="1" applyAlignment="1">
      <alignment horizontal="center" vertical="top" wrapText="1"/>
    </xf>
    <xf numFmtId="0" fontId="10" fillId="0" borderId="13" xfId="0" applyFont="1" applyBorder="1" applyAlignment="1">
      <alignment horizontal="center"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15" xfId="0" applyFont="1" applyBorder="1" applyAlignment="1">
      <alignment horizontal="left" vertical="top" wrapText="1"/>
    </xf>
    <xf numFmtId="0" fontId="10" fillId="0" borderId="5" xfId="0" applyFont="1" applyBorder="1" applyAlignment="1">
      <alignment horizontal="left" vertical="top" wrapText="1"/>
    </xf>
    <xf numFmtId="0" fontId="10" fillId="0" borderId="16" xfId="0" applyFont="1" applyBorder="1" applyAlignment="1">
      <alignment horizontal="left" vertical="top" wrapText="1"/>
    </xf>
    <xf numFmtId="0" fontId="8" fillId="0" borderId="10" xfId="0" applyFont="1" applyBorder="1" applyAlignment="1">
      <alignment horizontal="left" wrapText="1"/>
    </xf>
    <xf numFmtId="0" fontId="8" fillId="0" borderId="13" xfId="0" applyFont="1" applyBorder="1" applyAlignment="1">
      <alignment horizontal="left" wrapText="1"/>
    </xf>
    <xf numFmtId="0" fontId="8" fillId="0" borderId="4" xfId="0" applyFont="1" applyBorder="1" applyAlignment="1">
      <alignment horizontal="left" wrapText="1"/>
    </xf>
    <xf numFmtId="0" fontId="8" fillId="0" borderId="0" xfId="0" applyFont="1" applyAlignment="1">
      <alignment horizontal="left" wrapText="1"/>
    </xf>
    <xf numFmtId="0" fontId="8" fillId="0" borderId="14" xfId="0" applyFont="1" applyBorder="1" applyAlignment="1">
      <alignment horizontal="left" wrapText="1"/>
    </xf>
    <xf numFmtId="0" fontId="10" fillId="0" borderId="2" xfId="0" applyFont="1" applyBorder="1" applyAlignment="1">
      <alignment horizontal="center" vertical="top" wrapText="1"/>
    </xf>
    <xf numFmtId="0" fontId="10" fillId="0" borderId="15" xfId="0" applyFont="1" applyBorder="1" applyAlignment="1">
      <alignment horizontal="center" vertical="top" wrapText="1"/>
    </xf>
    <xf numFmtId="0" fontId="10" fillId="0" borderId="4" xfId="0" applyFont="1" applyBorder="1" applyAlignment="1">
      <alignment horizontal="left" vertical="top" wrapText="1"/>
    </xf>
    <xf numFmtId="0" fontId="10" fillId="0" borderId="14" xfId="0" applyFont="1" applyBorder="1" applyAlignment="1">
      <alignment horizontal="left" vertical="top" wrapText="1"/>
    </xf>
    <xf numFmtId="0" fontId="8" fillId="0" borderId="12" xfId="0" applyFont="1" applyBorder="1" applyAlignment="1">
      <alignment horizontal="left" vertical="center" wrapText="1"/>
    </xf>
    <xf numFmtId="0" fontId="8" fillId="5" borderId="10" xfId="0" applyFont="1" applyFill="1" applyBorder="1" applyAlignment="1">
      <alignment horizontal="left" wrapText="1"/>
    </xf>
    <xf numFmtId="0" fontId="8" fillId="5" borderId="11" xfId="0" applyFont="1" applyFill="1" applyBorder="1" applyAlignment="1">
      <alignment horizontal="left" wrapText="1"/>
    </xf>
    <xf numFmtId="0" fontId="8" fillId="5" borderId="13" xfId="0" applyFont="1" applyFill="1" applyBorder="1" applyAlignment="1">
      <alignment horizontal="left" wrapText="1"/>
    </xf>
    <xf numFmtId="0" fontId="10" fillId="5" borderId="4" xfId="0" applyFont="1" applyFill="1" applyBorder="1" applyAlignment="1">
      <alignment horizontal="left" vertical="top" wrapText="1" indent="1"/>
    </xf>
    <xf numFmtId="0" fontId="10" fillId="5" borderId="0" xfId="0" applyFont="1" applyFill="1" applyAlignment="1">
      <alignment horizontal="left" vertical="top" wrapText="1" indent="1"/>
    </xf>
    <xf numFmtId="0" fontId="10" fillId="5" borderId="14" xfId="0" applyFont="1" applyFill="1" applyBorder="1" applyAlignment="1">
      <alignment horizontal="left" vertical="top" wrapText="1" indent="1"/>
    </xf>
    <xf numFmtId="0" fontId="8" fillId="0" borderId="4" xfId="0" applyFont="1" applyBorder="1" applyAlignment="1">
      <alignment horizontal="left" vertical="center" wrapText="1"/>
    </xf>
    <xf numFmtId="0" fontId="8" fillId="0" borderId="0" xfId="0" applyFont="1" applyAlignment="1">
      <alignment horizontal="left" vertical="center" wrapText="1"/>
    </xf>
    <xf numFmtId="0" fontId="8" fillId="0" borderId="14" xfId="0" applyFont="1" applyBorder="1" applyAlignment="1">
      <alignment horizontal="left" vertical="center" wrapText="1"/>
    </xf>
    <xf numFmtId="0" fontId="10" fillId="0" borderId="3" xfId="0" applyFont="1" applyBorder="1" applyAlignment="1">
      <alignment horizontal="left" vertical="top" wrapText="1" indent="1"/>
    </xf>
    <xf numFmtId="0" fontId="8" fillId="0" borderId="11" xfId="0" applyFont="1" applyBorder="1" applyAlignment="1">
      <alignment horizontal="left" wrapText="1"/>
    </xf>
    <xf numFmtId="0" fontId="8" fillId="5" borderId="4" xfId="0" applyFont="1" applyFill="1" applyBorder="1" applyAlignment="1">
      <alignment horizontal="left" wrapText="1"/>
    </xf>
    <xf numFmtId="0" fontId="8" fillId="5" borderId="0" xfId="0" applyFont="1" applyFill="1" applyAlignment="1">
      <alignment horizontal="left" wrapText="1"/>
    </xf>
    <xf numFmtId="0" fontId="8" fillId="5" borderId="14" xfId="0" applyFont="1" applyFill="1" applyBorder="1" applyAlignment="1">
      <alignment horizontal="left" wrapText="1"/>
    </xf>
    <xf numFmtId="0" fontId="10" fillId="0" borderId="10" xfId="0" applyFont="1" applyBorder="1" applyAlignment="1">
      <alignment horizontal="left" vertical="top" wrapText="1" indent="1"/>
    </xf>
    <xf numFmtId="0" fontId="10" fillId="0" borderId="11" xfId="0" applyFont="1" applyBorder="1" applyAlignment="1">
      <alignment horizontal="left" vertical="top" wrapText="1" indent="1"/>
    </xf>
    <xf numFmtId="0" fontId="10" fillId="0" borderId="13" xfId="0" applyFont="1" applyBorder="1" applyAlignment="1">
      <alignment horizontal="left" vertical="top" wrapText="1" indent="1"/>
    </xf>
    <xf numFmtId="0" fontId="10" fillId="0" borderId="5" xfId="0" applyFont="1" applyBorder="1" applyAlignment="1">
      <alignment horizontal="left" vertical="top" wrapText="1" indent="1"/>
    </xf>
    <xf numFmtId="0" fontId="10" fillId="0" borderId="6" xfId="0" applyFont="1" applyBorder="1" applyAlignment="1">
      <alignment horizontal="left" vertical="top" wrapText="1" indent="1"/>
    </xf>
    <xf numFmtId="0" fontId="10" fillId="0" borderId="16" xfId="0" applyFont="1" applyBorder="1" applyAlignment="1">
      <alignment horizontal="left" vertical="top" wrapText="1" indent="1"/>
    </xf>
    <xf numFmtId="0" fontId="8" fillId="0" borderId="10" xfId="0" applyFont="1" applyBorder="1" applyAlignment="1">
      <alignment horizontal="left" vertical="center" wrapText="1"/>
    </xf>
    <xf numFmtId="0" fontId="8" fillId="0" borderId="13" xfId="0" applyFont="1" applyBorder="1" applyAlignment="1">
      <alignment horizontal="left" vertical="center" wrapText="1"/>
    </xf>
    <xf numFmtId="0" fontId="8" fillId="0" borderId="5" xfId="0" applyFont="1" applyBorder="1" applyAlignment="1">
      <alignment horizontal="left" vertical="center" wrapText="1"/>
    </xf>
    <xf numFmtId="0" fontId="8" fillId="0" borderId="16" xfId="0" applyFont="1" applyBorder="1" applyAlignment="1">
      <alignment horizontal="left" vertical="center"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4" xfId="0" applyFont="1" applyBorder="1" applyAlignment="1">
      <alignment horizontal="center" vertical="top" wrapText="1"/>
    </xf>
    <xf numFmtId="0" fontId="10" fillId="0" borderId="0" xfId="0" applyFont="1" applyAlignment="1">
      <alignment horizontal="center" vertical="top" wrapText="1"/>
    </xf>
    <xf numFmtId="0" fontId="10" fillId="0" borderId="14" xfId="0" applyFont="1" applyBorder="1" applyAlignment="1">
      <alignment horizontal="center" vertical="top" wrapText="1"/>
    </xf>
    <xf numFmtId="0" fontId="8" fillId="0" borderId="11" xfId="0" applyFont="1" applyBorder="1" applyAlignment="1">
      <alignment horizontal="left" vertical="center" wrapText="1"/>
    </xf>
    <xf numFmtId="0" fontId="8" fillId="0" borderId="6" xfId="0" applyFont="1" applyBorder="1" applyAlignment="1">
      <alignment horizontal="left" vertical="center" wrapText="1"/>
    </xf>
    <xf numFmtId="0" fontId="10" fillId="0" borderId="5" xfId="0" applyFont="1" applyBorder="1" applyAlignment="1">
      <alignment horizontal="center" vertical="top" wrapText="1"/>
    </xf>
    <xf numFmtId="0" fontId="10" fillId="0" borderId="16" xfId="0" applyFont="1" applyBorder="1" applyAlignment="1">
      <alignment horizontal="center" vertical="top" wrapText="1"/>
    </xf>
    <xf numFmtId="0" fontId="10" fillId="0" borderId="4" xfId="0" applyFont="1" applyBorder="1" applyAlignment="1">
      <alignment horizontal="left" vertical="center" wrapText="1"/>
    </xf>
    <xf numFmtId="0" fontId="10" fillId="0" borderId="14" xfId="0" applyFont="1" applyBorder="1" applyAlignment="1">
      <alignment horizontal="left" vertical="center"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3" xfId="0"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14" xfId="0" applyFont="1" applyBorder="1" applyAlignment="1">
      <alignment horizontal="left" vertical="top" wrapText="1"/>
    </xf>
    <xf numFmtId="0" fontId="10" fillId="0" borderId="0" xfId="0" applyFont="1" applyAlignment="1">
      <alignment horizontal="left" vertical="center" wrapText="1"/>
    </xf>
    <xf numFmtId="0" fontId="10" fillId="0" borderId="10" xfId="0" applyFont="1" applyBorder="1" applyAlignment="1">
      <alignment horizontal="left" vertical="center" wrapText="1"/>
    </xf>
    <xf numFmtId="0" fontId="10" fillId="0" borderId="13" xfId="0" applyFont="1" applyBorder="1" applyAlignment="1">
      <alignment horizontal="left" vertical="center" wrapText="1"/>
    </xf>
    <xf numFmtId="0" fontId="10" fillId="9" borderId="2" xfId="0" applyFont="1" applyFill="1" applyBorder="1" applyAlignment="1">
      <alignment horizontal="left" vertical="top" wrapText="1"/>
    </xf>
    <xf numFmtId="0" fontId="10" fillId="9" borderId="15" xfId="0" applyFont="1" applyFill="1" applyBorder="1" applyAlignment="1">
      <alignment horizontal="left" vertical="top" wrapText="1"/>
    </xf>
    <xf numFmtId="0" fontId="10" fillId="5" borderId="2" xfId="0" applyFont="1" applyFill="1" applyBorder="1" applyAlignment="1">
      <alignment horizontal="left" vertical="top" wrapText="1"/>
    </xf>
    <xf numFmtId="0" fontId="10" fillId="5" borderId="3" xfId="0" applyFont="1" applyFill="1" applyBorder="1" applyAlignment="1">
      <alignment horizontal="left" vertical="top" wrapText="1"/>
    </xf>
    <xf numFmtId="0" fontId="10" fillId="5" borderId="15" xfId="0" applyFont="1" applyFill="1" applyBorder="1" applyAlignment="1">
      <alignment horizontal="left" vertical="top" wrapText="1"/>
    </xf>
    <xf numFmtId="0" fontId="8" fillId="0" borderId="8" xfId="0" applyFont="1" applyBorder="1" applyAlignment="1">
      <alignment horizontal="left" vertical="top" wrapText="1"/>
    </xf>
    <xf numFmtId="0" fontId="8" fillId="0" borderId="12" xfId="0" applyFont="1" applyBorder="1" applyAlignment="1">
      <alignment horizontal="left" vertical="top" wrapText="1"/>
    </xf>
    <xf numFmtId="0" fontId="10" fillId="6" borderId="2" xfId="0" applyFont="1" applyFill="1" applyBorder="1" applyAlignment="1">
      <alignment horizontal="left" vertical="top" wrapText="1"/>
    </xf>
    <xf numFmtId="0" fontId="10" fillId="6" borderId="15" xfId="0" applyFont="1" applyFill="1" applyBorder="1" applyAlignment="1">
      <alignment horizontal="left" vertical="top" wrapText="1"/>
    </xf>
    <xf numFmtId="0" fontId="10" fillId="0" borderId="3" xfId="0" applyFont="1" applyBorder="1" applyAlignment="1">
      <alignment horizontal="center" vertical="top" wrapText="1"/>
    </xf>
    <xf numFmtId="0" fontId="12" fillId="0" borderId="2" xfId="0" applyFont="1" applyBorder="1" applyAlignment="1">
      <alignment horizontal="center" vertical="top"/>
    </xf>
    <xf numFmtId="0" fontId="12" fillId="0" borderId="3" xfId="0" applyFont="1" applyBorder="1" applyAlignment="1">
      <alignment horizontal="center" vertical="top"/>
    </xf>
    <xf numFmtId="0" fontId="12" fillId="0" borderId="15" xfId="0" applyFont="1" applyBorder="1" applyAlignment="1">
      <alignment horizontal="center" vertical="top"/>
    </xf>
    <xf numFmtId="0" fontId="10" fillId="5" borderId="10" xfId="0" applyFont="1" applyFill="1" applyBorder="1" applyAlignment="1">
      <alignment horizontal="left" vertical="top" wrapText="1"/>
    </xf>
    <xf numFmtId="0" fontId="10" fillId="5" borderId="11" xfId="0" applyFont="1" applyFill="1" applyBorder="1" applyAlignment="1">
      <alignment horizontal="left" vertical="top" wrapText="1"/>
    </xf>
    <xf numFmtId="0" fontId="10" fillId="5" borderId="13" xfId="0" applyFont="1" applyFill="1" applyBorder="1" applyAlignment="1">
      <alignment horizontal="left" vertical="top" wrapText="1"/>
    </xf>
    <xf numFmtId="0" fontId="10" fillId="5" borderId="5" xfId="0" applyFont="1" applyFill="1" applyBorder="1" applyAlignment="1">
      <alignment horizontal="left" vertical="top" wrapText="1"/>
    </xf>
    <xf numFmtId="0" fontId="10" fillId="5" borderId="6" xfId="0" applyFont="1" applyFill="1" applyBorder="1" applyAlignment="1">
      <alignment horizontal="left" vertical="top" wrapText="1"/>
    </xf>
    <xf numFmtId="0" fontId="10" fillId="5" borderId="16" xfId="0" applyFont="1" applyFill="1" applyBorder="1" applyAlignment="1">
      <alignment horizontal="left" vertical="top" wrapText="1"/>
    </xf>
    <xf numFmtId="0" fontId="10" fillId="0" borderId="10" xfId="0" applyFont="1" applyBorder="1" applyAlignment="1">
      <alignment horizontal="left" vertical="center" wrapText="1" indent="1"/>
    </xf>
    <xf numFmtId="0" fontId="10" fillId="0" borderId="13" xfId="0" applyFont="1" applyBorder="1" applyAlignment="1">
      <alignment horizontal="left" vertical="center" wrapText="1" indent="1"/>
    </xf>
    <xf numFmtId="0" fontId="10" fillId="0" borderId="5" xfId="0" applyFont="1" applyBorder="1" applyAlignment="1">
      <alignment horizontal="left" vertical="center" wrapText="1" indent="1"/>
    </xf>
    <xf numFmtId="0" fontId="10" fillId="0" borderId="16" xfId="0" applyFont="1" applyBorder="1" applyAlignment="1">
      <alignment horizontal="left" vertical="center" wrapText="1" indent="1"/>
    </xf>
    <xf numFmtId="0" fontId="10" fillId="0" borderId="11" xfId="0" applyFont="1" applyBorder="1" applyAlignment="1">
      <alignment horizontal="left" vertical="center" wrapText="1" indent="1"/>
    </xf>
    <xf numFmtId="0" fontId="10" fillId="0" borderId="6" xfId="0" applyFont="1" applyBorder="1" applyAlignment="1">
      <alignment horizontal="left" vertical="center" wrapText="1" indent="1"/>
    </xf>
    <xf numFmtId="0" fontId="10" fillId="6" borderId="10"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5" xfId="0" applyFont="1" applyFill="1" applyBorder="1" applyAlignment="1">
      <alignment horizontal="left" vertical="top" wrapText="1"/>
    </xf>
    <xf numFmtId="0" fontId="10" fillId="6" borderId="16" xfId="0" applyFont="1" applyFill="1" applyBorder="1" applyAlignment="1">
      <alignment horizontal="left" vertical="top" wrapText="1"/>
    </xf>
    <xf numFmtId="0" fontId="10" fillId="0" borderId="0" xfId="0" applyFont="1" applyAlignment="1">
      <alignment horizontal="left" vertical="top" wrapText="1" indent="1"/>
    </xf>
    <xf numFmtId="0" fontId="10" fillId="0" borderId="0" xfId="0" applyFont="1" applyAlignment="1">
      <alignment horizontal="left" vertical="top" wrapText="1"/>
    </xf>
    <xf numFmtId="0" fontId="12" fillId="0" borderId="10" xfId="0" applyFont="1" applyBorder="1" applyAlignment="1">
      <alignment horizontal="center" vertical="top"/>
    </xf>
    <xf numFmtId="0" fontId="12" fillId="0" borderId="13" xfId="0" applyFont="1" applyBorder="1" applyAlignment="1">
      <alignment horizontal="center" vertical="top"/>
    </xf>
    <xf numFmtId="0" fontId="12" fillId="0" borderId="5" xfId="0" applyFont="1" applyBorder="1" applyAlignment="1">
      <alignment horizontal="center" vertical="top"/>
    </xf>
    <xf numFmtId="0" fontId="12" fillId="0" borderId="16" xfId="0" applyFont="1" applyBorder="1" applyAlignment="1">
      <alignment horizontal="center" vertical="top"/>
    </xf>
    <xf numFmtId="0" fontId="10" fillId="9" borderId="10" xfId="0" applyFont="1" applyFill="1" applyBorder="1" applyAlignment="1">
      <alignment horizontal="left" vertical="top" wrapText="1"/>
    </xf>
    <xf numFmtId="0" fontId="10" fillId="9" borderId="13" xfId="0" applyFont="1" applyFill="1" applyBorder="1" applyAlignment="1">
      <alignment horizontal="left" vertical="top" wrapText="1"/>
    </xf>
    <xf numFmtId="0" fontId="10" fillId="9" borderId="5" xfId="0" applyFont="1" applyFill="1" applyBorder="1" applyAlignment="1">
      <alignment horizontal="left" vertical="top" wrapText="1"/>
    </xf>
    <xf numFmtId="0" fontId="10" fillId="9" borderId="16" xfId="0" applyFont="1" applyFill="1" applyBorder="1" applyAlignment="1">
      <alignment horizontal="left" vertical="top" wrapText="1"/>
    </xf>
    <xf numFmtId="0" fontId="10" fillId="0" borderId="5" xfId="0" applyFont="1" applyBorder="1" applyAlignment="1">
      <alignment horizontal="left" vertical="center" wrapText="1"/>
    </xf>
    <xf numFmtId="0" fontId="10" fillId="0" borderId="16" xfId="0" applyFont="1" applyBorder="1" applyAlignment="1">
      <alignment horizontal="left" vertical="center"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8" fillId="0" borderId="16" xfId="0" applyFont="1" applyBorder="1" applyAlignment="1">
      <alignment horizontal="left" vertical="top" wrapText="1"/>
    </xf>
    <xf numFmtId="0" fontId="10" fillId="5" borderId="10" xfId="0" applyFont="1" applyFill="1" applyBorder="1" applyAlignment="1">
      <alignment horizontal="left" vertical="top" wrapText="1" indent="1"/>
    </xf>
    <xf numFmtId="0" fontId="10" fillId="5" borderId="11" xfId="0" applyFont="1" applyFill="1" applyBorder="1" applyAlignment="1">
      <alignment horizontal="left" vertical="top" wrapText="1" indent="1"/>
    </xf>
    <xf numFmtId="0" fontId="10" fillId="5" borderId="13" xfId="0" applyFont="1" applyFill="1" applyBorder="1" applyAlignment="1">
      <alignment horizontal="left" vertical="top" wrapText="1" indent="1"/>
    </xf>
    <xf numFmtId="0" fontId="10" fillId="5" borderId="5" xfId="0" applyFont="1" applyFill="1" applyBorder="1" applyAlignment="1">
      <alignment horizontal="left" vertical="top" wrapText="1" indent="1"/>
    </xf>
    <xf numFmtId="0" fontId="10" fillId="5" borderId="6" xfId="0" applyFont="1" applyFill="1" applyBorder="1" applyAlignment="1">
      <alignment horizontal="left" vertical="top" wrapText="1" indent="1"/>
    </xf>
    <xf numFmtId="0" fontId="10" fillId="5" borderId="16" xfId="0" applyFont="1" applyFill="1" applyBorder="1" applyAlignment="1">
      <alignment horizontal="left" vertical="top" wrapText="1" indent="1"/>
    </xf>
    <xf numFmtId="0" fontId="10" fillId="0" borderId="10"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6" xfId="0" applyFont="1" applyBorder="1" applyAlignment="1">
      <alignment horizontal="center" vertical="center" wrapText="1"/>
    </xf>
    <xf numFmtId="0" fontId="12" fillId="5" borderId="2" xfId="0" applyFont="1" applyFill="1" applyBorder="1" applyAlignment="1">
      <alignment horizontal="center" vertical="top"/>
    </xf>
    <xf numFmtId="0" fontId="12" fillId="5" borderId="3" xfId="0" applyFont="1" applyFill="1" applyBorder="1" applyAlignment="1">
      <alignment horizontal="center" vertical="top"/>
    </xf>
    <xf numFmtId="0" fontId="12" fillId="5" borderId="15" xfId="0" applyFont="1" applyFill="1" applyBorder="1" applyAlignment="1">
      <alignment horizontal="center" vertical="top"/>
    </xf>
    <xf numFmtId="0" fontId="8" fillId="0" borderId="9" xfId="0" applyFont="1" applyBorder="1" applyAlignment="1">
      <alignment horizontal="left" vertical="top" wrapText="1"/>
    </xf>
    <xf numFmtId="0" fontId="12" fillId="0" borderId="4" xfId="0" applyFont="1" applyBorder="1" applyAlignment="1">
      <alignment horizontal="center" vertical="top"/>
    </xf>
    <xf numFmtId="0" fontId="12" fillId="0" borderId="14" xfId="0" applyFont="1" applyBorder="1" applyAlignment="1">
      <alignment horizontal="center" vertical="top"/>
    </xf>
    <xf numFmtId="0" fontId="10" fillId="0" borderId="10" xfId="0" applyFont="1" applyBorder="1" applyAlignment="1">
      <alignment horizontal="left" wrapText="1" indent="1"/>
    </xf>
    <xf numFmtId="0" fontId="10" fillId="0" borderId="13" xfId="0" applyFont="1" applyBorder="1" applyAlignment="1">
      <alignment horizontal="left" wrapText="1" indent="1"/>
    </xf>
    <xf numFmtId="0" fontId="10" fillId="0" borderId="4" xfId="0" applyFont="1" applyBorder="1" applyAlignment="1">
      <alignment horizontal="left" wrapText="1" indent="1"/>
    </xf>
    <xf numFmtId="0" fontId="10" fillId="0" borderId="14" xfId="0" applyFont="1" applyBorder="1" applyAlignment="1">
      <alignment horizontal="left" wrapText="1" indent="1"/>
    </xf>
    <xf numFmtId="0" fontId="10" fillId="0" borderId="5" xfId="0" applyFont="1" applyBorder="1" applyAlignment="1">
      <alignment horizontal="left" wrapText="1" indent="1"/>
    </xf>
    <xf numFmtId="0" fontId="10" fillId="0" borderId="16" xfId="0" applyFont="1" applyBorder="1" applyAlignment="1">
      <alignment horizontal="left" wrapText="1" indent="1"/>
    </xf>
    <xf numFmtId="0" fontId="10" fillId="0" borderId="4" xfId="0" applyFont="1" applyBorder="1" applyAlignment="1">
      <alignment horizontal="center" vertical="center" wrapText="1"/>
    </xf>
    <xf numFmtId="0" fontId="10" fillId="0" borderId="14" xfId="0" applyFont="1" applyBorder="1" applyAlignment="1">
      <alignment horizontal="center" vertical="center" wrapText="1"/>
    </xf>
    <xf numFmtId="0" fontId="12" fillId="5" borderId="10" xfId="0" applyFont="1" applyFill="1" applyBorder="1" applyAlignment="1">
      <alignment horizontal="center" vertical="top"/>
    </xf>
    <xf numFmtId="0" fontId="12" fillId="5" borderId="11" xfId="0" applyFont="1" applyFill="1" applyBorder="1" applyAlignment="1">
      <alignment horizontal="center" vertical="top"/>
    </xf>
    <xf numFmtId="0" fontId="12" fillId="5" borderId="13" xfId="0" applyFont="1" applyFill="1" applyBorder="1" applyAlignment="1">
      <alignment horizontal="center" vertical="top"/>
    </xf>
    <xf numFmtId="0" fontId="12" fillId="5" borderId="5" xfId="0" applyFont="1" applyFill="1" applyBorder="1" applyAlignment="1">
      <alignment horizontal="center" vertical="top"/>
    </xf>
    <xf numFmtId="0" fontId="12" fillId="5" borderId="6" xfId="0" applyFont="1" applyFill="1" applyBorder="1" applyAlignment="1">
      <alignment horizontal="center" vertical="top"/>
    </xf>
    <xf numFmtId="0" fontId="12" fillId="5" borderId="16" xfId="0" applyFont="1" applyFill="1" applyBorder="1" applyAlignment="1">
      <alignment horizontal="center" vertical="top"/>
    </xf>
    <xf numFmtId="0" fontId="12" fillId="5" borderId="4" xfId="0" applyFont="1" applyFill="1" applyBorder="1" applyAlignment="1">
      <alignment horizontal="center" vertical="top"/>
    </xf>
    <xf numFmtId="0" fontId="12" fillId="5" borderId="0" xfId="0" applyFont="1" applyFill="1" applyAlignment="1">
      <alignment horizontal="center" vertical="top"/>
    </xf>
    <xf numFmtId="0" fontId="12" fillId="5" borderId="14" xfId="0" applyFont="1" applyFill="1" applyBorder="1" applyAlignment="1">
      <alignment horizontal="center" vertical="top"/>
    </xf>
    <xf numFmtId="0" fontId="12" fillId="0" borderId="11" xfId="0" applyFont="1" applyBorder="1" applyAlignment="1">
      <alignment horizontal="center" vertical="top"/>
    </xf>
    <xf numFmtId="0" fontId="12" fillId="0" borderId="6" xfId="0" applyFont="1" applyBorder="1" applyAlignment="1">
      <alignment horizontal="center" vertical="top"/>
    </xf>
    <xf numFmtId="0" fontId="12" fillId="5" borderId="10" xfId="0" applyFont="1" applyFill="1" applyBorder="1" applyAlignment="1">
      <alignment horizontal="center" vertical="center"/>
    </xf>
    <xf numFmtId="0" fontId="12" fillId="5" borderId="11" xfId="0" applyFont="1" applyFill="1" applyBorder="1" applyAlignment="1">
      <alignment horizontal="center" vertical="center"/>
    </xf>
    <xf numFmtId="0" fontId="12" fillId="5" borderId="13"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6" xfId="0" applyFont="1" applyFill="1" applyBorder="1" applyAlignment="1">
      <alignment horizontal="center" vertical="center"/>
    </xf>
    <xf numFmtId="0" fontId="12" fillId="5" borderId="16" xfId="0" applyFont="1" applyFill="1" applyBorder="1" applyAlignment="1">
      <alignment horizontal="center" vertical="center"/>
    </xf>
    <xf numFmtId="0" fontId="10" fillId="5" borderId="4" xfId="0" applyFont="1" applyFill="1" applyBorder="1" applyAlignment="1">
      <alignment horizontal="center" vertical="top" wrapText="1"/>
    </xf>
    <xf numFmtId="0" fontId="10" fillId="5" borderId="0" xfId="0" applyFont="1" applyFill="1" applyAlignment="1">
      <alignment horizontal="center" vertical="top" wrapText="1"/>
    </xf>
    <xf numFmtId="0" fontId="10" fillId="5" borderId="14" xfId="0" applyFont="1" applyFill="1" applyBorder="1" applyAlignment="1">
      <alignment horizontal="center" vertical="top" wrapText="1"/>
    </xf>
    <xf numFmtId="0" fontId="10" fillId="5" borderId="10" xfId="0" applyFont="1" applyFill="1" applyBorder="1" applyAlignment="1">
      <alignment horizontal="left" wrapText="1"/>
    </xf>
    <xf numFmtId="0" fontId="10" fillId="5" borderId="11" xfId="0" applyFont="1" applyFill="1" applyBorder="1" applyAlignment="1">
      <alignment horizontal="left" wrapText="1"/>
    </xf>
    <xf numFmtId="0" fontId="10" fillId="5" borderId="13" xfId="0" applyFont="1" applyFill="1" applyBorder="1" applyAlignment="1">
      <alignment horizontal="left" wrapText="1"/>
    </xf>
    <xf numFmtId="0" fontId="10" fillId="5" borderId="4" xfId="0" applyFont="1" applyFill="1" applyBorder="1" applyAlignment="1">
      <alignment horizontal="left" wrapText="1"/>
    </xf>
    <xf numFmtId="0" fontId="10" fillId="5" borderId="0" xfId="0" applyFont="1" applyFill="1" applyAlignment="1">
      <alignment horizontal="left" wrapText="1"/>
    </xf>
    <xf numFmtId="0" fontId="10" fillId="5" borderId="1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16" xfId="0" applyFont="1" applyFill="1" applyBorder="1" applyAlignment="1">
      <alignment horizontal="left" wrapText="1"/>
    </xf>
    <xf numFmtId="0" fontId="10" fillId="0" borderId="0" xfId="0" applyFont="1" applyAlignment="1">
      <alignment horizontal="left" wrapText="1" indent="1"/>
    </xf>
    <xf numFmtId="0" fontId="8" fillId="0" borderId="0" xfId="0" applyFont="1" applyAlignment="1">
      <alignment horizontal="left" vertical="top"/>
    </xf>
    <xf numFmtId="0" fontId="10" fillId="0" borderId="4" xfId="0" applyFont="1" applyBorder="1" applyAlignment="1">
      <alignment horizontal="left" vertical="center" wrapText="1" indent="1"/>
    </xf>
    <xf numFmtId="0" fontId="10" fillId="0" borderId="14" xfId="0" applyFont="1" applyBorder="1" applyAlignment="1">
      <alignment horizontal="left" vertical="center" wrapText="1" indent="1"/>
    </xf>
    <xf numFmtId="0" fontId="10" fillId="0" borderId="12" xfId="0" applyFont="1" applyBorder="1" applyAlignment="1">
      <alignment horizontal="left" vertical="center" wrapText="1"/>
    </xf>
    <xf numFmtId="0" fontId="8" fillId="0" borderId="8" xfId="0" applyFont="1" applyBorder="1" applyAlignment="1">
      <alignment horizontal="left" vertical="center" wrapText="1"/>
    </xf>
    <xf numFmtId="0" fontId="10" fillId="9" borderId="3" xfId="0" applyFont="1" applyFill="1" applyBorder="1" applyAlignment="1">
      <alignment horizontal="left" vertical="top" wrapText="1"/>
    </xf>
    <xf numFmtId="0" fontId="8" fillId="5" borderId="4"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4" xfId="0" applyFont="1" applyFill="1" applyBorder="1" applyAlignment="1">
      <alignment horizontal="left" vertical="center" wrapText="1"/>
    </xf>
    <xf numFmtId="0" fontId="10" fillId="9" borderId="4" xfId="0" applyFont="1" applyFill="1" applyBorder="1" applyAlignment="1">
      <alignment horizontal="left" vertical="top" wrapText="1"/>
    </xf>
    <xf numFmtId="0" fontId="10" fillId="9" borderId="14" xfId="0" applyFont="1" applyFill="1" applyBorder="1" applyAlignment="1">
      <alignment horizontal="left" vertical="top" wrapText="1"/>
    </xf>
    <xf numFmtId="0" fontId="10" fillId="0" borderId="0" xfId="0" applyFont="1" applyAlignment="1">
      <alignment horizontal="left" vertical="center" wrapText="1" indent="1"/>
    </xf>
    <xf numFmtId="0" fontId="10" fillId="9" borderId="11" xfId="0" applyFont="1" applyFill="1" applyBorder="1" applyAlignment="1">
      <alignment horizontal="left" vertical="top" wrapText="1"/>
    </xf>
    <xf numFmtId="0" fontId="10" fillId="9" borderId="6" xfId="0" applyFont="1" applyFill="1" applyBorder="1" applyAlignment="1">
      <alignment horizontal="left" vertical="top" wrapText="1"/>
    </xf>
    <xf numFmtId="0" fontId="12" fillId="9" borderId="2" xfId="0" applyFont="1" applyFill="1" applyBorder="1" applyAlignment="1">
      <alignment horizontal="center" vertical="top"/>
    </xf>
    <xf numFmtId="0" fontId="12" fillId="9" borderId="15" xfId="0" applyFont="1" applyFill="1" applyBorder="1" applyAlignment="1">
      <alignment horizontal="center" vertical="top"/>
    </xf>
    <xf numFmtId="0" fontId="11" fillId="0" borderId="4" xfId="0" applyFont="1" applyBorder="1" applyAlignment="1">
      <alignment horizontal="center" vertical="top" wrapText="1"/>
    </xf>
    <xf numFmtId="0" fontId="11" fillId="0" borderId="0" xfId="0" applyFont="1" applyAlignment="1">
      <alignment horizontal="center" vertical="top" wrapText="1"/>
    </xf>
    <xf numFmtId="0" fontId="11" fillId="0" borderId="14" xfId="0" applyFont="1" applyBorder="1" applyAlignment="1">
      <alignment horizontal="center" vertical="top" wrapText="1"/>
    </xf>
    <xf numFmtId="0" fontId="10" fillId="0" borderId="5" xfId="0" applyFont="1" applyBorder="1" applyAlignment="1">
      <alignment horizontal="left" wrapText="1"/>
    </xf>
    <xf numFmtId="0" fontId="10" fillId="0" borderId="16" xfId="0" applyFont="1" applyBorder="1" applyAlignment="1">
      <alignment horizontal="left" wrapText="1"/>
    </xf>
    <xf numFmtId="0" fontId="10" fillId="0" borderId="4" xfId="0" applyFont="1" applyBorder="1" applyAlignment="1">
      <alignment horizontal="left" wrapText="1"/>
    </xf>
    <xf numFmtId="0" fontId="10" fillId="0" borderId="14" xfId="0" applyFont="1" applyBorder="1" applyAlignment="1">
      <alignment horizontal="left" wrapText="1"/>
    </xf>
    <xf numFmtId="0" fontId="12" fillId="5" borderId="10" xfId="0" applyFont="1" applyFill="1" applyBorder="1" applyAlignment="1">
      <alignment horizontal="center"/>
    </xf>
    <xf numFmtId="0" fontId="12" fillId="5" borderId="11" xfId="0" applyFont="1" applyFill="1" applyBorder="1" applyAlignment="1">
      <alignment horizontal="center"/>
    </xf>
    <xf numFmtId="0" fontId="12" fillId="5" borderId="13" xfId="0" applyFont="1" applyFill="1" applyBorder="1" applyAlignment="1">
      <alignment horizontal="center"/>
    </xf>
    <xf numFmtId="0" fontId="12" fillId="5" borderId="4" xfId="0" applyFont="1" applyFill="1" applyBorder="1" applyAlignment="1">
      <alignment horizontal="center"/>
    </xf>
    <xf numFmtId="0" fontId="12" fillId="5" borderId="0" xfId="0" applyFont="1" applyFill="1" applyAlignment="1">
      <alignment horizontal="center"/>
    </xf>
    <xf numFmtId="0" fontId="12" fillId="5" borderId="14" xfId="0" applyFont="1" applyFill="1" applyBorder="1" applyAlignment="1">
      <alignment horizontal="center"/>
    </xf>
    <xf numFmtId="0" fontId="12" fillId="5" borderId="5" xfId="0" applyFont="1" applyFill="1" applyBorder="1" applyAlignment="1">
      <alignment horizontal="center"/>
    </xf>
    <xf numFmtId="0" fontId="12" fillId="5" borderId="6" xfId="0" applyFont="1" applyFill="1" applyBorder="1" applyAlignment="1">
      <alignment horizontal="center"/>
    </xf>
    <xf numFmtId="0" fontId="12" fillId="5" borderId="16" xfId="0" applyFont="1" applyFill="1" applyBorder="1" applyAlignment="1">
      <alignment horizontal="center"/>
    </xf>
    <xf numFmtId="0" fontId="10" fillId="0" borderId="10" xfId="0" applyFont="1" applyBorder="1" applyAlignment="1">
      <alignment horizontal="left" wrapText="1"/>
    </xf>
    <xf numFmtId="0" fontId="10" fillId="0" borderId="13" xfId="0" applyFont="1" applyBorder="1" applyAlignment="1">
      <alignment horizontal="left" wrapText="1"/>
    </xf>
    <xf numFmtId="0" fontId="10" fillId="0" borderId="11" xfId="0" applyFont="1" applyBorder="1" applyAlignment="1">
      <alignment horizontal="left" wrapText="1" indent="1"/>
    </xf>
    <xf numFmtId="0" fontId="10" fillId="0" borderId="6" xfId="0" applyFont="1" applyBorder="1" applyAlignment="1">
      <alignment horizontal="left" wrapText="1" indent="1"/>
    </xf>
    <xf numFmtId="0" fontId="12" fillId="9" borderId="10" xfId="0" applyFont="1" applyFill="1" applyBorder="1" applyAlignment="1">
      <alignment horizontal="center" vertical="top"/>
    </xf>
    <xf numFmtId="0" fontId="12" fillId="9" borderId="13" xfId="0" applyFont="1" applyFill="1" applyBorder="1" applyAlignment="1">
      <alignment horizontal="center" vertical="top"/>
    </xf>
    <xf numFmtId="0" fontId="12" fillId="9" borderId="5" xfId="0" applyFont="1" applyFill="1" applyBorder="1" applyAlignment="1">
      <alignment horizontal="center" vertical="top"/>
    </xf>
    <xf numFmtId="0" fontId="12" fillId="9" borderId="16" xfId="0" applyFont="1" applyFill="1" applyBorder="1" applyAlignment="1">
      <alignment horizontal="center" vertical="top"/>
    </xf>
    <xf numFmtId="0" fontId="12" fillId="5" borderId="4" xfId="0" applyFont="1" applyFill="1" applyBorder="1" applyAlignment="1">
      <alignment horizontal="center" vertical="center"/>
    </xf>
    <xf numFmtId="0" fontId="12" fillId="5" borderId="0" xfId="0" applyFont="1" applyFill="1" applyAlignment="1">
      <alignment horizontal="center" vertical="center"/>
    </xf>
    <xf numFmtId="0" fontId="12" fillId="5" borderId="14" xfId="0" applyFont="1" applyFill="1" applyBorder="1" applyAlignment="1">
      <alignment horizontal="center" vertical="center"/>
    </xf>
    <xf numFmtId="0" fontId="10" fillId="0" borderId="0" xfId="0" applyFont="1" applyAlignment="1">
      <alignment horizontal="left" wrapText="1"/>
    </xf>
    <xf numFmtId="0" fontId="12" fillId="9" borderId="6" xfId="0" applyFont="1" applyFill="1" applyBorder="1" applyAlignment="1">
      <alignment horizontal="center" vertical="top"/>
    </xf>
    <xf numFmtId="0" fontId="8" fillId="9" borderId="10" xfId="0" applyFont="1" applyFill="1" applyBorder="1" applyAlignment="1">
      <alignment horizontal="left" wrapText="1"/>
    </xf>
    <xf numFmtId="0" fontId="8" fillId="9" borderId="11" xfId="0" applyFont="1" applyFill="1" applyBorder="1" applyAlignment="1">
      <alignment horizontal="left" wrapText="1"/>
    </xf>
    <xf numFmtId="0" fontId="8" fillId="9" borderId="13" xfId="0" applyFont="1" applyFill="1" applyBorder="1" applyAlignment="1">
      <alignment horizontal="left" wrapText="1"/>
    </xf>
    <xf numFmtId="0" fontId="8" fillId="9" borderId="4" xfId="0" applyFont="1" applyFill="1" applyBorder="1" applyAlignment="1">
      <alignment horizontal="left" wrapText="1"/>
    </xf>
    <xf numFmtId="0" fontId="8" fillId="9" borderId="14" xfId="0" applyFont="1" applyFill="1" applyBorder="1" applyAlignment="1">
      <alignment horizontal="left" wrapText="1"/>
    </xf>
    <xf numFmtId="0" fontId="8" fillId="9" borderId="0" xfId="0" applyFont="1" applyFill="1" applyAlignment="1">
      <alignment horizontal="left" wrapText="1"/>
    </xf>
    <xf numFmtId="0" fontId="12" fillId="9" borderId="4" xfId="0" applyFont="1" applyFill="1" applyBorder="1" applyAlignment="1">
      <alignment horizontal="center" vertical="top"/>
    </xf>
    <xf numFmtId="0" fontId="12" fillId="9" borderId="14" xfId="0" applyFont="1" applyFill="1" applyBorder="1" applyAlignment="1">
      <alignment horizontal="center" vertical="top"/>
    </xf>
    <xf numFmtId="0" fontId="12" fillId="9" borderId="0" xfId="0" applyFont="1" applyFill="1" applyAlignment="1">
      <alignment horizontal="center" vertical="top"/>
    </xf>
    <xf numFmtId="0" fontId="8" fillId="9" borderId="5" xfId="0" applyFont="1" applyFill="1" applyBorder="1" applyAlignment="1">
      <alignment horizontal="left" wrapText="1"/>
    </xf>
    <xf numFmtId="0" fontId="8" fillId="9" borderId="16" xfId="0" applyFont="1" applyFill="1" applyBorder="1" applyAlignment="1">
      <alignment horizontal="left" wrapText="1"/>
    </xf>
    <xf numFmtId="0" fontId="8" fillId="9" borderId="6" xfId="0" applyFont="1" applyFill="1" applyBorder="1" applyAlignment="1">
      <alignment horizontal="left" wrapText="1"/>
    </xf>
    <xf numFmtId="0" fontId="12" fillId="0" borderId="10" xfId="0" applyFont="1" applyBorder="1" applyAlignment="1">
      <alignment horizontal="center"/>
    </xf>
    <xf numFmtId="0" fontId="12" fillId="0" borderId="13" xfId="0" applyFont="1" applyBorder="1" applyAlignment="1">
      <alignment horizontal="center"/>
    </xf>
    <xf numFmtId="0" fontId="10" fillId="9" borderId="10" xfId="0" applyFont="1" applyFill="1" applyBorder="1" applyAlignment="1">
      <alignment horizontal="left" wrapText="1"/>
    </xf>
    <xf numFmtId="0" fontId="10" fillId="9" borderId="13" xfId="0" applyFont="1" applyFill="1" applyBorder="1" applyAlignment="1">
      <alignment horizontal="left" wrapText="1"/>
    </xf>
    <xf numFmtId="0" fontId="10" fillId="9" borderId="2" xfId="0" applyFont="1" applyFill="1" applyBorder="1" applyAlignment="1">
      <alignment horizontal="left" vertical="center" wrapText="1"/>
    </xf>
    <xf numFmtId="0" fontId="10" fillId="9" borderId="15" xfId="0" applyFont="1" applyFill="1" applyBorder="1" applyAlignment="1">
      <alignment horizontal="left" vertical="center" wrapText="1"/>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15" xfId="0" applyFont="1" applyFill="1" applyBorder="1" applyAlignment="1">
      <alignment horizontal="center" vertical="center"/>
    </xf>
    <xf numFmtId="0" fontId="10" fillId="0" borderId="2" xfId="0" applyFont="1" applyBorder="1" applyAlignment="1">
      <alignment horizontal="left" vertical="center" wrapText="1" indent="1"/>
    </xf>
    <xf numFmtId="0" fontId="10" fillId="0" borderId="15" xfId="0" applyFont="1" applyBorder="1" applyAlignment="1">
      <alignment horizontal="left" vertical="center" wrapText="1" indent="1"/>
    </xf>
    <xf numFmtId="0" fontId="12" fillId="9" borderId="10" xfId="0" applyFont="1" applyFill="1" applyBorder="1" applyAlignment="1">
      <alignment horizontal="center"/>
    </xf>
    <xf numFmtId="0" fontId="12" fillId="9" borderId="11" xfId="0" applyFont="1" applyFill="1" applyBorder="1" applyAlignment="1">
      <alignment horizontal="center"/>
    </xf>
    <xf numFmtId="0" fontId="12" fillId="9" borderId="13" xfId="0" applyFont="1" applyFill="1" applyBorder="1" applyAlignment="1">
      <alignment horizontal="center"/>
    </xf>
    <xf numFmtId="0" fontId="19" fillId="0" borderId="5" xfId="0" applyFont="1" applyBorder="1" applyAlignment="1">
      <alignment horizontal="left" wrapText="1"/>
    </xf>
    <xf numFmtId="0" fontId="19" fillId="0" borderId="16" xfId="0" applyFont="1" applyBorder="1" applyAlignment="1">
      <alignment horizontal="left" wrapText="1"/>
    </xf>
    <xf numFmtId="0" fontId="10" fillId="0" borderId="11" xfId="0" applyFont="1" applyBorder="1" applyAlignment="1">
      <alignment horizontal="left" wrapText="1"/>
    </xf>
    <xf numFmtId="0" fontId="10" fillId="0" borderId="6" xfId="0" applyFont="1" applyBorder="1" applyAlignment="1">
      <alignment horizontal="left"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5" xfId="0" applyFont="1" applyBorder="1" applyAlignment="1">
      <alignment horizontal="center" vertical="center" wrapText="1"/>
    </xf>
    <xf numFmtId="0" fontId="12" fillId="0" borderId="2" xfId="0" applyFont="1" applyBorder="1" applyAlignment="1">
      <alignment horizontal="center" vertical="center"/>
    </xf>
    <xf numFmtId="0" fontId="12" fillId="0" borderId="15" xfId="0" applyFont="1" applyBorder="1" applyAlignment="1">
      <alignment horizontal="center" vertical="center"/>
    </xf>
    <xf numFmtId="0" fontId="10" fillId="0" borderId="2" xfId="0" applyFont="1" applyBorder="1" applyAlignment="1">
      <alignment horizontal="left" vertical="center" wrapText="1"/>
    </xf>
    <xf numFmtId="0" fontId="10" fillId="0" borderId="15" xfId="0" applyFont="1" applyBorder="1" applyAlignment="1">
      <alignment horizontal="left" vertical="center" wrapText="1"/>
    </xf>
    <xf numFmtId="0" fontId="10" fillId="6" borderId="2" xfId="0" applyFont="1" applyFill="1" applyBorder="1" applyAlignment="1">
      <alignment horizontal="left" vertical="center" wrapText="1"/>
    </xf>
    <xf numFmtId="0" fontId="10" fillId="6" borderId="3" xfId="0" applyFont="1" applyFill="1" applyBorder="1" applyAlignment="1">
      <alignment horizontal="left" vertical="center" wrapText="1"/>
    </xf>
    <xf numFmtId="0" fontId="10" fillId="6" borderId="15" xfId="0" applyFont="1" applyFill="1" applyBorder="1" applyAlignment="1">
      <alignment horizontal="left" vertical="center" wrapText="1"/>
    </xf>
    <xf numFmtId="0" fontId="12" fillId="9" borderId="2" xfId="0" applyFont="1" applyFill="1" applyBorder="1" applyAlignment="1">
      <alignment horizontal="center" vertical="center"/>
    </xf>
    <xf numFmtId="0" fontId="12" fillId="9" borderId="15" xfId="0" applyFont="1" applyFill="1" applyBorder="1" applyAlignment="1">
      <alignment horizontal="center" vertical="center"/>
    </xf>
    <xf numFmtId="0" fontId="12" fillId="0" borderId="2" xfId="0" applyFont="1" applyBorder="1" applyAlignment="1">
      <alignment horizontal="center"/>
    </xf>
    <xf numFmtId="0" fontId="12" fillId="0" borderId="15" xfId="0" applyFont="1" applyBorder="1" applyAlignment="1">
      <alignment horizontal="center"/>
    </xf>
    <xf numFmtId="0" fontId="10" fillId="9" borderId="2" xfId="0" applyFont="1" applyFill="1" applyBorder="1" applyAlignment="1">
      <alignment horizontal="left" wrapText="1"/>
    </xf>
    <xf numFmtId="0" fontId="10" fillId="9" borderId="15" xfId="0" applyFont="1" applyFill="1" applyBorder="1" applyAlignment="1">
      <alignment horizontal="left" wrapText="1"/>
    </xf>
    <xf numFmtId="0" fontId="10" fillId="0" borderId="2" xfId="0" applyFont="1" applyBorder="1" applyAlignment="1">
      <alignment horizontal="left" wrapText="1" indent="1"/>
    </xf>
    <xf numFmtId="0" fontId="10" fillId="0" borderId="15" xfId="0" applyFont="1" applyBorder="1" applyAlignment="1">
      <alignment horizontal="left" wrapText="1" indent="1"/>
    </xf>
    <xf numFmtId="0" fontId="18" fillId="0" borderId="10" xfId="0" applyFont="1" applyBorder="1" applyAlignment="1">
      <alignment horizontal="left" wrapText="1"/>
    </xf>
    <xf numFmtId="0" fontId="18" fillId="0" borderId="13" xfId="0" applyFont="1" applyBorder="1" applyAlignment="1">
      <alignment horizontal="left"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15" xfId="0" applyFont="1" applyBorder="1" applyAlignment="1">
      <alignment horizontal="center" wrapText="1"/>
    </xf>
    <xf numFmtId="0" fontId="10" fillId="6" borderId="2" xfId="0" applyFont="1" applyFill="1" applyBorder="1" applyAlignment="1">
      <alignment horizontal="left" wrapText="1"/>
    </xf>
    <xf numFmtId="0" fontId="10" fillId="6" borderId="3" xfId="0" applyFont="1" applyFill="1" applyBorder="1" applyAlignment="1">
      <alignment horizontal="left" wrapText="1"/>
    </xf>
    <xf numFmtId="0" fontId="10" fillId="6" borderId="15" xfId="0" applyFont="1" applyFill="1" applyBorder="1" applyAlignment="1">
      <alignment horizontal="left" wrapText="1"/>
    </xf>
    <xf numFmtId="0" fontId="12" fillId="9" borderId="2" xfId="0" applyFont="1" applyFill="1" applyBorder="1" applyAlignment="1">
      <alignment horizontal="center"/>
    </xf>
    <xf numFmtId="0" fontId="12" fillId="9" borderId="15" xfId="0" applyFont="1" applyFill="1" applyBorder="1" applyAlignment="1">
      <alignment horizontal="center"/>
    </xf>
    <xf numFmtId="0" fontId="10" fillId="9" borderId="3" xfId="0" applyFont="1" applyFill="1" applyBorder="1" applyAlignment="1">
      <alignment horizontal="left" vertical="center" wrapText="1"/>
    </xf>
    <xf numFmtId="0" fontId="10" fillId="0" borderId="2" xfId="0" applyFont="1" applyBorder="1" applyAlignment="1">
      <alignment horizontal="left" wrapText="1"/>
    </xf>
    <xf numFmtId="0" fontId="10" fillId="0" borderId="15" xfId="0" applyFont="1" applyBorder="1" applyAlignment="1">
      <alignment horizontal="left" wrapText="1"/>
    </xf>
    <xf numFmtId="0" fontId="12" fillId="0" borderId="2" xfId="0" applyFont="1" applyBorder="1" applyAlignment="1">
      <alignment horizontal="right" indent="1"/>
    </xf>
    <xf numFmtId="0" fontId="12" fillId="0" borderId="15" xfId="0" applyFont="1" applyBorder="1" applyAlignment="1">
      <alignment horizontal="right" indent="1"/>
    </xf>
    <xf numFmtId="0" fontId="10" fillId="9" borderId="3" xfId="0" applyFont="1" applyFill="1" applyBorder="1" applyAlignment="1">
      <alignment horizontal="left" wrapText="1"/>
    </xf>
    <xf numFmtId="0" fontId="10" fillId="0" borderId="2" xfId="0" applyFont="1" applyBorder="1" applyAlignment="1">
      <alignment horizontal="right" vertical="top" wrapText="1" indent="1"/>
    </xf>
    <xf numFmtId="0" fontId="10" fillId="0" borderId="15" xfId="0" applyFont="1" applyBorder="1" applyAlignment="1">
      <alignment horizontal="right" vertical="top" wrapText="1" indent="1"/>
    </xf>
    <xf numFmtId="0" fontId="12" fillId="0" borderId="2" xfId="0" applyFont="1" applyBorder="1" applyAlignment="1">
      <alignment horizontal="right" vertical="top" indent="1"/>
    </xf>
    <xf numFmtId="0" fontId="12" fillId="0" borderId="15" xfId="0" applyFont="1" applyBorder="1" applyAlignment="1">
      <alignment horizontal="right" vertical="top" indent="1"/>
    </xf>
    <xf numFmtId="0" fontId="10" fillId="7" borderId="2" xfId="0" applyFont="1" applyFill="1" applyBorder="1" applyAlignment="1">
      <alignment horizontal="left" vertical="top" wrapText="1"/>
    </xf>
    <xf numFmtId="0" fontId="10" fillId="7" borderId="3" xfId="0" applyFont="1" applyFill="1" applyBorder="1" applyAlignment="1">
      <alignment horizontal="left" vertical="top" wrapText="1"/>
    </xf>
    <xf numFmtId="0" fontId="10" fillId="7" borderId="15" xfId="0" applyFont="1" applyFill="1" applyBorder="1" applyAlignment="1">
      <alignment horizontal="left" vertical="top" wrapText="1"/>
    </xf>
    <xf numFmtId="0" fontId="12" fillId="0" borderId="10" xfId="0" applyFont="1" applyBorder="1" applyAlignment="1">
      <alignment horizontal="center" vertical="center"/>
    </xf>
    <xf numFmtId="0" fontId="12" fillId="0" borderId="13" xfId="0" applyFont="1" applyBorder="1" applyAlignment="1">
      <alignment horizontal="center" vertical="center"/>
    </xf>
    <xf numFmtId="0" fontId="12" fillId="0" borderId="5" xfId="0" applyFont="1" applyBorder="1" applyAlignment="1">
      <alignment horizontal="center" vertical="center"/>
    </xf>
    <xf numFmtId="0" fontId="12" fillId="0" borderId="16" xfId="0" applyFont="1" applyBorder="1" applyAlignment="1">
      <alignment horizontal="center" vertical="center"/>
    </xf>
    <xf numFmtId="0" fontId="10" fillId="0" borderId="6" xfId="0" applyFont="1" applyBorder="1" applyAlignment="1">
      <alignment horizontal="center" vertical="center" wrapText="1"/>
    </xf>
    <xf numFmtId="0" fontId="10" fillId="7" borderId="10" xfId="0" applyFont="1" applyFill="1" applyBorder="1" applyAlignment="1">
      <alignment horizontal="left" vertical="center" wrapText="1"/>
    </xf>
    <xf numFmtId="0" fontId="10" fillId="7" borderId="11" xfId="0" applyFont="1" applyFill="1" applyBorder="1" applyAlignment="1">
      <alignment horizontal="left" vertical="center" wrapText="1"/>
    </xf>
    <xf numFmtId="0" fontId="10" fillId="7" borderId="13"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10" fillId="7" borderId="6" xfId="0" applyFont="1" applyFill="1" applyBorder="1" applyAlignment="1">
      <alignment horizontal="left" vertical="center" wrapText="1"/>
    </xf>
    <xf numFmtId="0" fontId="10" fillId="7" borderId="16" xfId="0" applyFont="1" applyFill="1" applyBorder="1" applyAlignment="1">
      <alignment horizontal="left" vertical="center" wrapText="1"/>
    </xf>
    <xf numFmtId="0" fontId="10" fillId="0" borderId="11" xfId="0" applyFont="1" applyBorder="1" applyAlignment="1">
      <alignment horizontal="center" vertical="center" wrapText="1"/>
    </xf>
    <xf numFmtId="0" fontId="10" fillId="0" borderId="0" xfId="0" applyFont="1" applyAlignment="1">
      <alignment horizontal="center" vertical="center" wrapText="1"/>
    </xf>
    <xf numFmtId="0" fontId="12" fillId="9" borderId="3" xfId="0" applyFont="1" applyFill="1" applyBorder="1" applyAlignment="1">
      <alignment horizontal="center" vertical="top"/>
    </xf>
    <xf numFmtId="0" fontId="10" fillId="0" borderId="4" xfId="0" applyFont="1" applyBorder="1" applyAlignment="1">
      <alignment horizontal="center" wrapText="1"/>
    </xf>
    <xf numFmtId="0" fontId="10" fillId="0" borderId="0" xfId="0" applyFont="1" applyAlignment="1">
      <alignment horizontal="center" wrapText="1"/>
    </xf>
    <xf numFmtId="0" fontId="10" fillId="0" borderId="14" xfId="0" applyFont="1" applyBorder="1" applyAlignment="1">
      <alignment horizontal="center" wrapText="1"/>
    </xf>
    <xf numFmtId="0" fontId="10" fillId="0" borderId="5" xfId="0" applyFont="1" applyBorder="1" applyAlignment="1">
      <alignment horizontal="center" wrapText="1"/>
    </xf>
    <xf numFmtId="0" fontId="10" fillId="0" borderId="6" xfId="0" applyFont="1" applyBorder="1" applyAlignment="1">
      <alignment horizontal="center" wrapText="1"/>
    </xf>
    <xf numFmtId="0" fontId="10" fillId="0" borderId="16" xfId="0" applyFont="1" applyBorder="1" applyAlignment="1">
      <alignment horizontal="center" wrapText="1"/>
    </xf>
    <xf numFmtId="0" fontId="10" fillId="0" borderId="11" xfId="0" applyFont="1" applyBorder="1" applyAlignment="1">
      <alignment horizontal="left" vertical="center" wrapText="1"/>
    </xf>
    <xf numFmtId="0" fontId="10" fillId="0" borderId="6" xfId="0" applyFont="1" applyBorder="1" applyAlignment="1">
      <alignment horizontal="left" vertical="center" wrapText="1"/>
    </xf>
    <xf numFmtId="0" fontId="10" fillId="0" borderId="10" xfId="0" applyFont="1" applyBorder="1" applyAlignment="1">
      <alignment horizontal="center" wrapText="1"/>
    </xf>
    <xf numFmtId="0" fontId="10" fillId="0" borderId="11" xfId="0" applyFont="1" applyBorder="1" applyAlignment="1">
      <alignment horizontal="center" wrapText="1"/>
    </xf>
    <xf numFmtId="0" fontId="10" fillId="0" borderId="13" xfId="0" applyFont="1" applyBorder="1" applyAlignment="1">
      <alignment horizontal="center" wrapText="1"/>
    </xf>
    <xf numFmtId="0" fontId="10" fillId="9" borderId="2" xfId="0" applyFont="1" applyFill="1" applyBorder="1" applyAlignment="1">
      <alignment horizontal="center" vertical="top" wrapText="1"/>
    </xf>
    <xf numFmtId="0" fontId="10" fillId="9" borderId="15" xfId="0" applyFont="1" applyFill="1" applyBorder="1" applyAlignment="1">
      <alignment horizontal="center" vertical="top" wrapText="1"/>
    </xf>
    <xf numFmtId="0" fontId="12" fillId="5" borderId="10" xfId="0" applyFont="1" applyFill="1" applyBorder="1" applyAlignment="1">
      <alignment horizontal="left" vertical="center"/>
    </xf>
    <xf numFmtId="0" fontId="12" fillId="5" borderId="11" xfId="0" applyFont="1" applyFill="1" applyBorder="1" applyAlignment="1">
      <alignment horizontal="left" vertical="center"/>
    </xf>
    <xf numFmtId="0" fontId="12" fillId="5" borderId="13" xfId="0" applyFont="1" applyFill="1" applyBorder="1" applyAlignment="1">
      <alignment horizontal="left" vertical="center"/>
    </xf>
    <xf numFmtId="0" fontId="12" fillId="5" borderId="4" xfId="0" applyFont="1" applyFill="1" applyBorder="1" applyAlignment="1">
      <alignment horizontal="left" vertical="center"/>
    </xf>
    <xf numFmtId="0" fontId="12" fillId="5" borderId="0" xfId="0" applyFont="1" applyFill="1" applyAlignment="1">
      <alignment horizontal="left" vertical="center"/>
    </xf>
    <xf numFmtId="0" fontId="12" fillId="5" borderId="14" xfId="0" applyFont="1" applyFill="1" applyBorder="1" applyAlignment="1">
      <alignment horizontal="left" vertical="center"/>
    </xf>
    <xf numFmtId="0" fontId="12" fillId="5" borderId="5" xfId="0" applyFont="1" applyFill="1" applyBorder="1" applyAlignment="1">
      <alignment horizontal="left" vertical="center"/>
    </xf>
    <xf numFmtId="0" fontId="12" fillId="5" borderId="6" xfId="0" applyFont="1" applyFill="1" applyBorder="1" applyAlignment="1">
      <alignment horizontal="left" vertical="center"/>
    </xf>
    <xf numFmtId="0" fontId="12" fillId="5" borderId="16" xfId="0" applyFont="1" applyFill="1" applyBorder="1" applyAlignment="1">
      <alignment horizontal="left" vertical="center"/>
    </xf>
    <xf numFmtId="0" fontId="12" fillId="0" borderId="3" xfId="0" applyFont="1" applyBorder="1" applyAlignment="1">
      <alignment horizontal="center" vertical="center"/>
    </xf>
    <xf numFmtId="0" fontId="10" fillId="5" borderId="2" xfId="0" applyFont="1" applyFill="1" applyBorder="1" applyAlignment="1">
      <alignment horizontal="left" vertical="center" wrapText="1"/>
    </xf>
    <xf numFmtId="0" fontId="10" fillId="5" borderId="3" xfId="0" applyFont="1" applyFill="1" applyBorder="1" applyAlignment="1">
      <alignment horizontal="left" vertical="center" wrapText="1"/>
    </xf>
    <xf numFmtId="0" fontId="10" fillId="5" borderId="15" xfId="0" applyFont="1" applyFill="1" applyBorder="1" applyAlignment="1">
      <alignment horizontal="left" vertical="center" wrapText="1"/>
    </xf>
    <xf numFmtId="0" fontId="10" fillId="0" borderId="2" xfId="0" applyFont="1" applyBorder="1" applyAlignment="1">
      <alignment horizontal="right" wrapText="1" indent="1"/>
    </xf>
    <xf numFmtId="0" fontId="10" fillId="0" borderId="15" xfId="0" applyFont="1" applyBorder="1" applyAlignment="1">
      <alignment horizontal="right" wrapText="1" indent="1"/>
    </xf>
    <xf numFmtId="0" fontId="10" fillId="0" borderId="3" xfId="0" applyFont="1" applyBorder="1" applyAlignment="1">
      <alignment horizontal="left" wrapText="1"/>
    </xf>
    <xf numFmtId="0" fontId="10" fillId="0" borderId="2" xfId="0" applyFont="1" applyBorder="1" applyAlignment="1">
      <alignment horizontal="right" vertical="center" wrapText="1" indent="1"/>
    </xf>
    <xf numFmtId="0" fontId="10" fillId="0" borderId="15" xfId="0" applyFont="1" applyBorder="1" applyAlignment="1">
      <alignment horizontal="right" vertical="center" wrapText="1" indent="1"/>
    </xf>
    <xf numFmtId="0" fontId="10" fillId="5" borderId="10" xfId="0" applyFont="1" applyFill="1" applyBorder="1" applyAlignment="1">
      <alignment horizontal="left" vertical="center" wrapText="1"/>
    </xf>
    <xf numFmtId="0" fontId="10" fillId="5" borderId="11"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10" fillId="5" borderId="16" xfId="0" applyFont="1" applyFill="1" applyBorder="1" applyAlignment="1">
      <alignment horizontal="left" vertical="center" wrapText="1"/>
    </xf>
    <xf numFmtId="0" fontId="18" fillId="0" borderId="10" xfId="0" applyFont="1" applyBorder="1" applyAlignment="1">
      <alignment horizontal="left" vertical="center" wrapText="1"/>
    </xf>
    <xf numFmtId="0" fontId="18" fillId="0" borderId="13" xfId="0" applyFont="1" applyBorder="1" applyAlignment="1">
      <alignment horizontal="left" vertical="center" wrapText="1"/>
    </xf>
    <xf numFmtId="0" fontId="19" fillId="0" borderId="4" xfId="0" applyFont="1" applyBorder="1" applyAlignment="1">
      <alignment horizontal="left" vertical="center" wrapText="1"/>
    </xf>
    <xf numFmtId="0" fontId="19" fillId="0" borderId="14" xfId="0" applyFont="1" applyBorder="1" applyAlignment="1">
      <alignment horizontal="left" vertical="center" wrapText="1"/>
    </xf>
    <xf numFmtId="0" fontId="19" fillId="0" borderId="5" xfId="0" applyFont="1" applyBorder="1" applyAlignment="1">
      <alignment horizontal="left" vertical="center" wrapText="1"/>
    </xf>
    <xf numFmtId="0" fontId="19" fillId="0" borderId="16" xfId="0" applyFont="1" applyBorder="1" applyAlignment="1">
      <alignment horizontal="left" vertical="center" wrapText="1"/>
    </xf>
    <xf numFmtId="0" fontId="10" fillId="0" borderId="3" xfId="0" applyFont="1" applyBorder="1" applyAlignment="1">
      <alignment horizontal="left" vertical="center" wrapText="1"/>
    </xf>
    <xf numFmtId="0" fontId="12" fillId="0" borderId="2" xfId="0" applyFont="1" applyBorder="1" applyAlignment="1">
      <alignment horizontal="right" vertical="center" indent="1"/>
    </xf>
    <xf numFmtId="0" fontId="12" fillId="0" borderId="15" xfId="0" applyFont="1" applyBorder="1" applyAlignment="1">
      <alignment horizontal="right" vertical="center" indent="1"/>
    </xf>
    <xf numFmtId="0" fontId="19" fillId="0" borderId="4" xfId="0" applyFont="1" applyBorder="1" applyAlignment="1">
      <alignment horizontal="left" wrapText="1"/>
    </xf>
    <xf numFmtId="0" fontId="19" fillId="0" borderId="14" xfId="0" applyFont="1" applyBorder="1" applyAlignment="1">
      <alignment horizontal="left" wrapText="1"/>
    </xf>
    <xf numFmtId="0" fontId="8" fillId="0" borderId="9" xfId="0" applyFont="1" applyBorder="1" applyAlignment="1">
      <alignment horizontal="left" vertical="center" wrapText="1"/>
    </xf>
    <xf numFmtId="0" fontId="10" fillId="6" borderId="3" xfId="0" applyFont="1" applyFill="1" applyBorder="1" applyAlignment="1">
      <alignment horizontal="left" vertical="top" wrapText="1"/>
    </xf>
    <xf numFmtId="0" fontId="10" fillId="5" borderId="4" xfId="0" applyFont="1" applyFill="1" applyBorder="1" applyAlignment="1">
      <alignment horizontal="left" vertical="center" wrapText="1"/>
    </xf>
    <xf numFmtId="0" fontId="10" fillId="5" borderId="0" xfId="0" applyFont="1" applyFill="1" applyAlignment="1">
      <alignment horizontal="left" vertical="center" wrapText="1"/>
    </xf>
    <xf numFmtId="0" fontId="10" fillId="5" borderId="14" xfId="0" applyFont="1" applyFill="1" applyBorder="1" applyAlignment="1">
      <alignment horizontal="left" vertical="center" wrapText="1"/>
    </xf>
    <xf numFmtId="0" fontId="10" fillId="9" borderId="4" xfId="0" applyFont="1" applyFill="1" applyBorder="1" applyAlignment="1">
      <alignment horizontal="center" vertical="top" wrapText="1"/>
    </xf>
    <xf numFmtId="0" fontId="10" fillId="9" borderId="14" xfId="0" applyFont="1" applyFill="1" applyBorder="1" applyAlignment="1">
      <alignment horizontal="center" vertical="top" wrapText="1"/>
    </xf>
    <xf numFmtId="0" fontId="10" fillId="9" borderId="5" xfId="0" applyFont="1" applyFill="1" applyBorder="1" applyAlignment="1">
      <alignment horizontal="center" vertical="top" wrapText="1"/>
    </xf>
    <xf numFmtId="0" fontId="10" fillId="9" borderId="16" xfId="0" applyFont="1" applyFill="1" applyBorder="1" applyAlignment="1">
      <alignment horizontal="center" vertical="top" wrapText="1"/>
    </xf>
    <xf numFmtId="0" fontId="10" fillId="9" borderId="10" xfId="0" applyFont="1" applyFill="1" applyBorder="1" applyAlignment="1">
      <alignment horizontal="center" vertical="top" wrapText="1"/>
    </xf>
    <xf numFmtId="0" fontId="10" fillId="9" borderId="13" xfId="0" applyFont="1" applyFill="1" applyBorder="1" applyAlignment="1">
      <alignment horizontal="center" vertical="top" wrapText="1"/>
    </xf>
    <xf numFmtId="0" fontId="8" fillId="0" borderId="2" xfId="0" applyFont="1" applyBorder="1" applyAlignment="1">
      <alignment horizontal="left" vertical="center" wrapText="1"/>
    </xf>
    <xf numFmtId="0" fontId="8" fillId="0" borderId="15" xfId="0" applyFont="1" applyBorder="1" applyAlignment="1">
      <alignment horizontal="left" vertical="center" wrapText="1"/>
    </xf>
    <xf numFmtId="0" fontId="8" fillId="5" borderId="10" xfId="0" applyFont="1" applyFill="1" applyBorder="1" applyAlignment="1">
      <alignment horizontal="left" vertical="top" wrapText="1"/>
    </xf>
    <xf numFmtId="0" fontId="8" fillId="5" borderId="11" xfId="0" applyFont="1" applyFill="1" applyBorder="1" applyAlignment="1">
      <alignment horizontal="left" vertical="top" wrapText="1"/>
    </xf>
    <xf numFmtId="0" fontId="8" fillId="5" borderId="13" xfId="0" applyFont="1" applyFill="1" applyBorder="1" applyAlignment="1">
      <alignment horizontal="left" vertical="top" wrapText="1"/>
    </xf>
    <xf numFmtId="0" fontId="8" fillId="5" borderId="5" xfId="0" applyFont="1" applyFill="1" applyBorder="1" applyAlignment="1">
      <alignment horizontal="left" vertical="top" wrapText="1"/>
    </xf>
    <xf numFmtId="0" fontId="8" fillId="5" borderId="6" xfId="0" applyFont="1" applyFill="1" applyBorder="1" applyAlignment="1">
      <alignment horizontal="left" vertical="top" wrapText="1"/>
    </xf>
    <xf numFmtId="0" fontId="8" fillId="5" borderId="16" xfId="0" applyFont="1" applyFill="1" applyBorder="1" applyAlignment="1">
      <alignment horizontal="left" vertical="top" wrapText="1"/>
    </xf>
    <xf numFmtId="0" fontId="8" fillId="5" borderId="2" xfId="0" applyFont="1" applyFill="1" applyBorder="1" applyAlignment="1">
      <alignment horizontal="left" vertical="center" wrapText="1"/>
    </xf>
    <xf numFmtId="0" fontId="8" fillId="5" borderId="3" xfId="0" applyFont="1" applyFill="1" applyBorder="1" applyAlignment="1">
      <alignment horizontal="left" vertical="center" wrapText="1"/>
    </xf>
    <xf numFmtId="0" fontId="8" fillId="5" borderId="15" xfId="0" applyFont="1" applyFill="1" applyBorder="1" applyAlignment="1">
      <alignment horizontal="left" vertical="center" wrapText="1"/>
    </xf>
    <xf numFmtId="0" fontId="10" fillId="0" borderId="12" xfId="0" applyFont="1" applyBorder="1" applyAlignment="1">
      <alignment horizontal="left" vertical="top" wrapText="1" indent="1"/>
    </xf>
    <xf numFmtId="0" fontId="10" fillId="0" borderId="9" xfId="0" applyFont="1" applyBorder="1" applyAlignment="1">
      <alignment horizontal="left" vertical="top" wrapText="1" indent="1"/>
    </xf>
    <xf numFmtId="0" fontId="12" fillId="0" borderId="0" xfId="0" applyFont="1" applyAlignment="1">
      <alignment horizontal="left" vertical="top"/>
    </xf>
    <xf numFmtId="0" fontId="8" fillId="5" borderId="4" xfId="0" applyFont="1" applyFill="1" applyBorder="1" applyAlignment="1">
      <alignment horizontal="left" vertical="top" wrapText="1"/>
    </xf>
    <xf numFmtId="0" fontId="8" fillId="5" borderId="0" xfId="0" applyFont="1" applyFill="1" applyAlignment="1">
      <alignment horizontal="left" vertical="top" wrapText="1"/>
    </xf>
    <xf numFmtId="0" fontId="8" fillId="5" borderId="14" xfId="0" applyFont="1" applyFill="1" applyBorder="1" applyAlignment="1">
      <alignment horizontal="left" vertical="top" wrapText="1"/>
    </xf>
    <xf numFmtId="0" fontId="12" fillId="6" borderId="2" xfId="0" applyFont="1" applyFill="1" applyBorder="1" applyAlignment="1">
      <alignment horizontal="center" vertical="top"/>
    </xf>
    <xf numFmtId="0" fontId="12" fillId="6" borderId="15" xfId="0" applyFont="1" applyFill="1" applyBorder="1" applyAlignment="1">
      <alignment horizontal="center" vertical="top"/>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15" xfId="0" applyFont="1" applyBorder="1" applyAlignment="1">
      <alignment horizontal="left" vertical="top" wrapText="1"/>
    </xf>
    <xf numFmtId="0" fontId="12" fillId="5" borderId="2" xfId="0" applyFont="1" applyFill="1" applyBorder="1" applyAlignment="1">
      <alignment horizontal="center"/>
    </xf>
    <xf numFmtId="0" fontId="12" fillId="5" borderId="3" xfId="0" applyFont="1" applyFill="1" applyBorder="1" applyAlignment="1">
      <alignment horizontal="center"/>
    </xf>
    <xf numFmtId="0" fontId="12" fillId="5" borderId="15" xfId="0" applyFont="1" applyFill="1" applyBorder="1" applyAlignment="1">
      <alignment horizontal="center"/>
    </xf>
    <xf numFmtId="0" fontId="12" fillId="0" borderId="3" xfId="0" applyFont="1" applyBorder="1" applyAlignment="1">
      <alignment horizontal="center"/>
    </xf>
    <xf numFmtId="0" fontId="12" fillId="7" borderId="2" xfId="0" applyFont="1" applyFill="1" applyBorder="1" applyAlignment="1">
      <alignment horizontal="center" vertical="top"/>
    </xf>
    <xf numFmtId="0" fontId="12" fillId="7" borderId="15" xfId="0" applyFont="1" applyFill="1" applyBorder="1" applyAlignment="1">
      <alignment horizontal="center" vertical="top"/>
    </xf>
    <xf numFmtId="0" fontId="10" fillId="5" borderId="2" xfId="0" applyFont="1" applyFill="1" applyBorder="1" applyAlignment="1">
      <alignment horizontal="left" vertical="top" wrapText="1" indent="1"/>
    </xf>
    <xf numFmtId="0" fontId="10" fillId="5" borderId="3" xfId="0" applyFont="1" applyFill="1" applyBorder="1" applyAlignment="1">
      <alignment horizontal="left" vertical="top" wrapText="1" indent="1"/>
    </xf>
    <xf numFmtId="0" fontId="10" fillId="5" borderId="15" xfId="0" applyFont="1" applyFill="1" applyBorder="1" applyAlignment="1">
      <alignment horizontal="left" vertical="top" wrapText="1" indent="1"/>
    </xf>
    <xf numFmtId="0" fontId="10" fillId="9" borderId="10"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9" borderId="5"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2" fillId="0" borderId="11" xfId="0" applyFont="1" applyBorder="1" applyAlignment="1">
      <alignment horizontal="center" vertical="center"/>
    </xf>
    <xf numFmtId="0" fontId="12" fillId="0" borderId="6" xfId="0" applyFont="1" applyBorder="1" applyAlignment="1">
      <alignment horizontal="center" vertical="center"/>
    </xf>
    <xf numFmtId="0" fontId="12" fillId="9" borderId="10" xfId="0" applyFont="1" applyFill="1" applyBorder="1" applyAlignment="1">
      <alignment horizontal="center" vertical="center"/>
    </xf>
    <xf numFmtId="0" fontId="12" fillId="9" borderId="11" xfId="0" applyFont="1" applyFill="1" applyBorder="1" applyAlignment="1">
      <alignment horizontal="center" vertical="center"/>
    </xf>
    <xf numFmtId="0" fontId="12" fillId="9" borderId="13" xfId="0" applyFont="1" applyFill="1" applyBorder="1" applyAlignment="1">
      <alignment horizontal="center" vertical="center"/>
    </xf>
    <xf numFmtId="0" fontId="12" fillId="9" borderId="5" xfId="0" applyFont="1" applyFill="1" applyBorder="1" applyAlignment="1">
      <alignment horizontal="center" vertical="center"/>
    </xf>
    <xf numFmtId="0" fontId="12" fillId="9" borderId="6" xfId="0" applyFont="1" applyFill="1" applyBorder="1" applyAlignment="1">
      <alignment horizontal="center" vertical="center"/>
    </xf>
    <xf numFmtId="0" fontId="12" fillId="9" borderId="16" xfId="0" applyFont="1" applyFill="1" applyBorder="1" applyAlignment="1">
      <alignment horizontal="center" vertical="center"/>
    </xf>
    <xf numFmtId="0" fontId="12" fillId="9" borderId="4" xfId="0" applyFont="1" applyFill="1" applyBorder="1" applyAlignment="1">
      <alignment horizontal="center" vertical="center"/>
    </xf>
    <xf numFmtId="0" fontId="12" fillId="9" borderId="0" xfId="0" applyFont="1" applyFill="1" applyAlignment="1">
      <alignment horizontal="center" vertical="center"/>
    </xf>
    <xf numFmtId="0" fontId="12" fillId="9" borderId="14" xfId="0" applyFont="1" applyFill="1" applyBorder="1" applyAlignment="1">
      <alignment horizontal="center" vertical="center"/>
    </xf>
    <xf numFmtId="0" fontId="12" fillId="0" borderId="4" xfId="0" applyFont="1" applyBorder="1" applyAlignment="1">
      <alignment horizontal="center" vertical="center"/>
    </xf>
    <xf numFmtId="0" fontId="12" fillId="0" borderId="14" xfId="0" applyFont="1" applyBorder="1" applyAlignment="1">
      <alignment horizontal="center" vertical="center"/>
    </xf>
    <xf numFmtId="0" fontId="10" fillId="9" borderId="4" xfId="0" applyFont="1" applyFill="1" applyBorder="1" applyAlignment="1">
      <alignment horizontal="left" vertical="center" wrapText="1"/>
    </xf>
    <xf numFmtId="0" fontId="10" fillId="9" borderId="14" xfId="0" applyFont="1" applyFill="1" applyBorder="1" applyAlignment="1">
      <alignment horizontal="left" vertical="center" wrapText="1"/>
    </xf>
    <xf numFmtId="0" fontId="12" fillId="9" borderId="3" xfId="0" applyFont="1" applyFill="1" applyBorder="1" applyAlignment="1">
      <alignment horizontal="center" vertical="center"/>
    </xf>
    <xf numFmtId="0" fontId="10" fillId="7" borderId="2"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10" fillId="7" borderId="15" xfId="0" applyFont="1" applyFill="1" applyBorder="1" applyAlignment="1">
      <alignment horizontal="left" vertical="center" wrapText="1"/>
    </xf>
    <xf numFmtId="0" fontId="10" fillId="9" borderId="2" xfId="0" applyFont="1" applyFill="1" applyBorder="1" applyAlignment="1">
      <alignment horizontal="center" vertical="center" wrapText="1"/>
    </xf>
    <xf numFmtId="0" fontId="10" fillId="9" borderId="15" xfId="0" applyFont="1" applyFill="1" applyBorder="1" applyAlignment="1">
      <alignment horizontal="center" vertical="center" wrapText="1"/>
    </xf>
    <xf numFmtId="0" fontId="10" fillId="0" borderId="3" xfId="0" applyFont="1" applyBorder="1" applyAlignment="1">
      <alignment horizontal="left" vertical="center" wrapText="1" indent="1"/>
    </xf>
    <xf numFmtId="0" fontId="12" fillId="0" borderId="4" xfId="0" applyFont="1" applyBorder="1" applyAlignment="1">
      <alignment horizontal="center"/>
    </xf>
    <xf numFmtId="0" fontId="12" fillId="0" borderId="14" xfId="0" applyFont="1" applyBorder="1" applyAlignment="1">
      <alignment horizontal="center"/>
    </xf>
    <xf numFmtId="0" fontId="12" fillId="0" borderId="5" xfId="0" applyFont="1" applyBorder="1" applyAlignment="1">
      <alignment horizontal="center"/>
    </xf>
    <xf numFmtId="0" fontId="12" fillId="0" borderId="16" xfId="0" applyFont="1" applyBorder="1" applyAlignment="1">
      <alignment horizontal="center"/>
    </xf>
    <xf numFmtId="0" fontId="10" fillId="6" borderId="10" xfId="0" applyFont="1" applyFill="1" applyBorder="1" applyAlignment="1">
      <alignment horizontal="left" wrapText="1"/>
    </xf>
    <xf numFmtId="0" fontId="10" fillId="6" borderId="13" xfId="0" applyFont="1" applyFill="1" applyBorder="1" applyAlignment="1">
      <alignment horizontal="left" wrapText="1"/>
    </xf>
    <xf numFmtId="0" fontId="10" fillId="6" borderId="4" xfId="0" applyFont="1" applyFill="1" applyBorder="1" applyAlignment="1">
      <alignment horizontal="left" wrapText="1"/>
    </xf>
    <xf numFmtId="0" fontId="10" fillId="6" borderId="14" xfId="0" applyFont="1" applyFill="1" applyBorder="1" applyAlignment="1">
      <alignment horizontal="left" wrapText="1"/>
    </xf>
    <xf numFmtId="0" fontId="10" fillId="6" borderId="5" xfId="0" applyFont="1" applyFill="1" applyBorder="1" applyAlignment="1">
      <alignment horizontal="left" wrapText="1"/>
    </xf>
    <xf numFmtId="0" fontId="10" fillId="6" borderId="16" xfId="0" applyFont="1" applyFill="1" applyBorder="1" applyAlignment="1">
      <alignment horizontal="left" wrapText="1"/>
    </xf>
    <xf numFmtId="0" fontId="10" fillId="7" borderId="10" xfId="0" applyFont="1" applyFill="1" applyBorder="1" applyAlignment="1">
      <alignment horizontal="left" wrapText="1"/>
    </xf>
    <xf numFmtId="0" fontId="10" fillId="7" borderId="11" xfId="0" applyFont="1" applyFill="1" applyBorder="1" applyAlignment="1">
      <alignment horizontal="left" wrapText="1"/>
    </xf>
    <xf numFmtId="0" fontId="10" fillId="7" borderId="13" xfId="0" applyFont="1" applyFill="1" applyBorder="1" applyAlignment="1">
      <alignment horizontal="left" wrapText="1"/>
    </xf>
    <xf numFmtId="0" fontId="10" fillId="7" borderId="4" xfId="0" applyFont="1" applyFill="1" applyBorder="1" applyAlignment="1">
      <alignment horizontal="left" wrapText="1"/>
    </xf>
    <xf numFmtId="0" fontId="10" fillId="7" borderId="0" xfId="0" applyFont="1" applyFill="1" applyAlignment="1">
      <alignment horizontal="left" wrapText="1"/>
    </xf>
    <xf numFmtId="0" fontId="10" fillId="7" borderId="14" xfId="0" applyFont="1" applyFill="1" applyBorder="1" applyAlignment="1">
      <alignment horizontal="left" wrapText="1"/>
    </xf>
    <xf numFmtId="0" fontId="10" fillId="7" borderId="5" xfId="0" applyFont="1" applyFill="1" applyBorder="1" applyAlignment="1">
      <alignment horizontal="left" wrapText="1"/>
    </xf>
    <xf numFmtId="0" fontId="10" fillId="7" borderId="6" xfId="0" applyFont="1" applyFill="1" applyBorder="1" applyAlignment="1">
      <alignment horizontal="left" wrapText="1"/>
    </xf>
    <xf numFmtId="0" fontId="10" fillId="7" borderId="16" xfId="0" applyFont="1" applyFill="1" applyBorder="1" applyAlignment="1">
      <alignment horizontal="left" wrapText="1"/>
    </xf>
    <xf numFmtId="0" fontId="10" fillId="9" borderId="4" xfId="0" applyFont="1" applyFill="1" applyBorder="1" applyAlignment="1">
      <alignment horizontal="left" wrapText="1"/>
    </xf>
    <xf numFmtId="0" fontId="10" fillId="9" borderId="14" xfId="0" applyFont="1" applyFill="1" applyBorder="1" applyAlignment="1">
      <alignment horizontal="left" wrapText="1"/>
    </xf>
    <xf numFmtId="0" fontId="10" fillId="9" borderId="5" xfId="0" applyFont="1" applyFill="1" applyBorder="1" applyAlignment="1">
      <alignment horizontal="left" wrapText="1"/>
    </xf>
    <xf numFmtId="0" fontId="10" fillId="9" borderId="16" xfId="0" applyFont="1" applyFill="1" applyBorder="1" applyAlignment="1">
      <alignment horizontal="left" wrapText="1"/>
    </xf>
    <xf numFmtId="0" fontId="10" fillId="7" borderId="2" xfId="0" applyFont="1" applyFill="1" applyBorder="1" applyAlignment="1">
      <alignment horizontal="left" vertical="top" wrapText="1" indent="1"/>
    </xf>
    <xf numFmtId="0" fontId="10" fillId="7" borderId="3" xfId="0" applyFont="1" applyFill="1" applyBorder="1" applyAlignment="1">
      <alignment horizontal="left" vertical="top" wrapText="1" indent="1"/>
    </xf>
    <xf numFmtId="0" fontId="10" fillId="7" borderId="15" xfId="0" applyFont="1" applyFill="1" applyBorder="1" applyAlignment="1">
      <alignment horizontal="left" vertical="top" wrapText="1" indent="1"/>
    </xf>
    <xf numFmtId="0" fontId="12" fillId="6" borderId="3" xfId="0" applyFont="1" applyFill="1" applyBorder="1" applyAlignment="1">
      <alignment horizontal="center" vertical="top"/>
    </xf>
    <xf numFmtId="0" fontId="12" fillId="6" borderId="10" xfId="0" applyFont="1" applyFill="1" applyBorder="1" applyAlignment="1">
      <alignment horizontal="center" vertical="top"/>
    </xf>
    <xf numFmtId="0" fontId="12" fillId="6" borderId="11" xfId="0" applyFont="1" applyFill="1" applyBorder="1" applyAlignment="1">
      <alignment horizontal="center" vertical="top"/>
    </xf>
    <xf numFmtId="0" fontId="12" fillId="6" borderId="13" xfId="0" applyFont="1" applyFill="1" applyBorder="1" applyAlignment="1">
      <alignment horizontal="center" vertical="top"/>
    </xf>
    <xf numFmtId="0" fontId="10" fillId="6" borderId="4" xfId="0" applyFont="1" applyFill="1" applyBorder="1" applyAlignment="1">
      <alignment horizontal="left" vertical="top" wrapText="1"/>
    </xf>
    <xf numFmtId="0" fontId="10" fillId="6" borderId="14" xfId="0" applyFont="1" applyFill="1" applyBorder="1" applyAlignment="1">
      <alignment horizontal="left" vertical="top"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2" fillId="6" borderId="2" xfId="0" applyFont="1" applyFill="1" applyBorder="1" applyAlignment="1">
      <alignment horizontal="center" vertical="center"/>
    </xf>
    <xf numFmtId="0" fontId="12" fillId="6" borderId="3" xfId="0" applyFont="1" applyFill="1" applyBorder="1" applyAlignment="1">
      <alignment horizontal="center" vertical="center"/>
    </xf>
    <xf numFmtId="0" fontId="12" fillId="6" borderId="15" xfId="0" applyFont="1" applyFill="1" applyBorder="1" applyAlignment="1">
      <alignment horizontal="center" vertical="center"/>
    </xf>
    <xf numFmtId="0" fontId="10" fillId="7" borderId="10" xfId="0" applyFont="1" applyFill="1" applyBorder="1" applyAlignment="1">
      <alignment horizontal="left" vertical="top" wrapText="1"/>
    </xf>
    <xf numFmtId="0" fontId="10" fillId="7" borderId="11" xfId="0" applyFont="1" applyFill="1" applyBorder="1" applyAlignment="1">
      <alignment horizontal="left" vertical="top" wrapText="1"/>
    </xf>
    <xf numFmtId="0" fontId="10" fillId="7" borderId="13" xfId="0" applyFont="1" applyFill="1" applyBorder="1" applyAlignment="1">
      <alignment horizontal="left" vertical="top" wrapText="1"/>
    </xf>
    <xf numFmtId="0" fontId="10" fillId="7" borderId="4"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14" xfId="0" applyFont="1" applyFill="1" applyBorder="1" applyAlignment="1">
      <alignment horizontal="left" vertical="top" wrapText="1"/>
    </xf>
    <xf numFmtId="0" fontId="10" fillId="7" borderId="5" xfId="0" applyFont="1" applyFill="1" applyBorder="1" applyAlignment="1">
      <alignment horizontal="left" vertical="top" wrapText="1"/>
    </xf>
    <xf numFmtId="0" fontId="10" fillId="7" borderId="6" xfId="0" applyFont="1" applyFill="1" applyBorder="1" applyAlignment="1">
      <alignment horizontal="left" vertical="top" wrapText="1"/>
    </xf>
    <xf numFmtId="0" fontId="10" fillId="7" borderId="16" xfId="0" applyFont="1" applyFill="1" applyBorder="1" applyAlignment="1">
      <alignment horizontal="left" vertical="top" wrapText="1"/>
    </xf>
    <xf numFmtId="0" fontId="10" fillId="9" borderId="11" xfId="0" applyFont="1" applyFill="1" applyBorder="1" applyAlignment="1">
      <alignment horizontal="left" vertical="center" wrapText="1"/>
    </xf>
    <xf numFmtId="0" fontId="10" fillId="6" borderId="4" xfId="0" applyFont="1" applyFill="1" applyBorder="1" applyAlignment="1">
      <alignment horizontal="left" vertical="center" wrapText="1"/>
    </xf>
    <xf numFmtId="0" fontId="10" fillId="6" borderId="0" xfId="0" applyFont="1" applyFill="1" applyAlignment="1">
      <alignment horizontal="left" vertical="center" wrapText="1"/>
    </xf>
    <xf numFmtId="0" fontId="10" fillId="6" borderId="14" xfId="0" applyFont="1" applyFill="1" applyBorder="1" applyAlignment="1">
      <alignment horizontal="left" vertical="center" wrapText="1"/>
    </xf>
    <xf numFmtId="0" fontId="10" fillId="9" borderId="6" xfId="0" applyFont="1" applyFill="1" applyBorder="1" applyAlignment="1">
      <alignment horizontal="left" vertical="center" wrapText="1"/>
    </xf>
    <xf numFmtId="0" fontId="12" fillId="0" borderId="10" xfId="0" applyFont="1" applyBorder="1" applyAlignment="1">
      <alignment horizontal="right" vertical="top" indent="1"/>
    </xf>
    <xf numFmtId="0" fontId="12" fillId="0" borderId="13" xfId="0" applyFont="1" applyBorder="1" applyAlignment="1">
      <alignment horizontal="right" vertical="top" indent="1"/>
    </xf>
    <xf numFmtId="0" fontId="12" fillId="0" borderId="5" xfId="0" applyFont="1" applyBorder="1" applyAlignment="1">
      <alignment horizontal="right" vertical="top" indent="1"/>
    </xf>
    <xf numFmtId="0" fontId="12" fillId="0" borderId="16" xfId="0" applyFont="1" applyBorder="1" applyAlignment="1">
      <alignment horizontal="right" vertical="top" indent="1"/>
    </xf>
    <xf numFmtId="0" fontId="10" fillId="0" borderId="11" xfId="0" applyFont="1" applyBorder="1" applyAlignment="1">
      <alignment horizontal="center" vertical="top" wrapText="1"/>
    </xf>
    <xf numFmtId="0" fontId="10" fillId="0" borderId="6" xfId="0" applyFont="1" applyBorder="1" applyAlignment="1">
      <alignment horizontal="center" vertical="top" wrapText="1"/>
    </xf>
    <xf numFmtId="0" fontId="10" fillId="0" borderId="10" xfId="0" applyFont="1" applyBorder="1" applyAlignment="1">
      <alignment horizontal="right" vertical="top" wrapText="1" indent="1"/>
    </xf>
    <xf numFmtId="0" fontId="10" fillId="0" borderId="13" xfId="0" applyFont="1" applyBorder="1" applyAlignment="1">
      <alignment horizontal="right" vertical="top" wrapText="1" indent="1"/>
    </xf>
    <xf numFmtId="0" fontId="10" fillId="0" borderId="5" xfId="0" applyFont="1" applyBorder="1" applyAlignment="1">
      <alignment horizontal="right" vertical="top" wrapText="1" indent="1"/>
    </xf>
    <xf numFmtId="0" fontId="10" fillId="0" borderId="16" xfId="0" applyFont="1" applyBorder="1" applyAlignment="1">
      <alignment horizontal="right" vertical="top" wrapText="1" indent="1"/>
    </xf>
    <xf numFmtId="0" fontId="12" fillId="0" borderId="10" xfId="0" applyFont="1" applyBorder="1" applyAlignment="1">
      <alignment horizontal="right" vertical="center" indent="1"/>
    </xf>
    <xf numFmtId="0" fontId="12" fillId="0" borderId="13" xfId="0" applyFont="1" applyBorder="1" applyAlignment="1">
      <alignment horizontal="right" vertical="center" indent="1"/>
    </xf>
    <xf numFmtId="0" fontId="12" fillId="0" borderId="5" xfId="0" applyFont="1" applyBorder="1" applyAlignment="1">
      <alignment horizontal="right" vertical="center" indent="1"/>
    </xf>
    <xf numFmtId="0" fontId="12" fillId="0" borderId="16" xfId="0" applyFont="1" applyBorder="1" applyAlignment="1">
      <alignment horizontal="right" vertical="center" indent="1"/>
    </xf>
    <xf numFmtId="0" fontId="10" fillId="7" borderId="4" xfId="0" applyFont="1" applyFill="1" applyBorder="1" applyAlignment="1">
      <alignment horizontal="left" vertical="center" wrapText="1"/>
    </xf>
    <xf numFmtId="0" fontId="10" fillId="7" borderId="0" xfId="0" applyFont="1" applyFill="1" applyAlignment="1">
      <alignment horizontal="left" vertical="center" wrapText="1"/>
    </xf>
    <xf numFmtId="0" fontId="10" fillId="7" borderId="14" xfId="0" applyFont="1" applyFill="1" applyBorder="1" applyAlignment="1">
      <alignment horizontal="left" vertical="center" wrapText="1"/>
    </xf>
    <xf numFmtId="0" fontId="10" fillId="5" borderId="10" xfId="0" applyFont="1" applyFill="1" applyBorder="1" applyAlignment="1">
      <alignment horizontal="left" wrapText="1" indent="1"/>
    </xf>
    <xf numFmtId="0" fontId="10" fillId="5" borderId="11" xfId="0" applyFont="1" applyFill="1" applyBorder="1" applyAlignment="1">
      <alignment horizontal="left" wrapText="1" indent="1"/>
    </xf>
    <xf numFmtId="0" fontId="10" fillId="5" borderId="13" xfId="0" applyFont="1" applyFill="1" applyBorder="1" applyAlignment="1">
      <alignment horizontal="left" wrapText="1" indent="1"/>
    </xf>
    <xf numFmtId="0" fontId="10" fillId="5" borderId="4" xfId="0" applyFont="1" applyFill="1" applyBorder="1" applyAlignment="1">
      <alignment horizontal="left" wrapText="1" indent="1"/>
    </xf>
    <xf numFmtId="0" fontId="10" fillId="5" borderId="0" xfId="0" applyFont="1" applyFill="1" applyAlignment="1">
      <alignment horizontal="left" wrapText="1" indent="1"/>
    </xf>
    <xf numFmtId="0" fontId="10" fillId="5" borderId="14" xfId="0" applyFont="1" applyFill="1" applyBorder="1" applyAlignment="1">
      <alignment horizontal="left" wrapText="1" indent="1"/>
    </xf>
    <xf numFmtId="0" fontId="10" fillId="5" borderId="5" xfId="0" applyFont="1" applyFill="1" applyBorder="1" applyAlignment="1">
      <alignment horizontal="left" wrapText="1" indent="1"/>
    </xf>
    <xf numFmtId="0" fontId="10" fillId="5" borderId="6" xfId="0" applyFont="1" applyFill="1" applyBorder="1" applyAlignment="1">
      <alignment horizontal="left" wrapText="1" indent="1"/>
    </xf>
    <xf numFmtId="0" fontId="10" fillId="5" borderId="16" xfId="0" applyFont="1" applyFill="1" applyBorder="1" applyAlignment="1">
      <alignment horizontal="left" wrapText="1" indent="1"/>
    </xf>
    <xf numFmtId="0" fontId="12" fillId="7" borderId="10" xfId="0" applyFont="1" applyFill="1" applyBorder="1" applyAlignment="1">
      <alignment horizontal="center"/>
    </xf>
    <xf numFmtId="0" fontId="12" fillId="7" borderId="13" xfId="0" applyFont="1" applyFill="1" applyBorder="1" applyAlignment="1">
      <alignment horizontal="center"/>
    </xf>
    <xf numFmtId="0" fontId="12" fillId="7" borderId="4" xfId="0" applyFont="1" applyFill="1" applyBorder="1" applyAlignment="1">
      <alignment horizontal="center"/>
    </xf>
    <xf numFmtId="0" fontId="12" fillId="7" borderId="14" xfId="0" applyFont="1" applyFill="1" applyBorder="1" applyAlignment="1">
      <alignment horizontal="center"/>
    </xf>
    <xf numFmtId="0" fontId="12" fillId="7" borderId="5" xfId="0" applyFont="1" applyFill="1" applyBorder="1" applyAlignment="1">
      <alignment horizontal="center"/>
    </xf>
    <xf numFmtId="0" fontId="12" fillId="7" borderId="16" xfId="0" applyFont="1" applyFill="1" applyBorder="1" applyAlignment="1">
      <alignment horizontal="center"/>
    </xf>
    <xf numFmtId="0" fontId="12" fillId="0" borderId="11" xfId="0" applyFont="1" applyBorder="1" applyAlignment="1">
      <alignment horizontal="center"/>
    </xf>
    <xf numFmtId="0" fontId="12" fillId="0" borderId="6" xfId="0" applyFont="1" applyBorder="1" applyAlignment="1">
      <alignment horizontal="center"/>
    </xf>
    <xf numFmtId="0" fontId="12" fillId="0" borderId="0" xfId="0" applyFont="1" applyAlignment="1">
      <alignment horizontal="center" vertical="center"/>
    </xf>
    <xf numFmtId="0" fontId="8" fillId="0" borderId="4" xfId="0" applyFont="1" applyBorder="1" applyAlignment="1">
      <alignment horizontal="left" vertical="top"/>
    </xf>
    <xf numFmtId="0" fontId="12" fillId="6" borderId="10" xfId="0" applyFont="1" applyFill="1" applyBorder="1" applyAlignment="1">
      <alignment horizontal="center" vertical="center"/>
    </xf>
    <xf numFmtId="0" fontId="12" fillId="6" borderId="13"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14"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16" xfId="0" applyFont="1" applyFill="1" applyBorder="1" applyAlignment="1">
      <alignment horizontal="center" vertical="center"/>
    </xf>
    <xf numFmtId="0" fontId="12" fillId="0" borderId="0" xfId="0" applyFont="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
    </xf>
    <xf numFmtId="0" fontId="12" fillId="7" borderId="15" xfId="0" applyFont="1" applyFill="1" applyBorder="1" applyAlignment="1">
      <alignment horizontal="center"/>
    </xf>
    <xf numFmtId="0" fontId="12" fillId="7" borderId="10" xfId="0" applyFont="1" applyFill="1" applyBorder="1" applyAlignment="1">
      <alignment horizontal="center" vertical="center"/>
    </xf>
    <xf numFmtId="0" fontId="12" fillId="7" borderId="11" xfId="0" applyFont="1" applyFill="1" applyBorder="1" applyAlignment="1">
      <alignment horizontal="center" vertical="center"/>
    </xf>
    <xf numFmtId="0" fontId="12" fillId="7" borderId="13"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0" xfId="0" applyFont="1" applyFill="1" applyAlignment="1">
      <alignment horizontal="center" vertical="center"/>
    </xf>
    <xf numFmtId="0" fontId="12" fillId="7" borderId="14"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6" xfId="0" applyFont="1" applyFill="1" applyBorder="1" applyAlignment="1">
      <alignment horizontal="center" vertical="center"/>
    </xf>
    <xf numFmtId="0" fontId="10" fillId="7" borderId="2" xfId="0" applyFont="1" applyFill="1" applyBorder="1" applyAlignment="1">
      <alignment horizontal="left" wrapText="1"/>
    </xf>
    <xf numFmtId="0" fontId="10" fillId="7" borderId="15" xfId="0" applyFont="1" applyFill="1" applyBorder="1" applyAlignment="1">
      <alignment horizontal="left" wrapText="1"/>
    </xf>
    <xf numFmtId="0" fontId="8" fillId="5" borderId="5" xfId="0" applyFont="1" applyFill="1" applyBorder="1" applyAlignment="1">
      <alignment horizontal="left" vertical="center" wrapText="1"/>
    </xf>
    <xf numFmtId="0" fontId="8" fillId="5" borderId="6" xfId="0" applyFont="1" applyFill="1" applyBorder="1" applyAlignment="1">
      <alignment horizontal="left" vertical="center" wrapText="1"/>
    </xf>
    <xf numFmtId="0" fontId="8" fillId="5" borderId="16"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5" borderId="13" xfId="0" applyFont="1" applyFill="1" applyBorder="1" applyAlignment="1">
      <alignment horizontal="left" vertical="center" wrapText="1"/>
    </xf>
    <xf numFmtId="0" fontId="12" fillId="0" borderId="10" xfId="0" applyFont="1" applyBorder="1" applyAlignment="1">
      <alignment horizontal="left"/>
    </xf>
    <xf numFmtId="0" fontId="12" fillId="0" borderId="4" xfId="0" applyFont="1" applyBorder="1" applyAlignment="1">
      <alignment horizontal="left"/>
    </xf>
    <xf numFmtId="0" fontId="12" fillId="0" borderId="5" xfId="0" applyFont="1" applyBorder="1" applyAlignment="1">
      <alignment horizontal="left"/>
    </xf>
    <xf numFmtId="0" fontId="12" fillId="0" borderId="11" xfId="0" applyFont="1" applyBorder="1" applyAlignment="1">
      <alignment horizontal="left" indent="1"/>
    </xf>
    <xf numFmtId="0" fontId="12" fillId="0" borderId="13" xfId="0" applyFont="1" applyBorder="1" applyAlignment="1">
      <alignment horizontal="left" indent="1"/>
    </xf>
    <xf numFmtId="0" fontId="12" fillId="0" borderId="0" xfId="0" applyFont="1" applyAlignment="1">
      <alignment horizontal="left" indent="1"/>
    </xf>
    <xf numFmtId="0" fontId="12" fillId="0" borderId="14" xfId="0" applyFont="1" applyBorder="1" applyAlignment="1">
      <alignment horizontal="left" indent="1"/>
    </xf>
    <xf numFmtId="0" fontId="12" fillId="0" borderId="6" xfId="0" applyFont="1" applyBorder="1" applyAlignment="1">
      <alignment horizontal="left" indent="1"/>
    </xf>
    <xf numFmtId="0" fontId="12" fillId="0" borderId="16" xfId="0" applyFont="1" applyBorder="1" applyAlignment="1">
      <alignment horizontal="left" indent="1"/>
    </xf>
    <xf numFmtId="0" fontId="12" fillId="5" borderId="11" xfId="0" applyFont="1" applyFill="1" applyBorder="1" applyAlignment="1">
      <alignment horizontal="left" indent="1"/>
    </xf>
    <xf numFmtId="0" fontId="12" fillId="5" borderId="13" xfId="0" applyFont="1" applyFill="1" applyBorder="1" applyAlignment="1">
      <alignment horizontal="left" indent="1"/>
    </xf>
    <xf numFmtId="0" fontId="12" fillId="5" borderId="0" xfId="0" applyFont="1" applyFill="1" applyAlignment="1">
      <alignment horizontal="left" indent="1"/>
    </xf>
    <xf numFmtId="0" fontId="12" fillId="5" borderId="14" xfId="0" applyFont="1" applyFill="1" applyBorder="1" applyAlignment="1">
      <alignment horizontal="left" indent="1"/>
    </xf>
    <xf numFmtId="0" fontId="12" fillId="5" borderId="6" xfId="0" applyFont="1" applyFill="1" applyBorder="1" applyAlignment="1">
      <alignment horizontal="left" indent="1"/>
    </xf>
    <xf numFmtId="0" fontId="12" fillId="5" borderId="16" xfId="0" applyFont="1" applyFill="1" applyBorder="1" applyAlignment="1">
      <alignment horizontal="left" indent="1"/>
    </xf>
    <xf numFmtId="0" fontId="12" fillId="0" borderId="3" xfId="0" applyFont="1" applyBorder="1" applyAlignment="1">
      <alignment horizontal="left" vertical="center" indent="1"/>
    </xf>
    <xf numFmtId="0" fontId="12" fillId="0" borderId="15" xfId="0" applyFont="1" applyBorder="1" applyAlignment="1">
      <alignment horizontal="left" vertical="center" indent="1"/>
    </xf>
    <xf numFmtId="0" fontId="12" fillId="5" borderId="3" xfId="0" applyFont="1" applyFill="1" applyBorder="1" applyAlignment="1">
      <alignment horizontal="left" vertical="center" indent="1"/>
    </xf>
    <xf numFmtId="0" fontId="12" fillId="5" borderId="15" xfId="0" applyFont="1" applyFill="1" applyBorder="1" applyAlignment="1">
      <alignment horizontal="left" vertical="center" indent="1"/>
    </xf>
    <xf numFmtId="0" fontId="12" fillId="0" borderId="11" xfId="0" applyFont="1" applyBorder="1" applyAlignment="1">
      <alignment horizontal="left" vertical="center" indent="1"/>
    </xf>
    <xf numFmtId="0" fontId="12" fillId="0" borderId="13" xfId="0" applyFont="1" applyBorder="1" applyAlignment="1">
      <alignment horizontal="left" vertical="center" indent="1"/>
    </xf>
    <xf numFmtId="0" fontId="12" fillId="0" borderId="6" xfId="0" applyFont="1" applyBorder="1" applyAlignment="1">
      <alignment horizontal="left" vertical="center" indent="1"/>
    </xf>
    <xf numFmtId="0" fontId="12" fillId="0" borderId="16" xfId="0" applyFont="1" applyBorder="1" applyAlignment="1">
      <alignment horizontal="left" vertical="center" indent="1"/>
    </xf>
    <xf numFmtId="0" fontId="12" fillId="5" borderId="11" xfId="0" applyFont="1" applyFill="1" applyBorder="1" applyAlignment="1">
      <alignment horizontal="left" vertical="center" indent="1"/>
    </xf>
    <xf numFmtId="0" fontId="12" fillId="5" borderId="13" xfId="0" applyFont="1" applyFill="1" applyBorder="1" applyAlignment="1">
      <alignment horizontal="left" vertical="center" indent="1"/>
    </xf>
    <xf numFmtId="0" fontId="12" fillId="5" borderId="6" xfId="0" applyFont="1" applyFill="1" applyBorder="1" applyAlignment="1">
      <alignment horizontal="left" vertical="center" indent="1"/>
    </xf>
    <xf numFmtId="0" fontId="12" fillId="5" borderId="16" xfId="0" applyFont="1" applyFill="1" applyBorder="1" applyAlignment="1">
      <alignment horizontal="left" vertical="center" indent="1"/>
    </xf>
    <xf numFmtId="0" fontId="12" fillId="5" borderId="3" xfId="0" applyFont="1" applyFill="1" applyBorder="1" applyAlignment="1">
      <alignment horizontal="left" vertical="top" indent="1"/>
    </xf>
    <xf numFmtId="0" fontId="12" fillId="5" borderId="15" xfId="0" applyFont="1" applyFill="1" applyBorder="1" applyAlignment="1">
      <alignment horizontal="left" vertical="top" indent="1"/>
    </xf>
    <xf numFmtId="0" fontId="12" fillId="0" borderId="3" xfId="0" applyFont="1" applyBorder="1" applyAlignment="1">
      <alignment horizontal="left" vertical="top" indent="1"/>
    </xf>
    <xf numFmtId="0" fontId="12" fillId="0" borderId="15" xfId="0" applyFont="1" applyBorder="1" applyAlignment="1">
      <alignment horizontal="left" vertical="top" indent="1"/>
    </xf>
    <xf numFmtId="0" fontId="10" fillId="5" borderId="3" xfId="0" applyFont="1" applyFill="1" applyBorder="1" applyAlignment="1">
      <alignment horizontal="left" vertical="center" wrapText="1" indent="1"/>
    </xf>
    <xf numFmtId="0" fontId="10" fillId="5" borderId="15" xfId="0" applyFont="1" applyFill="1" applyBorder="1" applyAlignment="1">
      <alignment horizontal="left" vertical="center" wrapText="1" indent="1"/>
    </xf>
    <xf numFmtId="0" fontId="10" fillId="8" borderId="2" xfId="0" applyFont="1" applyFill="1" applyBorder="1" applyAlignment="1">
      <alignment horizontal="left" vertical="top" wrapText="1" indent="1"/>
    </xf>
    <xf numFmtId="0" fontId="10" fillId="8" borderId="15" xfId="0" applyFont="1" applyFill="1" applyBorder="1" applyAlignment="1">
      <alignment horizontal="left" vertical="top" wrapText="1" indent="1"/>
    </xf>
    <xf numFmtId="0" fontId="12" fillId="8" borderId="2" xfId="0" applyFont="1" applyFill="1" applyBorder="1" applyAlignment="1">
      <alignment horizontal="center" vertical="top"/>
    </xf>
    <xf numFmtId="0" fontId="12" fillId="8" borderId="15" xfId="0" applyFont="1" applyFill="1" applyBorder="1" applyAlignment="1">
      <alignment horizontal="center" vertical="top"/>
    </xf>
    <xf numFmtId="0" fontId="10" fillId="5" borderId="11" xfId="0" applyFont="1" applyFill="1" applyBorder="1" applyAlignment="1">
      <alignment horizontal="left" vertical="center" wrapText="1" indent="1"/>
    </xf>
    <xf numFmtId="0" fontId="10" fillId="5" borderId="13" xfId="0" applyFont="1" applyFill="1" applyBorder="1" applyAlignment="1">
      <alignment horizontal="left" vertical="center" wrapText="1" indent="1"/>
    </xf>
    <xf numFmtId="0" fontId="10" fillId="5" borderId="6" xfId="0" applyFont="1" applyFill="1" applyBorder="1" applyAlignment="1">
      <alignment horizontal="left" vertical="center" wrapText="1" indent="1"/>
    </xf>
    <xf numFmtId="0" fontId="10" fillId="5" borderId="16" xfId="0" applyFont="1" applyFill="1" applyBorder="1" applyAlignment="1">
      <alignment horizontal="left" vertical="center" wrapText="1" indent="1"/>
    </xf>
    <xf numFmtId="0" fontId="12" fillId="0" borderId="10" xfId="0" applyFont="1" applyBorder="1" applyAlignment="1">
      <alignment horizontal="right" vertical="center"/>
    </xf>
    <xf numFmtId="0" fontId="12" fillId="0" borderId="5" xfId="0" applyFont="1" applyBorder="1" applyAlignment="1">
      <alignment horizontal="right" vertical="center"/>
    </xf>
    <xf numFmtId="0" fontId="10" fillId="7" borderId="10" xfId="0" applyFont="1" applyFill="1" applyBorder="1" applyAlignment="1">
      <alignment horizontal="left" vertical="center" wrapText="1" indent="1"/>
    </xf>
    <xf numFmtId="0" fontId="10" fillId="7" borderId="13" xfId="0" applyFont="1" applyFill="1" applyBorder="1" applyAlignment="1">
      <alignment horizontal="left" vertical="center" wrapText="1" indent="1"/>
    </xf>
    <xf numFmtId="0" fontId="10" fillId="7" borderId="5" xfId="0" applyFont="1" applyFill="1" applyBorder="1" applyAlignment="1">
      <alignment horizontal="left" vertical="center" wrapText="1" indent="1"/>
    </xf>
    <xf numFmtId="0" fontId="10" fillId="7" borderId="16" xfId="0" applyFont="1" applyFill="1" applyBorder="1" applyAlignment="1">
      <alignment horizontal="left" vertical="center" wrapText="1" indent="1"/>
    </xf>
    <xf numFmtId="0" fontId="10" fillId="6" borderId="10" xfId="0" applyFont="1" applyFill="1" applyBorder="1" applyAlignment="1">
      <alignment horizontal="left" vertical="center" wrapText="1"/>
    </xf>
    <xf numFmtId="0" fontId="10" fillId="6" borderId="11"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5" xfId="0" applyFont="1" applyFill="1" applyBorder="1" applyAlignment="1">
      <alignment horizontal="left" vertical="center" wrapText="1"/>
    </xf>
    <xf numFmtId="0" fontId="10" fillId="6" borderId="6"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2" fillId="0" borderId="0" xfId="0" applyFont="1" applyAlignment="1">
      <alignment horizontal="center" vertical="top"/>
    </xf>
    <xf numFmtId="0" fontId="12" fillId="7" borderId="10" xfId="0" applyFont="1" applyFill="1" applyBorder="1" applyAlignment="1">
      <alignment horizontal="center" vertical="top"/>
    </xf>
    <xf numFmtId="0" fontId="12" fillId="7" borderId="13" xfId="0" applyFont="1" applyFill="1" applyBorder="1" applyAlignment="1">
      <alignment horizontal="center" vertical="top"/>
    </xf>
    <xf numFmtId="0" fontId="12" fillId="7" borderId="5" xfId="0" applyFont="1" applyFill="1" applyBorder="1" applyAlignment="1">
      <alignment horizontal="center" vertical="top"/>
    </xf>
    <xf numFmtId="0" fontId="12" fillId="7" borderId="16" xfId="0" applyFont="1" applyFill="1" applyBorder="1" applyAlignment="1">
      <alignment horizontal="center" vertical="top"/>
    </xf>
    <xf numFmtId="0" fontId="12" fillId="7" borderId="10" xfId="0" applyFont="1" applyFill="1" applyBorder="1" applyAlignment="1">
      <alignment horizontal="left" vertical="top"/>
    </xf>
    <xf numFmtId="0" fontId="12" fillId="7" borderId="13" xfId="0" applyFont="1" applyFill="1" applyBorder="1" applyAlignment="1">
      <alignment horizontal="left" vertical="top"/>
    </xf>
    <xf numFmtId="0" fontId="12" fillId="7" borderId="5" xfId="0" applyFont="1" applyFill="1" applyBorder="1" applyAlignment="1">
      <alignment horizontal="left" vertical="top"/>
    </xf>
    <xf numFmtId="0" fontId="12" fillId="7" borderId="16" xfId="0" applyFont="1" applyFill="1" applyBorder="1" applyAlignment="1">
      <alignment horizontal="left" vertical="top"/>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15" xfId="0" applyFont="1" applyBorder="1" applyAlignment="1">
      <alignment horizontal="left" vertical="top" wrapText="1"/>
    </xf>
    <xf numFmtId="0" fontId="11" fillId="0" borderId="2" xfId="0" applyFont="1" applyBorder="1" applyAlignment="1">
      <alignment horizontal="center" vertical="top"/>
    </xf>
    <xf numFmtId="0" fontId="11" fillId="0" borderId="3" xfId="0" applyFont="1" applyBorder="1" applyAlignment="1">
      <alignment horizontal="center" vertical="top"/>
    </xf>
    <xf numFmtId="0" fontId="11" fillId="0" borderId="15" xfId="0" applyFont="1" applyBorder="1" applyAlignment="1">
      <alignment horizontal="center" vertical="top"/>
    </xf>
    <xf numFmtId="0" fontId="12" fillId="6" borderId="11" xfId="0" applyFont="1" applyFill="1" applyBorder="1" applyAlignment="1">
      <alignment horizontal="center" vertical="center"/>
    </xf>
    <xf numFmtId="0" fontId="12" fillId="6" borderId="0" xfId="0" applyFont="1" applyFill="1" applyAlignment="1">
      <alignment horizontal="center" vertical="center"/>
    </xf>
    <xf numFmtId="0" fontId="12" fillId="6" borderId="6" xfId="0" applyFont="1" applyFill="1" applyBorder="1" applyAlignment="1">
      <alignment horizontal="center" vertical="center"/>
    </xf>
    <xf numFmtId="0" fontId="12" fillId="6" borderId="4" xfId="0" applyFont="1" applyFill="1" applyBorder="1" applyAlignment="1">
      <alignment horizontal="center" vertical="top"/>
    </xf>
    <xf numFmtId="0" fontId="12" fillId="6" borderId="0" xfId="0" applyFont="1" applyFill="1" applyAlignment="1">
      <alignment horizontal="center" vertical="top"/>
    </xf>
    <xf numFmtId="0" fontId="12" fillId="6" borderId="14" xfId="0" applyFont="1" applyFill="1" applyBorder="1" applyAlignment="1">
      <alignment horizontal="center" vertical="top"/>
    </xf>
    <xf numFmtId="0" fontId="12" fillId="6" borderId="5" xfId="0" applyFont="1" applyFill="1" applyBorder="1" applyAlignment="1">
      <alignment horizontal="center" vertical="top"/>
    </xf>
    <xf numFmtId="0" fontId="12" fillId="6" borderId="6" xfId="0" applyFont="1" applyFill="1" applyBorder="1" applyAlignment="1">
      <alignment horizontal="center" vertical="top"/>
    </xf>
    <xf numFmtId="0" fontId="12" fillId="6" borderId="16" xfId="0" applyFont="1" applyFill="1" applyBorder="1" applyAlignment="1">
      <alignment horizontal="center" vertical="top"/>
    </xf>
    <xf numFmtId="0" fontId="12" fillId="0" borderId="10" xfId="0" applyFont="1" applyBorder="1" applyAlignment="1">
      <alignment horizontal="left" vertical="top"/>
    </xf>
    <xf numFmtId="0" fontId="12" fillId="0" borderId="13" xfId="0" applyFont="1" applyBorder="1" applyAlignment="1">
      <alignment horizontal="left" vertical="top"/>
    </xf>
    <xf numFmtId="0" fontId="12" fillId="0" borderId="4" xfId="0" applyFont="1" applyBorder="1" applyAlignment="1">
      <alignment horizontal="left" vertical="top"/>
    </xf>
    <xf numFmtId="0" fontId="12" fillId="0" borderId="14" xfId="0" applyFont="1" applyBorder="1" applyAlignment="1">
      <alignment horizontal="left" vertical="top"/>
    </xf>
    <xf numFmtId="0" fontId="12" fillId="0" borderId="5" xfId="0" applyFont="1" applyBorder="1" applyAlignment="1">
      <alignment horizontal="left" vertical="top"/>
    </xf>
    <xf numFmtId="0" fontId="12" fillId="0" borderId="16" xfId="0" applyFont="1" applyBorder="1" applyAlignment="1">
      <alignment horizontal="left" vertical="top"/>
    </xf>
    <xf numFmtId="0" fontId="10" fillId="0" borderId="12" xfId="0" applyFont="1" applyBorder="1" applyAlignment="1">
      <alignment horizontal="left" vertical="top" wrapText="1"/>
    </xf>
    <xf numFmtId="0" fontId="10" fillId="0" borderId="9" xfId="0" applyFont="1" applyBorder="1" applyAlignment="1">
      <alignment horizontal="left" vertical="top" wrapText="1"/>
    </xf>
    <xf numFmtId="0" fontId="10" fillId="0" borderId="8" xfId="0" applyFont="1" applyBorder="1" applyAlignment="1">
      <alignment horizontal="left" wrapText="1"/>
    </xf>
    <xf numFmtId="0" fontId="10" fillId="0" borderId="12" xfId="0" applyFont="1" applyBorder="1" applyAlignment="1">
      <alignment horizontal="left" wrapText="1"/>
    </xf>
    <xf numFmtId="0" fontId="10" fillId="5" borderId="2" xfId="0" applyFont="1" applyFill="1" applyBorder="1" applyAlignment="1">
      <alignment horizontal="left" vertical="center" wrapText="1" indent="1"/>
    </xf>
    <xf numFmtId="0" fontId="10" fillId="0" borderId="4" xfId="0" applyFont="1" applyBorder="1" applyAlignment="1">
      <alignment horizontal="left" vertical="top" wrapText="1" indent="3"/>
    </xf>
    <xf numFmtId="0" fontId="10" fillId="0" borderId="0" xfId="0" applyFont="1" applyAlignment="1">
      <alignment horizontal="left" vertical="top" wrapText="1" indent="3"/>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15" xfId="0" applyFont="1" applyBorder="1" applyAlignment="1">
      <alignment horizontal="center" vertical="center"/>
    </xf>
    <xf numFmtId="0" fontId="10" fillId="0" borderId="9" xfId="0" applyFont="1" applyBorder="1" applyAlignment="1">
      <alignment horizontal="left" wrapText="1"/>
    </xf>
    <xf numFmtId="0" fontId="10" fillId="0" borderId="10" xfId="0" applyFont="1" applyBorder="1" applyAlignment="1">
      <alignment horizontal="right" vertical="center" wrapText="1" indent="1"/>
    </xf>
    <xf numFmtId="0" fontId="10" fillId="0" borderId="13" xfId="0" applyFont="1" applyBorder="1" applyAlignment="1">
      <alignment horizontal="right" vertical="center" wrapText="1" indent="1"/>
    </xf>
    <xf numFmtId="0" fontId="10" fillId="0" borderId="4" xfId="0" applyFont="1" applyBorder="1" applyAlignment="1">
      <alignment horizontal="right" vertical="center" wrapText="1" indent="1"/>
    </xf>
    <xf numFmtId="0" fontId="10" fillId="0" borderId="14" xfId="0" applyFont="1" applyBorder="1" applyAlignment="1">
      <alignment horizontal="right" vertical="center" wrapText="1" indent="1"/>
    </xf>
    <xf numFmtId="0" fontId="10" fillId="0" borderId="5" xfId="0" applyFont="1" applyBorder="1" applyAlignment="1">
      <alignment horizontal="right" vertical="center" wrapText="1" indent="1"/>
    </xf>
    <xf numFmtId="0" fontId="10" fillId="0" borderId="16" xfId="0" applyFont="1" applyBorder="1" applyAlignment="1">
      <alignment horizontal="right" vertical="center" wrapText="1" indent="1"/>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13" xfId="0" applyFont="1" applyBorder="1" applyAlignment="1">
      <alignment horizontal="center" vertical="center"/>
    </xf>
    <xf numFmtId="0" fontId="14" fillId="0" borderId="4" xfId="0" applyFont="1" applyBorder="1" applyAlignment="1">
      <alignment horizontal="center" vertical="center"/>
    </xf>
    <xf numFmtId="0" fontId="14" fillId="0" borderId="0" xfId="0" applyFont="1" applyAlignment="1">
      <alignment horizontal="center" vertical="center"/>
    </xf>
    <xf numFmtId="0" fontId="14" fillId="0" borderId="14"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16" xfId="0" applyFont="1" applyBorder="1" applyAlignment="1">
      <alignment horizontal="center" vertical="center"/>
    </xf>
    <xf numFmtId="0" fontId="10" fillId="6" borderId="10" xfId="0" applyFont="1" applyFill="1" applyBorder="1" applyAlignment="1">
      <alignment horizontal="left" vertical="center" wrapText="1" indent="1"/>
    </xf>
    <xf numFmtId="0" fontId="10" fillId="6" borderId="13" xfId="0" applyFont="1" applyFill="1" applyBorder="1" applyAlignment="1">
      <alignment horizontal="left" vertical="center" wrapText="1" indent="1"/>
    </xf>
    <xf numFmtId="0" fontId="10" fillId="6" borderId="5" xfId="0" applyFont="1" applyFill="1" applyBorder="1" applyAlignment="1">
      <alignment horizontal="left" vertical="center" wrapText="1" indent="1"/>
    </xf>
    <xf numFmtId="0" fontId="10" fillId="6" borderId="16" xfId="0" applyFont="1" applyFill="1" applyBorder="1" applyAlignment="1">
      <alignment horizontal="left" vertical="center" wrapText="1" indent="1"/>
    </xf>
    <xf numFmtId="0" fontId="12" fillId="0" borderId="13" xfId="0" applyFont="1" applyBorder="1" applyAlignment="1">
      <alignment horizontal="left"/>
    </xf>
    <xf numFmtId="0" fontId="12" fillId="0" borderId="14" xfId="0" applyFont="1" applyBorder="1" applyAlignment="1">
      <alignment horizontal="left"/>
    </xf>
    <xf numFmtId="0" fontId="12" fillId="0" borderId="16" xfId="0" applyFont="1" applyBorder="1" applyAlignment="1">
      <alignment horizontal="left"/>
    </xf>
    <xf numFmtId="0" fontId="11" fillId="6" borderId="10" xfId="0" applyFont="1" applyFill="1" applyBorder="1" applyAlignment="1">
      <alignment horizontal="left" vertical="center" wrapText="1"/>
    </xf>
    <xf numFmtId="0" fontId="11" fillId="6" borderId="11" xfId="0" applyFont="1" applyFill="1" applyBorder="1" applyAlignment="1">
      <alignment horizontal="left" vertical="center" wrapText="1"/>
    </xf>
    <xf numFmtId="0" fontId="11" fillId="6" borderId="13" xfId="0" applyFont="1" applyFill="1" applyBorder="1" applyAlignment="1">
      <alignment horizontal="left" vertical="center" wrapText="1"/>
    </xf>
    <xf numFmtId="0" fontId="11" fillId="6" borderId="4" xfId="0" applyFont="1" applyFill="1" applyBorder="1" applyAlignment="1">
      <alignment horizontal="left" vertical="center" wrapText="1"/>
    </xf>
    <xf numFmtId="0" fontId="11" fillId="6" borderId="0" xfId="0" applyFont="1" applyFill="1" applyAlignment="1">
      <alignment horizontal="left" vertical="center" wrapText="1"/>
    </xf>
    <xf numFmtId="0" fontId="11" fillId="6" borderId="14" xfId="0" applyFont="1" applyFill="1" applyBorder="1" applyAlignment="1">
      <alignment horizontal="left" vertical="center" wrapText="1"/>
    </xf>
    <xf numFmtId="0" fontId="11" fillId="6" borderId="5" xfId="0" applyFont="1" applyFill="1" applyBorder="1" applyAlignment="1">
      <alignment horizontal="left" vertical="center" wrapText="1"/>
    </xf>
    <xf numFmtId="0" fontId="11" fillId="6" borderId="6" xfId="0" applyFont="1" applyFill="1" applyBorder="1" applyAlignment="1">
      <alignment horizontal="left" vertical="center" wrapText="1"/>
    </xf>
    <xf numFmtId="0" fontId="11" fillId="6" borderId="16" xfId="0" applyFont="1" applyFill="1" applyBorder="1" applyAlignment="1">
      <alignment horizontal="left" vertical="center" wrapText="1"/>
    </xf>
    <xf numFmtId="0" fontId="13" fillId="0" borderId="10" xfId="0" applyFont="1" applyBorder="1" applyAlignment="1">
      <alignment horizontal="left" vertical="center" wrapText="1" indent="1"/>
    </xf>
    <xf numFmtId="0" fontId="13" fillId="0" borderId="13" xfId="0" applyFont="1" applyBorder="1" applyAlignment="1">
      <alignment horizontal="left" vertical="center" wrapText="1" indent="1"/>
    </xf>
    <xf numFmtId="0" fontId="13" fillId="0" borderId="5" xfId="0" applyFont="1" applyBorder="1" applyAlignment="1">
      <alignment horizontal="left" vertical="center" wrapText="1" indent="1"/>
    </xf>
    <xf numFmtId="0" fontId="13" fillId="0" borderId="16" xfId="0" applyFont="1" applyBorder="1" applyAlignment="1">
      <alignment horizontal="left" vertical="center" wrapText="1" indent="1"/>
    </xf>
    <xf numFmtId="0" fontId="10" fillId="0" borderId="8" xfId="0" applyFont="1" applyBorder="1" applyAlignment="1">
      <alignment horizontal="left" vertical="center" wrapText="1" indent="1"/>
    </xf>
    <xf numFmtId="0" fontId="10" fillId="0" borderId="9" xfId="0" applyFont="1" applyBorder="1" applyAlignment="1">
      <alignment horizontal="left" vertical="center" wrapText="1" indent="1"/>
    </xf>
    <xf numFmtId="0" fontId="10" fillId="4" borderId="10"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5" xfId="0" applyFont="1" applyFill="1" applyBorder="1" applyAlignment="1">
      <alignment horizontal="left" vertical="top" wrapText="1"/>
    </xf>
    <xf numFmtId="0" fontId="10" fillId="4" borderId="16" xfId="0" applyFont="1" applyFill="1" applyBorder="1" applyAlignment="1">
      <alignment horizontal="left" vertical="top" wrapText="1"/>
    </xf>
    <xf numFmtId="0" fontId="10" fillId="4" borderId="11" xfId="0" applyFont="1" applyFill="1" applyBorder="1" applyAlignment="1">
      <alignment horizontal="left" vertical="top" wrapText="1"/>
    </xf>
    <xf numFmtId="0" fontId="10" fillId="4" borderId="6" xfId="0" applyFont="1" applyFill="1" applyBorder="1" applyAlignment="1">
      <alignment horizontal="left" vertical="top" wrapText="1"/>
    </xf>
    <xf numFmtId="0" fontId="10" fillId="0" borderId="8" xfId="0" applyFont="1" applyBorder="1" applyAlignment="1">
      <alignment horizontal="left" vertical="top"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15" xfId="0" applyFont="1" applyBorder="1" applyAlignment="1">
      <alignment horizontal="center" vertical="top" wrapText="1"/>
    </xf>
    <xf numFmtId="0" fontId="10" fillId="0" borderId="5" xfId="0" applyFont="1" applyBorder="1" applyAlignment="1">
      <alignment horizontal="left" vertical="top" wrapText="1" indent="10"/>
    </xf>
    <xf numFmtId="0" fontId="10" fillId="0" borderId="6" xfId="0" applyFont="1" applyBorder="1" applyAlignment="1">
      <alignment horizontal="left" vertical="top" wrapText="1" indent="10"/>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left" vertical="center" wrapText="1" indent="1"/>
    </xf>
    <xf numFmtId="0" fontId="10" fillId="4" borderId="11" xfId="0" applyFont="1" applyFill="1" applyBorder="1" applyAlignment="1">
      <alignment horizontal="left" vertical="center" wrapText="1" indent="1"/>
    </xf>
    <xf numFmtId="0" fontId="10" fillId="4" borderId="13" xfId="0" applyFont="1" applyFill="1" applyBorder="1" applyAlignment="1">
      <alignment horizontal="left" vertical="center" wrapText="1" indent="1"/>
    </xf>
    <xf numFmtId="0" fontId="10" fillId="4" borderId="5" xfId="0" applyFont="1" applyFill="1" applyBorder="1" applyAlignment="1">
      <alignment horizontal="left" vertical="center" wrapText="1" indent="1"/>
    </xf>
    <xf numFmtId="0" fontId="10" fillId="4" borderId="6" xfId="0" applyFont="1" applyFill="1" applyBorder="1" applyAlignment="1">
      <alignment horizontal="left" vertical="center" wrapText="1" indent="1"/>
    </xf>
    <xf numFmtId="0" fontId="10" fillId="4" borderId="16" xfId="0" applyFont="1" applyFill="1" applyBorder="1" applyAlignment="1">
      <alignment horizontal="left" vertical="center" wrapText="1" indent="1"/>
    </xf>
    <xf numFmtId="0" fontId="10" fillId="4" borderId="10" xfId="0" applyFont="1" applyFill="1" applyBorder="1" applyAlignment="1">
      <alignment horizontal="left" vertical="top" wrapText="1" indent="1"/>
    </xf>
    <xf numFmtId="0" fontId="10" fillId="4" borderId="11" xfId="0" applyFont="1" applyFill="1" applyBorder="1" applyAlignment="1">
      <alignment horizontal="left" vertical="top" wrapText="1" indent="1"/>
    </xf>
    <xf numFmtId="0" fontId="10" fillId="4" borderId="13" xfId="0" applyFont="1" applyFill="1" applyBorder="1" applyAlignment="1">
      <alignment horizontal="left" vertical="top" wrapText="1" indent="1"/>
    </xf>
    <xf numFmtId="0" fontId="10" fillId="4" borderId="5" xfId="0" applyFont="1" applyFill="1" applyBorder="1" applyAlignment="1">
      <alignment horizontal="left" vertical="top" wrapText="1" indent="1"/>
    </xf>
    <xf numFmtId="0" fontId="10" fillId="4" borderId="6" xfId="0" applyFont="1" applyFill="1" applyBorder="1" applyAlignment="1">
      <alignment horizontal="left" vertical="top" wrapText="1" indent="1"/>
    </xf>
    <xf numFmtId="0" fontId="10" fillId="4" borderId="16" xfId="0" applyFont="1" applyFill="1" applyBorder="1" applyAlignment="1">
      <alignment horizontal="left" vertical="top" wrapText="1" inden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8897-8F3E-4DC0-A7EE-ADAFD0DBAE5A}">
  <dimension ref="A1:B715"/>
  <sheetViews>
    <sheetView tabSelected="1" workbookViewId="0">
      <selection activeCell="G24" sqref="G24"/>
    </sheetView>
  </sheetViews>
  <sheetFormatPr defaultRowHeight="14" x14ac:dyDescent="0.3"/>
  <cols>
    <col min="1" max="1" width="21.08203125" customWidth="1"/>
    <col min="2" max="2" width="9.4140625" customWidth="1"/>
  </cols>
  <sheetData>
    <row r="1" spans="1:2" x14ac:dyDescent="0.3">
      <c r="A1" s="1" t="s">
        <v>0</v>
      </c>
      <c r="B1" s="2" t="s">
        <v>1</v>
      </c>
    </row>
    <row r="2" spans="1:2" x14ac:dyDescent="0.3">
      <c r="A2" s="1" t="s">
        <v>2</v>
      </c>
      <c r="B2" s="2">
        <v>0.9</v>
      </c>
    </row>
    <row r="3" spans="1:2" x14ac:dyDescent="0.3">
      <c r="A3" s="1" t="s">
        <v>3</v>
      </c>
      <c r="B3" s="2">
        <v>0.8</v>
      </c>
    </row>
    <row r="4" spans="1:2" x14ac:dyDescent="0.3">
      <c r="A4" s="1" t="s">
        <v>4</v>
      </c>
      <c r="B4" s="2">
        <v>2.5</v>
      </c>
    </row>
    <row r="5" spans="1:2" x14ac:dyDescent="0.3">
      <c r="A5" s="1" t="s">
        <v>5</v>
      </c>
      <c r="B5" s="2">
        <v>1.3</v>
      </c>
    </row>
    <row r="6" spans="1:2" x14ac:dyDescent="0.3">
      <c r="A6" s="1" t="s">
        <v>6</v>
      </c>
      <c r="B6" s="2">
        <v>1.5</v>
      </c>
    </row>
    <row r="7" spans="1:2" x14ac:dyDescent="0.3">
      <c r="A7" s="1" t="s">
        <v>7</v>
      </c>
      <c r="B7" s="2">
        <v>0.3</v>
      </c>
    </row>
    <row r="8" spans="1:2" x14ac:dyDescent="0.3">
      <c r="A8" s="1" t="s">
        <v>8</v>
      </c>
      <c r="B8" s="2">
        <v>1.3</v>
      </c>
    </row>
    <row r="9" spans="1:2" x14ac:dyDescent="0.3">
      <c r="A9" s="3" t="s">
        <v>9</v>
      </c>
      <c r="B9" s="4">
        <v>1.3</v>
      </c>
    </row>
    <row r="10" spans="1:2" x14ac:dyDescent="0.3">
      <c r="A10" s="1" t="s">
        <v>10</v>
      </c>
      <c r="B10" s="2">
        <v>2.5</v>
      </c>
    </row>
    <row r="11" spans="1:2" x14ac:dyDescent="0.3">
      <c r="A11" s="1" t="s">
        <v>11</v>
      </c>
      <c r="B11" s="2">
        <v>1.8</v>
      </c>
    </row>
    <row r="12" spans="1:2" x14ac:dyDescent="0.3">
      <c r="A12" s="1" t="s">
        <v>12</v>
      </c>
      <c r="B12" s="2">
        <v>1.8</v>
      </c>
    </row>
    <row r="13" spans="1:2" x14ac:dyDescent="0.3">
      <c r="A13" s="1" t="s">
        <v>13</v>
      </c>
      <c r="B13" s="2">
        <v>2</v>
      </c>
    </row>
    <row r="14" spans="1:2" x14ac:dyDescent="0.3">
      <c r="A14" s="1" t="s">
        <v>14</v>
      </c>
      <c r="B14" s="2">
        <v>0.8</v>
      </c>
    </row>
    <row r="15" spans="1:2" x14ac:dyDescent="0.3">
      <c r="A15" s="1" t="s">
        <v>15</v>
      </c>
      <c r="B15" s="2">
        <v>1</v>
      </c>
    </row>
    <row r="16" spans="1:2" x14ac:dyDescent="0.3">
      <c r="A16" s="1" t="s">
        <v>16</v>
      </c>
      <c r="B16" s="2">
        <v>1.4</v>
      </c>
    </row>
    <row r="17" spans="1:2" x14ac:dyDescent="0.3">
      <c r="A17" s="1" t="s">
        <v>17</v>
      </c>
      <c r="B17" s="2">
        <v>1.2</v>
      </c>
    </row>
    <row r="18" spans="1:2" x14ac:dyDescent="0.3">
      <c r="A18" s="5" t="s">
        <v>18</v>
      </c>
      <c r="B18" s="6">
        <v>3.5</v>
      </c>
    </row>
    <row r="19" spans="1:2" x14ac:dyDescent="0.3">
      <c r="A19" s="1" t="s">
        <v>19</v>
      </c>
      <c r="B19" s="2">
        <v>0.4</v>
      </c>
    </row>
    <row r="20" spans="1:2" x14ac:dyDescent="0.3">
      <c r="A20" s="1" t="s">
        <v>20</v>
      </c>
      <c r="B20" s="2">
        <v>1.3</v>
      </c>
    </row>
    <row r="21" spans="1:2" x14ac:dyDescent="0.3">
      <c r="A21" s="1" t="s">
        <v>21</v>
      </c>
      <c r="B21" s="2">
        <v>0.5</v>
      </c>
    </row>
    <row r="22" spans="1:2" x14ac:dyDescent="0.3">
      <c r="A22" s="1" t="s">
        <v>22</v>
      </c>
      <c r="B22" s="2">
        <v>1.4</v>
      </c>
    </row>
    <row r="23" spans="1:2" x14ac:dyDescent="0.3">
      <c r="A23" s="1" t="s">
        <v>23</v>
      </c>
      <c r="B23" s="2">
        <v>1</v>
      </c>
    </row>
    <row r="24" spans="1:2" x14ac:dyDescent="0.3">
      <c r="A24" s="1" t="s">
        <v>24</v>
      </c>
      <c r="B24" s="2">
        <v>1.5</v>
      </c>
    </row>
    <row r="25" spans="1:2" x14ac:dyDescent="0.3">
      <c r="A25" s="7" t="s">
        <v>25</v>
      </c>
      <c r="B25" s="2">
        <v>2</v>
      </c>
    </row>
    <row r="26" spans="1:2" x14ac:dyDescent="0.3">
      <c r="A26" s="1" t="s">
        <v>26</v>
      </c>
      <c r="B26" s="2">
        <v>1.3</v>
      </c>
    </row>
    <row r="27" spans="1:2" x14ac:dyDescent="0.3">
      <c r="A27" s="1" t="s">
        <v>27</v>
      </c>
      <c r="B27" s="2">
        <v>1.8</v>
      </c>
    </row>
    <row r="28" spans="1:2" x14ac:dyDescent="0.3">
      <c r="A28" s="1" t="s">
        <v>28</v>
      </c>
      <c r="B28" s="2">
        <v>3</v>
      </c>
    </row>
    <row r="29" spans="1:2" x14ac:dyDescent="0.3">
      <c r="A29" s="1" t="s">
        <v>29</v>
      </c>
      <c r="B29" s="2">
        <v>1.5</v>
      </c>
    </row>
    <row r="30" spans="1:2" x14ac:dyDescent="0.3">
      <c r="A30" s="1" t="s">
        <v>30</v>
      </c>
      <c r="B30" s="2">
        <v>1.8</v>
      </c>
    </row>
    <row r="31" spans="1:2" x14ac:dyDescent="0.3">
      <c r="A31" s="1" t="s">
        <v>31</v>
      </c>
      <c r="B31" s="2">
        <v>2.5</v>
      </c>
    </row>
    <row r="32" spans="1:2" x14ac:dyDescent="0.3">
      <c r="A32" s="1" t="s">
        <v>32</v>
      </c>
      <c r="B32" s="2">
        <v>1.5</v>
      </c>
    </row>
    <row r="33" spans="1:2" x14ac:dyDescent="0.3">
      <c r="A33" s="7" t="s">
        <v>33</v>
      </c>
      <c r="B33" s="2">
        <v>3</v>
      </c>
    </row>
    <row r="34" spans="1:2" x14ac:dyDescent="0.3">
      <c r="A34" s="1" t="s">
        <v>34</v>
      </c>
      <c r="B34" s="2">
        <v>1.3</v>
      </c>
    </row>
    <row r="35" spans="1:2" x14ac:dyDescent="0.3">
      <c r="A35" s="1" t="s">
        <v>35</v>
      </c>
      <c r="B35" s="2">
        <v>1.3</v>
      </c>
    </row>
    <row r="36" spans="1:2" x14ac:dyDescent="0.3">
      <c r="A36" s="1" t="s">
        <v>36</v>
      </c>
      <c r="B36" s="2">
        <v>1.8</v>
      </c>
    </row>
    <row r="37" spans="1:2" x14ac:dyDescent="0.3">
      <c r="A37" s="1" t="s">
        <v>37</v>
      </c>
      <c r="B37" s="2">
        <v>1.8</v>
      </c>
    </row>
    <row r="38" spans="1:2" x14ac:dyDescent="0.3">
      <c r="A38" s="1" t="s">
        <v>38</v>
      </c>
      <c r="B38" s="2">
        <v>1.8</v>
      </c>
    </row>
    <row r="39" spans="1:2" x14ac:dyDescent="0.3">
      <c r="A39" s="1" t="s">
        <v>39</v>
      </c>
      <c r="B39" s="2">
        <v>0.3</v>
      </c>
    </row>
    <row r="40" spans="1:2" x14ac:dyDescent="0.3">
      <c r="A40" s="8" t="s">
        <v>40</v>
      </c>
      <c r="B40" s="9">
        <v>1</v>
      </c>
    </row>
    <row r="41" spans="1:2" x14ac:dyDescent="0.3">
      <c r="A41" s="8" t="s">
        <v>41</v>
      </c>
      <c r="B41" s="9">
        <v>1.4</v>
      </c>
    </row>
    <row r="42" spans="1:2" x14ac:dyDescent="0.3">
      <c r="A42" s="8" t="s">
        <v>42</v>
      </c>
      <c r="B42" s="9">
        <v>1.8</v>
      </c>
    </row>
    <row r="43" spans="1:2" x14ac:dyDescent="0.3">
      <c r="A43" s="8" t="s">
        <v>43</v>
      </c>
      <c r="B43" s="9">
        <v>1.3</v>
      </c>
    </row>
    <row r="44" spans="1:2" x14ac:dyDescent="0.3">
      <c r="A44" s="8" t="s">
        <v>44</v>
      </c>
      <c r="B44" s="9">
        <v>1.1000000000000001</v>
      </c>
    </row>
    <row r="45" spans="1:2" x14ac:dyDescent="0.3">
      <c r="A45" s="8" t="s">
        <v>45</v>
      </c>
      <c r="B45" s="9">
        <v>1.8</v>
      </c>
    </row>
    <row r="46" spans="1:2" x14ac:dyDescent="0.3">
      <c r="A46" s="8" t="s">
        <v>46</v>
      </c>
      <c r="B46" s="9">
        <v>1.8</v>
      </c>
    </row>
    <row r="47" spans="1:2" x14ac:dyDescent="0.3">
      <c r="A47" s="8" t="s">
        <v>47</v>
      </c>
      <c r="B47" s="9">
        <v>1.8</v>
      </c>
    </row>
    <row r="48" spans="1:2" x14ac:dyDescent="0.3">
      <c r="A48" s="8" t="s">
        <v>48</v>
      </c>
      <c r="B48" s="9">
        <v>1.8</v>
      </c>
    </row>
    <row r="49" spans="1:2" x14ac:dyDescent="0.3">
      <c r="A49" s="5" t="s">
        <v>49</v>
      </c>
      <c r="B49" s="6">
        <v>1.5</v>
      </c>
    </row>
    <row r="50" spans="1:2" x14ac:dyDescent="0.3">
      <c r="A50" s="5" t="s">
        <v>50</v>
      </c>
      <c r="B50" s="6">
        <v>1.8</v>
      </c>
    </row>
    <row r="51" spans="1:2" x14ac:dyDescent="0.3">
      <c r="A51" s="5" t="s">
        <v>51</v>
      </c>
      <c r="B51" s="6">
        <v>1.1000000000000001</v>
      </c>
    </row>
    <row r="52" spans="1:2" x14ac:dyDescent="0.3">
      <c r="A52" s="5" t="s">
        <v>52</v>
      </c>
      <c r="B52" s="6">
        <v>2</v>
      </c>
    </row>
    <row r="53" spans="1:2" x14ac:dyDescent="0.3">
      <c r="A53" s="1" t="s">
        <v>53</v>
      </c>
      <c r="B53" s="7">
        <v>1.5</v>
      </c>
    </row>
    <row r="54" spans="1:2" x14ac:dyDescent="0.3">
      <c r="A54" s="1" t="s">
        <v>54</v>
      </c>
      <c r="B54" s="7">
        <v>2</v>
      </c>
    </row>
    <row r="55" spans="1:2" x14ac:dyDescent="0.3">
      <c r="A55" s="1" t="s">
        <v>55</v>
      </c>
      <c r="B55" s="7">
        <v>1</v>
      </c>
    </row>
    <row r="56" spans="1:2" x14ac:dyDescent="0.3">
      <c r="A56" s="1" t="s">
        <v>56</v>
      </c>
      <c r="B56" s="7">
        <v>0.3</v>
      </c>
    </row>
    <row r="57" spans="1:2" x14ac:dyDescent="0.3">
      <c r="A57" s="1" t="s">
        <v>57</v>
      </c>
      <c r="B57" s="7">
        <v>1.8</v>
      </c>
    </row>
    <row r="58" spans="1:2" x14ac:dyDescent="0.3">
      <c r="A58" s="1" t="s">
        <v>58</v>
      </c>
      <c r="B58" s="7">
        <v>3.5</v>
      </c>
    </row>
    <row r="59" spans="1:2" x14ac:dyDescent="0.3">
      <c r="A59" s="1" t="s">
        <v>59</v>
      </c>
      <c r="B59" s="7">
        <v>0.3</v>
      </c>
    </row>
    <row r="60" spans="1:2" x14ac:dyDescent="0.3">
      <c r="A60" s="1" t="s">
        <v>60</v>
      </c>
      <c r="B60" s="7">
        <v>1</v>
      </c>
    </row>
    <row r="61" spans="1:2" x14ac:dyDescent="0.3">
      <c r="A61" s="8" t="s">
        <v>61</v>
      </c>
      <c r="B61" s="10">
        <v>2</v>
      </c>
    </row>
    <row r="62" spans="1:2" x14ac:dyDescent="0.3">
      <c r="A62" s="8" t="s">
        <v>62</v>
      </c>
      <c r="B62" s="10">
        <v>3.5</v>
      </c>
    </row>
    <row r="63" spans="1:2" x14ac:dyDescent="0.3">
      <c r="A63" s="11" t="s">
        <v>63</v>
      </c>
      <c r="B63" s="7">
        <v>3.5</v>
      </c>
    </row>
    <row r="64" spans="1:2" x14ac:dyDescent="0.3">
      <c r="A64" s="1" t="s">
        <v>64</v>
      </c>
      <c r="B64" s="7">
        <v>0.5</v>
      </c>
    </row>
    <row r="65" spans="1:2" x14ac:dyDescent="0.3">
      <c r="A65" s="1" t="s">
        <v>65</v>
      </c>
      <c r="B65" s="7">
        <v>0.3</v>
      </c>
    </row>
    <row r="66" spans="1:2" x14ac:dyDescent="0.3">
      <c r="A66" s="1" t="s">
        <v>66</v>
      </c>
      <c r="B66" s="7">
        <v>7</v>
      </c>
    </row>
    <row r="67" spans="1:2" x14ac:dyDescent="0.3">
      <c r="A67" s="1" t="s">
        <v>67</v>
      </c>
      <c r="B67" s="7">
        <v>3.5</v>
      </c>
    </row>
    <row r="68" spans="1:2" x14ac:dyDescent="0.3">
      <c r="A68" s="1" t="s">
        <v>68</v>
      </c>
      <c r="B68" s="7">
        <v>0.3</v>
      </c>
    </row>
    <row r="69" spans="1:2" x14ac:dyDescent="0.3">
      <c r="A69" s="1" t="s">
        <v>69</v>
      </c>
      <c r="B69" s="7">
        <v>1.2</v>
      </c>
    </row>
    <row r="70" spans="1:2" x14ac:dyDescent="0.3">
      <c r="A70" s="1" t="s">
        <v>70</v>
      </c>
      <c r="B70" s="7">
        <v>3.5</v>
      </c>
    </row>
    <row r="71" spans="1:2" x14ac:dyDescent="0.3">
      <c r="A71" s="1" t="s">
        <v>71</v>
      </c>
      <c r="B71" s="7">
        <v>1.8</v>
      </c>
    </row>
    <row r="72" spans="1:2" x14ac:dyDescent="0.3">
      <c r="A72" s="1" t="s">
        <v>72</v>
      </c>
      <c r="B72" s="7">
        <v>1.8</v>
      </c>
    </row>
    <row r="73" spans="1:2" x14ac:dyDescent="0.3">
      <c r="A73" s="1" t="s">
        <v>73</v>
      </c>
      <c r="B73" s="7">
        <v>0.8</v>
      </c>
    </row>
    <row r="74" spans="1:2" x14ac:dyDescent="0.3">
      <c r="A74" s="1" t="s">
        <v>74</v>
      </c>
      <c r="B74" s="7">
        <v>0.5</v>
      </c>
    </row>
    <row r="75" spans="1:2" x14ac:dyDescent="0.3">
      <c r="A75" s="1" t="s">
        <v>75</v>
      </c>
      <c r="B75" s="7">
        <v>0.7</v>
      </c>
    </row>
    <row r="76" spans="1:2" x14ac:dyDescent="0.3">
      <c r="A76" s="1" t="s">
        <v>76</v>
      </c>
      <c r="B76" s="7">
        <f>0.9+0.2</f>
        <v>1.1000000000000001</v>
      </c>
    </row>
    <row r="77" spans="1:2" x14ac:dyDescent="0.3">
      <c r="A77" s="1" t="s">
        <v>77</v>
      </c>
      <c r="B77" s="7">
        <v>0.8</v>
      </c>
    </row>
    <row r="78" spans="1:2" x14ac:dyDescent="0.3">
      <c r="A78" s="1" t="s">
        <v>78</v>
      </c>
      <c r="B78" s="7">
        <v>1.2</v>
      </c>
    </row>
    <row r="79" spans="1:2" x14ac:dyDescent="0.3">
      <c r="A79" s="1" t="s">
        <v>79</v>
      </c>
      <c r="B79" s="7">
        <v>2.5</v>
      </c>
    </row>
    <row r="80" spans="1:2" x14ac:dyDescent="0.3">
      <c r="A80" s="1" t="s">
        <v>80</v>
      </c>
      <c r="B80" s="7">
        <v>1.2</v>
      </c>
    </row>
    <row r="81" spans="1:2" x14ac:dyDescent="0.3">
      <c r="A81" s="1" t="s">
        <v>81</v>
      </c>
      <c r="B81" s="7">
        <v>0.3</v>
      </c>
    </row>
    <row r="82" spans="1:2" x14ac:dyDescent="0.3">
      <c r="A82" s="1" t="s">
        <v>82</v>
      </c>
      <c r="B82" s="7">
        <v>1.3</v>
      </c>
    </row>
    <row r="83" spans="1:2" x14ac:dyDescent="0.3">
      <c r="A83" s="1" t="s">
        <v>83</v>
      </c>
      <c r="B83" s="7">
        <v>1.5</v>
      </c>
    </row>
    <row r="84" spans="1:2" x14ac:dyDescent="0.3">
      <c r="A84" s="1" t="s">
        <v>84</v>
      </c>
      <c r="B84" s="7">
        <f>1.3+0.2</f>
        <v>1.5</v>
      </c>
    </row>
    <row r="85" spans="1:2" x14ac:dyDescent="0.3">
      <c r="A85" s="1" t="s">
        <v>85</v>
      </c>
      <c r="B85" s="7">
        <f>1.8+0.2</f>
        <v>2</v>
      </c>
    </row>
    <row r="86" spans="1:2" x14ac:dyDescent="0.3">
      <c r="A86" s="1" t="s">
        <v>86</v>
      </c>
      <c r="B86" s="7">
        <f>1.8+0.3</f>
        <v>2.1</v>
      </c>
    </row>
    <row r="87" spans="1:2" x14ac:dyDescent="0.3">
      <c r="A87" s="1" t="s">
        <v>87</v>
      </c>
      <c r="B87" s="7">
        <f>1.8+0.3</f>
        <v>2.1</v>
      </c>
    </row>
    <row r="88" spans="1:2" x14ac:dyDescent="0.3">
      <c r="A88" s="1" t="s">
        <v>88</v>
      </c>
      <c r="B88" s="7">
        <v>1.5</v>
      </c>
    </row>
    <row r="89" spans="1:2" x14ac:dyDescent="0.3">
      <c r="A89" s="1" t="s">
        <v>89</v>
      </c>
      <c r="B89" s="7">
        <v>1.7</v>
      </c>
    </row>
    <row r="90" spans="1:2" x14ac:dyDescent="0.3">
      <c r="A90" s="11" t="s">
        <v>90</v>
      </c>
      <c r="B90" s="7">
        <f>1.2+0.2</f>
        <v>1.4</v>
      </c>
    </row>
    <row r="91" spans="1:2" x14ac:dyDescent="0.3">
      <c r="A91" s="11" t="s">
        <v>91</v>
      </c>
      <c r="B91" s="7">
        <f>1.8+0.2</f>
        <v>2</v>
      </c>
    </row>
    <row r="92" spans="1:2" x14ac:dyDescent="0.3">
      <c r="A92" s="1" t="s">
        <v>92</v>
      </c>
      <c r="B92" s="7">
        <v>2.4</v>
      </c>
    </row>
    <row r="93" spans="1:2" x14ac:dyDescent="0.3">
      <c r="A93" s="1" t="s">
        <v>93</v>
      </c>
      <c r="B93" s="7">
        <v>1.5</v>
      </c>
    </row>
    <row r="94" spans="1:2" x14ac:dyDescent="0.3">
      <c r="A94" s="1" t="s">
        <v>94</v>
      </c>
      <c r="B94" s="7">
        <v>1.1000000000000001</v>
      </c>
    </row>
    <row r="95" spans="1:2" x14ac:dyDescent="0.3">
      <c r="A95" s="1" t="s">
        <v>95</v>
      </c>
      <c r="B95" s="7">
        <v>2.5</v>
      </c>
    </row>
    <row r="96" spans="1:2" x14ac:dyDescent="0.3">
      <c r="A96" s="1" t="s">
        <v>96</v>
      </c>
      <c r="B96" s="7">
        <v>0.8</v>
      </c>
    </row>
    <row r="97" spans="1:2" x14ac:dyDescent="0.3">
      <c r="A97" s="1" t="s">
        <v>97</v>
      </c>
      <c r="B97" s="7">
        <v>1.5</v>
      </c>
    </row>
    <row r="98" spans="1:2" x14ac:dyDescent="0.3">
      <c r="A98" s="1" t="s">
        <v>98</v>
      </c>
      <c r="B98" s="7">
        <v>2</v>
      </c>
    </row>
    <row r="99" spans="1:2" x14ac:dyDescent="0.3">
      <c r="A99" s="1" t="s">
        <v>99</v>
      </c>
      <c r="B99" s="7">
        <v>2.5</v>
      </c>
    </row>
    <row r="100" spans="1:2" x14ac:dyDescent="0.3">
      <c r="A100" s="1" t="s">
        <v>100</v>
      </c>
      <c r="B100" s="7">
        <v>0.8</v>
      </c>
    </row>
    <row r="101" spans="1:2" x14ac:dyDescent="0.3">
      <c r="A101" s="1" t="s">
        <v>101</v>
      </c>
      <c r="B101" s="7">
        <v>3.3</v>
      </c>
    </row>
    <row r="102" spans="1:2" x14ac:dyDescent="0.3">
      <c r="A102" s="1" t="s">
        <v>102</v>
      </c>
      <c r="B102" s="7">
        <v>3.3</v>
      </c>
    </row>
    <row r="103" spans="1:2" x14ac:dyDescent="0.3">
      <c r="A103" s="1" t="s">
        <v>103</v>
      </c>
      <c r="B103" s="7">
        <v>3.8</v>
      </c>
    </row>
    <row r="104" spans="1:2" x14ac:dyDescent="0.3">
      <c r="A104" s="1" t="s">
        <v>104</v>
      </c>
      <c r="B104" s="7">
        <v>2.5</v>
      </c>
    </row>
    <row r="105" spans="1:2" x14ac:dyDescent="0.3">
      <c r="A105" s="1" t="s">
        <v>105</v>
      </c>
      <c r="B105" s="7">
        <v>2</v>
      </c>
    </row>
    <row r="106" spans="1:2" x14ac:dyDescent="0.3">
      <c r="A106" s="1" t="s">
        <v>106</v>
      </c>
      <c r="B106" s="7">
        <v>1</v>
      </c>
    </row>
    <row r="107" spans="1:2" x14ac:dyDescent="0.3">
      <c r="A107" s="1" t="s">
        <v>107</v>
      </c>
      <c r="B107" s="7">
        <v>4</v>
      </c>
    </row>
    <row r="108" spans="1:2" x14ac:dyDescent="0.3">
      <c r="A108" s="1" t="s">
        <v>108</v>
      </c>
      <c r="B108" s="7">
        <v>5</v>
      </c>
    </row>
    <row r="109" spans="1:2" x14ac:dyDescent="0.3">
      <c r="A109" s="1" t="s">
        <v>109</v>
      </c>
      <c r="B109" s="7">
        <v>6</v>
      </c>
    </row>
    <row r="110" spans="1:2" x14ac:dyDescent="0.3">
      <c r="A110" s="1" t="s">
        <v>110</v>
      </c>
      <c r="B110" s="7">
        <v>2.5</v>
      </c>
    </row>
    <row r="111" spans="1:2" x14ac:dyDescent="0.3">
      <c r="A111" s="1" t="s">
        <v>111</v>
      </c>
      <c r="B111" s="7">
        <v>3.5</v>
      </c>
    </row>
    <row r="112" spans="1:2" x14ac:dyDescent="0.3">
      <c r="A112" s="1" t="s">
        <v>112</v>
      </c>
      <c r="B112" s="7">
        <v>3.5</v>
      </c>
    </row>
    <row r="113" spans="1:2" x14ac:dyDescent="0.3">
      <c r="A113" s="1" t="s">
        <v>113</v>
      </c>
      <c r="B113" s="7">
        <v>1.1000000000000001</v>
      </c>
    </row>
    <row r="114" spans="1:2" x14ac:dyDescent="0.3">
      <c r="A114" s="1" t="s">
        <v>114</v>
      </c>
      <c r="B114" s="7">
        <v>1.2</v>
      </c>
    </row>
    <row r="115" spans="1:2" x14ac:dyDescent="0.3">
      <c r="A115" s="1" t="s">
        <v>115</v>
      </c>
      <c r="B115" s="7">
        <v>1.3</v>
      </c>
    </row>
    <row r="116" spans="1:2" x14ac:dyDescent="0.3">
      <c r="A116" s="1" t="s">
        <v>116</v>
      </c>
      <c r="B116" s="7">
        <v>1.2</v>
      </c>
    </row>
    <row r="117" spans="1:2" x14ac:dyDescent="0.3">
      <c r="A117" s="1" t="s">
        <v>117</v>
      </c>
      <c r="B117" s="7">
        <v>2.5</v>
      </c>
    </row>
    <row r="118" spans="1:2" x14ac:dyDescent="0.3">
      <c r="A118" s="1" t="s">
        <v>118</v>
      </c>
      <c r="B118" s="7">
        <v>2</v>
      </c>
    </row>
    <row r="119" spans="1:2" x14ac:dyDescent="0.3">
      <c r="A119" s="1" t="s">
        <v>119</v>
      </c>
      <c r="B119" s="7">
        <v>1.1000000000000001</v>
      </c>
    </row>
    <row r="120" spans="1:2" x14ac:dyDescent="0.3">
      <c r="A120" s="1" t="s">
        <v>120</v>
      </c>
      <c r="B120" s="7">
        <v>0.5</v>
      </c>
    </row>
    <row r="121" spans="1:2" x14ac:dyDescent="0.3">
      <c r="A121" s="1" t="s">
        <v>121</v>
      </c>
      <c r="B121" s="7">
        <v>0.6</v>
      </c>
    </row>
    <row r="122" spans="1:2" x14ac:dyDescent="0.3">
      <c r="A122" s="11" t="s">
        <v>122</v>
      </c>
      <c r="B122" s="7">
        <v>0.3</v>
      </c>
    </row>
    <row r="123" spans="1:2" x14ac:dyDescent="0.3">
      <c r="A123" s="1" t="s">
        <v>123</v>
      </c>
      <c r="B123" s="7">
        <v>0.3</v>
      </c>
    </row>
    <row r="124" spans="1:2" x14ac:dyDescent="0.3">
      <c r="A124" s="1" t="s">
        <v>124</v>
      </c>
      <c r="B124" s="7">
        <v>0.3</v>
      </c>
    </row>
    <row r="125" spans="1:2" x14ac:dyDescent="0.3">
      <c r="A125" s="1" t="s">
        <v>125</v>
      </c>
      <c r="B125" s="7">
        <v>1.8</v>
      </c>
    </row>
    <row r="126" spans="1:2" x14ac:dyDescent="0.3">
      <c r="A126" s="1" t="s">
        <v>126</v>
      </c>
      <c r="B126" s="7">
        <v>1.6</v>
      </c>
    </row>
    <row r="127" spans="1:2" x14ac:dyDescent="0.3">
      <c r="A127" s="1" t="s">
        <v>127</v>
      </c>
      <c r="B127" s="7">
        <v>0.2</v>
      </c>
    </row>
    <row r="128" spans="1:2" x14ac:dyDescent="0.3">
      <c r="A128" s="11" t="s">
        <v>128</v>
      </c>
      <c r="B128" s="7">
        <v>1.8</v>
      </c>
    </row>
    <row r="129" spans="1:2" x14ac:dyDescent="0.3">
      <c r="A129" s="11" t="s">
        <v>129</v>
      </c>
      <c r="B129" s="7">
        <v>0.3</v>
      </c>
    </row>
    <row r="130" spans="1:2" x14ac:dyDescent="0.3">
      <c r="A130" s="11" t="s">
        <v>130</v>
      </c>
      <c r="B130" s="7">
        <v>0.9</v>
      </c>
    </row>
    <row r="131" spans="1:2" x14ac:dyDescent="0.3">
      <c r="A131" s="11" t="s">
        <v>131</v>
      </c>
      <c r="B131" s="7">
        <v>1.1000000000000001</v>
      </c>
    </row>
    <row r="132" spans="1:2" x14ac:dyDescent="0.3">
      <c r="A132" s="11" t="s">
        <v>132</v>
      </c>
      <c r="B132" s="7">
        <v>0.8</v>
      </c>
    </row>
    <row r="133" spans="1:2" x14ac:dyDescent="0.3">
      <c r="A133" s="11" t="s">
        <v>133</v>
      </c>
      <c r="B133" s="7">
        <v>0.8</v>
      </c>
    </row>
    <row r="134" spans="1:2" x14ac:dyDescent="0.3">
      <c r="A134" s="11" t="s">
        <v>134</v>
      </c>
      <c r="B134" s="7">
        <v>3</v>
      </c>
    </row>
    <row r="135" spans="1:2" x14ac:dyDescent="0.3">
      <c r="A135" s="11" t="s">
        <v>135</v>
      </c>
      <c r="B135" s="7">
        <v>2</v>
      </c>
    </row>
    <row r="136" spans="1:2" x14ac:dyDescent="0.3">
      <c r="A136" s="11" t="s">
        <v>136</v>
      </c>
      <c r="B136" s="7">
        <v>2</v>
      </c>
    </row>
    <row r="137" spans="1:2" x14ac:dyDescent="0.3">
      <c r="A137" s="1" t="s">
        <v>137</v>
      </c>
      <c r="B137" s="7">
        <v>1.5</v>
      </c>
    </row>
    <row r="138" spans="1:2" x14ac:dyDescent="0.3">
      <c r="A138" s="11" t="s">
        <v>138</v>
      </c>
      <c r="B138" s="7">
        <v>2</v>
      </c>
    </row>
    <row r="139" spans="1:2" x14ac:dyDescent="0.3">
      <c r="A139" s="11" t="s">
        <v>139</v>
      </c>
      <c r="B139" s="7">
        <v>0.7</v>
      </c>
    </row>
    <row r="140" spans="1:2" x14ac:dyDescent="0.3">
      <c r="A140" s="11" t="s">
        <v>140</v>
      </c>
      <c r="B140" s="7">
        <v>1</v>
      </c>
    </row>
    <row r="141" spans="1:2" x14ac:dyDescent="0.3">
      <c r="A141" s="11" t="s">
        <v>141</v>
      </c>
      <c r="B141" s="7">
        <v>3</v>
      </c>
    </row>
    <row r="142" spans="1:2" x14ac:dyDescent="0.3">
      <c r="A142" s="11" t="s">
        <v>142</v>
      </c>
      <c r="B142" s="7">
        <v>1.5</v>
      </c>
    </row>
    <row r="143" spans="1:2" x14ac:dyDescent="0.3">
      <c r="A143" s="11" t="s">
        <v>143</v>
      </c>
      <c r="B143" s="7">
        <v>2</v>
      </c>
    </row>
    <row r="144" spans="1:2" x14ac:dyDescent="0.3">
      <c r="A144" s="11" t="s">
        <v>144</v>
      </c>
      <c r="B144" s="7">
        <v>1</v>
      </c>
    </row>
    <row r="145" spans="1:2" x14ac:dyDescent="0.3">
      <c r="A145" s="11" t="s">
        <v>145</v>
      </c>
      <c r="B145" s="7">
        <v>1.5</v>
      </c>
    </row>
    <row r="146" spans="1:2" x14ac:dyDescent="0.3">
      <c r="A146" s="11" t="s">
        <v>146</v>
      </c>
      <c r="B146" s="7">
        <v>3</v>
      </c>
    </row>
    <row r="147" spans="1:2" x14ac:dyDescent="0.3">
      <c r="A147" s="11" t="s">
        <v>147</v>
      </c>
      <c r="B147" s="7">
        <v>3</v>
      </c>
    </row>
    <row r="148" spans="1:2" x14ac:dyDescent="0.3">
      <c r="A148" s="11" t="s">
        <v>148</v>
      </c>
      <c r="B148" s="7">
        <v>4</v>
      </c>
    </row>
    <row r="149" spans="1:2" x14ac:dyDescent="0.3">
      <c r="A149" s="11" t="s">
        <v>149</v>
      </c>
      <c r="B149" s="7">
        <v>5</v>
      </c>
    </row>
    <row r="150" spans="1:2" x14ac:dyDescent="0.3">
      <c r="A150" s="11" t="s">
        <v>150</v>
      </c>
      <c r="B150" s="7">
        <v>5</v>
      </c>
    </row>
    <row r="151" spans="1:2" x14ac:dyDescent="0.3">
      <c r="A151" s="11" t="s">
        <v>151</v>
      </c>
      <c r="B151" s="7">
        <v>6</v>
      </c>
    </row>
    <row r="152" spans="1:2" x14ac:dyDescent="0.3">
      <c r="A152" s="11" t="s">
        <v>152</v>
      </c>
      <c r="B152" s="7">
        <v>8</v>
      </c>
    </row>
    <row r="153" spans="1:2" x14ac:dyDescent="0.3">
      <c r="A153" s="11" t="s">
        <v>153</v>
      </c>
      <c r="B153" s="7">
        <v>6</v>
      </c>
    </row>
    <row r="154" spans="1:2" x14ac:dyDescent="0.3">
      <c r="A154" s="11" t="s">
        <v>154</v>
      </c>
      <c r="B154" s="7">
        <v>5</v>
      </c>
    </row>
    <row r="155" spans="1:2" x14ac:dyDescent="0.3">
      <c r="A155" s="11" t="s">
        <v>155</v>
      </c>
      <c r="B155" s="7">
        <v>4</v>
      </c>
    </row>
    <row r="156" spans="1:2" x14ac:dyDescent="0.3">
      <c r="A156" s="11" t="s">
        <v>156</v>
      </c>
      <c r="B156" s="7">
        <v>3.5</v>
      </c>
    </row>
    <row r="157" spans="1:2" x14ac:dyDescent="0.3">
      <c r="A157" s="11" t="s">
        <v>157</v>
      </c>
      <c r="B157" s="7">
        <v>1.5</v>
      </c>
    </row>
    <row r="158" spans="1:2" x14ac:dyDescent="0.3">
      <c r="A158" s="11" t="s">
        <v>158</v>
      </c>
      <c r="B158" s="7">
        <v>1.8</v>
      </c>
    </row>
    <row r="159" spans="1:2" x14ac:dyDescent="0.3">
      <c r="A159" s="11" t="s">
        <v>159</v>
      </c>
      <c r="B159" s="7">
        <v>15</v>
      </c>
    </row>
    <row r="160" spans="1:2" x14ac:dyDescent="0.3">
      <c r="A160" s="11" t="s">
        <v>160</v>
      </c>
      <c r="B160" s="7">
        <v>4</v>
      </c>
    </row>
    <row r="161" spans="1:2" x14ac:dyDescent="0.3">
      <c r="A161" s="11" t="s">
        <v>161</v>
      </c>
      <c r="B161" s="7">
        <v>1.4</v>
      </c>
    </row>
    <row r="162" spans="1:2" x14ac:dyDescent="0.3">
      <c r="A162" s="11" t="s">
        <v>162</v>
      </c>
      <c r="B162" s="7">
        <v>1.8</v>
      </c>
    </row>
    <row r="163" spans="1:2" x14ac:dyDescent="0.3">
      <c r="A163" s="11" t="s">
        <v>163</v>
      </c>
      <c r="B163" s="7">
        <v>5</v>
      </c>
    </row>
    <row r="164" spans="1:2" x14ac:dyDescent="0.3">
      <c r="A164" s="11" t="s">
        <v>164</v>
      </c>
      <c r="B164" s="7">
        <v>1.5</v>
      </c>
    </row>
    <row r="165" spans="1:2" x14ac:dyDescent="0.3">
      <c r="A165" s="11" t="s">
        <v>165</v>
      </c>
      <c r="B165" s="7">
        <v>7</v>
      </c>
    </row>
    <row r="166" spans="1:2" x14ac:dyDescent="0.3">
      <c r="A166" s="11" t="s">
        <v>166</v>
      </c>
      <c r="B166" s="7">
        <v>2.5</v>
      </c>
    </row>
    <row r="167" spans="1:2" x14ac:dyDescent="0.3">
      <c r="A167" s="11" t="s">
        <v>167</v>
      </c>
      <c r="B167" s="7">
        <v>1</v>
      </c>
    </row>
    <row r="168" spans="1:2" x14ac:dyDescent="0.3">
      <c r="A168" s="11" t="s">
        <v>168</v>
      </c>
      <c r="B168" s="7">
        <v>1.5</v>
      </c>
    </row>
    <row r="169" spans="1:2" x14ac:dyDescent="0.3">
      <c r="A169" s="11" t="s">
        <v>169</v>
      </c>
      <c r="B169" s="7">
        <v>15</v>
      </c>
    </row>
    <row r="170" spans="1:2" x14ac:dyDescent="0.3">
      <c r="A170" s="11" t="s">
        <v>170</v>
      </c>
      <c r="B170" s="7">
        <v>6</v>
      </c>
    </row>
    <row r="171" spans="1:2" x14ac:dyDescent="0.3">
      <c r="A171" s="11" t="s">
        <v>171</v>
      </c>
      <c r="B171" s="7">
        <v>2</v>
      </c>
    </row>
    <row r="172" spans="1:2" x14ac:dyDescent="0.3">
      <c r="A172" s="11" t="s">
        <v>172</v>
      </c>
      <c r="B172" s="7">
        <v>1.5</v>
      </c>
    </row>
    <row r="173" spans="1:2" x14ac:dyDescent="0.3">
      <c r="A173" s="11" t="s">
        <v>173</v>
      </c>
      <c r="B173" s="7">
        <v>1.1000000000000001</v>
      </c>
    </row>
    <row r="174" spans="1:2" x14ac:dyDescent="0.3">
      <c r="A174" s="11" t="s">
        <v>174</v>
      </c>
      <c r="B174" s="7">
        <v>0.5</v>
      </c>
    </row>
    <row r="175" spans="1:2" x14ac:dyDescent="0.3">
      <c r="A175" s="11" t="s">
        <v>175</v>
      </c>
      <c r="B175" s="7">
        <v>1.8</v>
      </c>
    </row>
    <row r="176" spans="1:2" x14ac:dyDescent="0.3">
      <c r="A176" s="11" t="s">
        <v>176</v>
      </c>
      <c r="B176" s="7">
        <v>1.8</v>
      </c>
    </row>
    <row r="177" spans="1:2" x14ac:dyDescent="0.3">
      <c r="A177" s="11" t="s">
        <v>177</v>
      </c>
      <c r="B177" s="7">
        <v>0.9</v>
      </c>
    </row>
    <row r="178" spans="1:2" x14ac:dyDescent="0.3">
      <c r="A178" s="11" t="s">
        <v>178</v>
      </c>
      <c r="B178" s="7">
        <v>1.5</v>
      </c>
    </row>
    <row r="179" spans="1:2" x14ac:dyDescent="0.3">
      <c r="A179" s="11" t="s">
        <v>179</v>
      </c>
      <c r="B179" s="7">
        <v>1.5</v>
      </c>
    </row>
    <row r="180" spans="1:2" x14ac:dyDescent="0.3">
      <c r="A180" s="11" t="s">
        <v>180</v>
      </c>
      <c r="B180" s="7">
        <v>2.5</v>
      </c>
    </row>
    <row r="181" spans="1:2" x14ac:dyDescent="0.3">
      <c r="A181" s="11" t="s">
        <v>181</v>
      </c>
      <c r="B181" s="7">
        <v>1.4</v>
      </c>
    </row>
    <row r="182" spans="1:2" x14ac:dyDescent="0.3">
      <c r="A182" s="11" t="s">
        <v>182</v>
      </c>
      <c r="B182" s="7">
        <v>1.5</v>
      </c>
    </row>
    <row r="183" spans="1:2" x14ac:dyDescent="0.3">
      <c r="A183" s="11" t="s">
        <v>183</v>
      </c>
      <c r="B183" s="7">
        <v>2.5</v>
      </c>
    </row>
    <row r="184" spans="1:2" x14ac:dyDescent="0.3">
      <c r="A184" s="11" t="s">
        <v>184</v>
      </c>
      <c r="B184" s="7">
        <v>2.5</v>
      </c>
    </row>
    <row r="185" spans="1:2" x14ac:dyDescent="0.3">
      <c r="A185" s="11" t="s">
        <v>185</v>
      </c>
      <c r="B185" s="7">
        <v>4</v>
      </c>
    </row>
    <row r="186" spans="1:2" x14ac:dyDescent="0.3">
      <c r="A186" s="11" t="s">
        <v>186</v>
      </c>
      <c r="B186" s="7">
        <v>2.5</v>
      </c>
    </row>
    <row r="187" spans="1:2" x14ac:dyDescent="0.3">
      <c r="A187" s="11" t="s">
        <v>187</v>
      </c>
      <c r="B187" s="7">
        <v>2</v>
      </c>
    </row>
    <row r="188" spans="1:2" x14ac:dyDescent="0.3">
      <c r="A188" s="11" t="s">
        <v>188</v>
      </c>
      <c r="B188" s="7">
        <v>5</v>
      </c>
    </row>
    <row r="189" spans="1:2" x14ac:dyDescent="0.3">
      <c r="A189" s="11" t="s">
        <v>189</v>
      </c>
      <c r="B189" s="7">
        <v>6</v>
      </c>
    </row>
    <row r="190" spans="1:2" x14ac:dyDescent="0.3">
      <c r="A190" s="11" t="s">
        <v>190</v>
      </c>
      <c r="B190" s="7">
        <v>4</v>
      </c>
    </row>
    <row r="191" spans="1:2" x14ac:dyDescent="0.3">
      <c r="A191" s="11" t="s">
        <v>191</v>
      </c>
      <c r="B191" s="7">
        <v>5</v>
      </c>
    </row>
    <row r="192" spans="1:2" x14ac:dyDescent="0.3">
      <c r="A192" s="11" t="s">
        <v>192</v>
      </c>
      <c r="B192" s="7">
        <v>6</v>
      </c>
    </row>
    <row r="193" spans="1:2" x14ac:dyDescent="0.3">
      <c r="A193" s="11" t="s">
        <v>193</v>
      </c>
      <c r="B193" s="7">
        <v>4</v>
      </c>
    </row>
    <row r="194" spans="1:2" x14ac:dyDescent="0.3">
      <c r="A194" s="11" t="s">
        <v>194</v>
      </c>
      <c r="B194" s="7">
        <v>6</v>
      </c>
    </row>
    <row r="195" spans="1:2" x14ac:dyDescent="0.3">
      <c r="A195" s="11" t="s">
        <v>195</v>
      </c>
      <c r="B195" s="7">
        <v>2</v>
      </c>
    </row>
    <row r="196" spans="1:2" x14ac:dyDescent="0.3">
      <c r="A196" s="11" t="s">
        <v>196</v>
      </c>
      <c r="B196" s="7">
        <v>3.5</v>
      </c>
    </row>
    <row r="197" spans="1:2" x14ac:dyDescent="0.3">
      <c r="A197" s="11" t="s">
        <v>197</v>
      </c>
      <c r="B197" s="7">
        <v>3.5</v>
      </c>
    </row>
    <row r="198" spans="1:2" x14ac:dyDescent="0.3">
      <c r="A198" s="11" t="s">
        <v>198</v>
      </c>
      <c r="B198" s="7">
        <v>2</v>
      </c>
    </row>
    <row r="199" spans="1:2" x14ac:dyDescent="0.3">
      <c r="A199" s="11" t="s">
        <v>199</v>
      </c>
      <c r="B199" s="7">
        <v>3.5</v>
      </c>
    </row>
    <row r="200" spans="1:2" x14ac:dyDescent="0.3">
      <c r="A200" s="1" t="s">
        <v>200</v>
      </c>
      <c r="B200" s="7">
        <v>2</v>
      </c>
    </row>
    <row r="201" spans="1:2" x14ac:dyDescent="0.3">
      <c r="A201" s="1" t="s">
        <v>201</v>
      </c>
      <c r="B201" s="7">
        <v>3.5</v>
      </c>
    </row>
    <row r="202" spans="1:2" x14ac:dyDescent="0.3">
      <c r="A202" s="11" t="s">
        <v>202</v>
      </c>
      <c r="B202" s="7">
        <v>2</v>
      </c>
    </row>
    <row r="203" spans="1:2" x14ac:dyDescent="0.3">
      <c r="A203" s="11" t="s">
        <v>203</v>
      </c>
      <c r="B203" s="7">
        <v>3</v>
      </c>
    </row>
    <row r="204" spans="1:2" x14ac:dyDescent="0.3">
      <c r="A204" s="11" t="s">
        <v>204</v>
      </c>
      <c r="B204" s="7">
        <v>3</v>
      </c>
    </row>
    <row r="205" spans="1:2" x14ac:dyDescent="0.3">
      <c r="A205" s="11" t="s">
        <v>205</v>
      </c>
      <c r="B205" s="7">
        <v>4</v>
      </c>
    </row>
    <row r="206" spans="1:2" x14ac:dyDescent="0.3">
      <c r="A206" s="11" t="s">
        <v>206</v>
      </c>
      <c r="B206" s="7">
        <v>3</v>
      </c>
    </row>
    <row r="207" spans="1:2" x14ac:dyDescent="0.3">
      <c r="A207" s="11" t="s">
        <v>207</v>
      </c>
      <c r="B207" s="7">
        <v>3</v>
      </c>
    </row>
    <row r="208" spans="1:2" x14ac:dyDescent="0.3">
      <c r="A208" s="11" t="s">
        <v>208</v>
      </c>
      <c r="B208" s="7">
        <v>4</v>
      </c>
    </row>
    <row r="209" spans="1:2" x14ac:dyDescent="0.3">
      <c r="A209" s="11" t="s">
        <v>209</v>
      </c>
      <c r="B209" s="7">
        <v>3</v>
      </c>
    </row>
    <row r="210" spans="1:2" x14ac:dyDescent="0.3">
      <c r="A210" s="11" t="s">
        <v>210</v>
      </c>
      <c r="B210" s="7">
        <v>4</v>
      </c>
    </row>
    <row r="211" spans="1:2" x14ac:dyDescent="0.3">
      <c r="A211" s="1" t="s">
        <v>211</v>
      </c>
      <c r="B211" s="7">
        <v>5</v>
      </c>
    </row>
    <row r="212" spans="1:2" x14ac:dyDescent="0.3">
      <c r="A212" s="1" t="s">
        <v>212</v>
      </c>
      <c r="B212" s="7">
        <v>7</v>
      </c>
    </row>
    <row r="213" spans="1:2" x14ac:dyDescent="0.3">
      <c r="A213" s="11" t="s">
        <v>213</v>
      </c>
      <c r="B213" s="7">
        <v>5</v>
      </c>
    </row>
    <row r="214" spans="1:2" x14ac:dyDescent="0.3">
      <c r="A214" s="1" t="s">
        <v>214</v>
      </c>
      <c r="B214" s="7">
        <v>7</v>
      </c>
    </row>
    <row r="215" spans="1:2" x14ac:dyDescent="0.3">
      <c r="A215" s="1" t="s">
        <v>215</v>
      </c>
      <c r="B215" s="7">
        <v>6</v>
      </c>
    </row>
    <row r="216" spans="1:2" x14ac:dyDescent="0.3">
      <c r="A216" s="1" t="s">
        <v>216</v>
      </c>
      <c r="B216" s="7">
        <v>8</v>
      </c>
    </row>
    <row r="217" spans="1:2" x14ac:dyDescent="0.3">
      <c r="A217" s="1" t="s">
        <v>217</v>
      </c>
      <c r="B217" s="7">
        <v>3</v>
      </c>
    </row>
    <row r="218" spans="1:2" x14ac:dyDescent="0.3">
      <c r="A218" s="1" t="s">
        <v>218</v>
      </c>
      <c r="B218" s="7">
        <v>3.5</v>
      </c>
    </row>
    <row r="219" spans="1:2" x14ac:dyDescent="0.3">
      <c r="A219" s="1" t="s">
        <v>219</v>
      </c>
      <c r="B219" s="7">
        <v>4</v>
      </c>
    </row>
    <row r="220" spans="1:2" x14ac:dyDescent="0.3">
      <c r="A220" s="1" t="s">
        <v>220</v>
      </c>
      <c r="B220" s="7">
        <v>3.5</v>
      </c>
    </row>
    <row r="221" spans="1:2" x14ac:dyDescent="0.3">
      <c r="A221" s="1" t="s">
        <v>221</v>
      </c>
      <c r="B221" s="7">
        <v>4</v>
      </c>
    </row>
    <row r="222" spans="1:2" x14ac:dyDescent="0.3">
      <c r="A222" s="1" t="s">
        <v>222</v>
      </c>
      <c r="B222" s="7">
        <v>4.5</v>
      </c>
    </row>
    <row r="223" spans="1:2" x14ac:dyDescent="0.3">
      <c r="A223" s="1" t="s">
        <v>223</v>
      </c>
      <c r="B223" s="7">
        <v>5</v>
      </c>
    </row>
    <row r="224" spans="1:2" x14ac:dyDescent="0.3">
      <c r="A224" s="1" t="s">
        <v>224</v>
      </c>
      <c r="B224" s="7">
        <v>5.5</v>
      </c>
    </row>
    <row r="225" spans="1:2" x14ac:dyDescent="0.3">
      <c r="A225" s="1" t="s">
        <v>225</v>
      </c>
      <c r="B225" s="7">
        <v>1.7</v>
      </c>
    </row>
    <row r="226" spans="1:2" x14ac:dyDescent="0.3">
      <c r="A226" s="1" t="s">
        <v>226</v>
      </c>
      <c r="B226" s="7">
        <v>3.5</v>
      </c>
    </row>
    <row r="227" spans="1:2" x14ac:dyDescent="0.3">
      <c r="A227" s="1" t="s">
        <v>227</v>
      </c>
      <c r="B227" s="7">
        <v>1.1000000000000001</v>
      </c>
    </row>
    <row r="228" spans="1:2" x14ac:dyDescent="0.3">
      <c r="A228" s="1" t="s">
        <v>228</v>
      </c>
      <c r="B228" s="7">
        <v>0.9</v>
      </c>
    </row>
    <row r="229" spans="1:2" x14ac:dyDescent="0.3">
      <c r="A229" s="1" t="s">
        <v>229</v>
      </c>
      <c r="B229" s="7">
        <v>1.9</v>
      </c>
    </row>
    <row r="230" spans="1:2" x14ac:dyDescent="0.3">
      <c r="A230" s="1" t="s">
        <v>230</v>
      </c>
      <c r="B230" s="7">
        <v>4</v>
      </c>
    </row>
    <row r="231" spans="1:2" x14ac:dyDescent="0.3">
      <c r="A231" s="11" t="s">
        <v>231</v>
      </c>
      <c r="B231" s="7">
        <v>2</v>
      </c>
    </row>
    <row r="232" spans="1:2" x14ac:dyDescent="0.3">
      <c r="A232" s="11" t="s">
        <v>232</v>
      </c>
      <c r="B232" s="7">
        <v>2</v>
      </c>
    </row>
    <row r="233" spans="1:2" x14ac:dyDescent="0.3">
      <c r="A233" s="1" t="s">
        <v>233</v>
      </c>
      <c r="B233" s="7">
        <v>3</v>
      </c>
    </row>
    <row r="234" spans="1:2" x14ac:dyDescent="0.3">
      <c r="A234" s="1" t="s">
        <v>234</v>
      </c>
      <c r="B234" s="7">
        <v>0.4</v>
      </c>
    </row>
    <row r="235" spans="1:2" x14ac:dyDescent="0.3">
      <c r="A235" s="1" t="s">
        <v>235</v>
      </c>
      <c r="B235" s="7">
        <v>3</v>
      </c>
    </row>
    <row r="236" spans="1:2" x14ac:dyDescent="0.3">
      <c r="A236" s="1" t="s">
        <v>236</v>
      </c>
      <c r="B236" s="7">
        <v>3</v>
      </c>
    </row>
    <row r="237" spans="1:2" x14ac:dyDescent="0.3">
      <c r="A237" s="1" t="s">
        <v>237</v>
      </c>
      <c r="B237" s="7">
        <v>3.5</v>
      </c>
    </row>
    <row r="238" spans="1:2" x14ac:dyDescent="0.3">
      <c r="A238" s="1" t="s">
        <v>238</v>
      </c>
      <c r="B238" s="7">
        <v>4</v>
      </c>
    </row>
    <row r="239" spans="1:2" x14ac:dyDescent="0.3">
      <c r="A239" s="1" t="s">
        <v>239</v>
      </c>
      <c r="B239" s="7">
        <v>4.5</v>
      </c>
    </row>
    <row r="240" spans="1:2" x14ac:dyDescent="0.3">
      <c r="A240" s="1" t="s">
        <v>240</v>
      </c>
      <c r="B240" s="7">
        <v>5</v>
      </c>
    </row>
    <row r="241" spans="1:2" x14ac:dyDescent="0.3">
      <c r="A241" s="1" t="s">
        <v>241</v>
      </c>
      <c r="B241" s="7">
        <v>5.5</v>
      </c>
    </row>
    <row r="242" spans="1:2" x14ac:dyDescent="0.3">
      <c r="A242" s="1" t="s">
        <v>242</v>
      </c>
      <c r="B242" s="7">
        <v>2</v>
      </c>
    </row>
    <row r="243" spans="1:2" x14ac:dyDescent="0.3">
      <c r="A243" s="1" t="s">
        <v>243</v>
      </c>
      <c r="B243" s="7">
        <v>1.2</v>
      </c>
    </row>
    <row r="244" spans="1:2" x14ac:dyDescent="0.3">
      <c r="A244" s="1" t="s">
        <v>244</v>
      </c>
      <c r="B244" s="7">
        <v>4</v>
      </c>
    </row>
    <row r="245" spans="1:2" x14ac:dyDescent="0.3">
      <c r="A245" s="11" t="s">
        <v>245</v>
      </c>
      <c r="B245" s="7">
        <v>2</v>
      </c>
    </row>
    <row r="246" spans="1:2" x14ac:dyDescent="0.3">
      <c r="A246" s="11" t="s">
        <v>246</v>
      </c>
      <c r="B246" s="7">
        <v>2</v>
      </c>
    </row>
    <row r="247" spans="1:2" x14ac:dyDescent="0.3">
      <c r="A247" s="11" t="s">
        <v>247</v>
      </c>
      <c r="B247" s="7">
        <f>5+1</f>
        <v>6</v>
      </c>
    </row>
    <row r="248" spans="1:2" x14ac:dyDescent="0.3">
      <c r="A248" s="11" t="s">
        <v>248</v>
      </c>
      <c r="B248" s="7">
        <f>6+1</f>
        <v>7</v>
      </c>
    </row>
    <row r="249" spans="1:2" x14ac:dyDescent="0.3">
      <c r="A249" s="11" t="s">
        <v>249</v>
      </c>
      <c r="B249" s="7">
        <v>4</v>
      </c>
    </row>
    <row r="250" spans="1:2" x14ac:dyDescent="0.3">
      <c r="A250" s="11" t="s">
        <v>250</v>
      </c>
      <c r="B250" s="7">
        <v>2.5</v>
      </c>
    </row>
    <row r="251" spans="1:2" x14ac:dyDescent="0.3">
      <c r="A251" s="11" t="s">
        <v>251</v>
      </c>
      <c r="B251" s="7">
        <v>1.5</v>
      </c>
    </row>
    <row r="252" spans="1:2" x14ac:dyDescent="0.3">
      <c r="A252" s="11" t="s">
        <v>252</v>
      </c>
      <c r="B252" s="7">
        <v>1</v>
      </c>
    </row>
    <row r="253" spans="1:2" x14ac:dyDescent="0.3">
      <c r="A253" s="11" t="s">
        <v>253</v>
      </c>
      <c r="B253" s="7">
        <v>1.5</v>
      </c>
    </row>
    <row r="254" spans="1:2" x14ac:dyDescent="0.3">
      <c r="A254" s="5" t="s">
        <v>254</v>
      </c>
      <c r="B254" s="10">
        <v>0.5</v>
      </c>
    </row>
    <row r="255" spans="1:2" x14ac:dyDescent="0.3">
      <c r="A255" s="11" t="s">
        <v>255</v>
      </c>
      <c r="B255" s="7">
        <v>1</v>
      </c>
    </row>
    <row r="256" spans="1:2" x14ac:dyDescent="0.3">
      <c r="A256" s="1" t="s">
        <v>256</v>
      </c>
      <c r="B256" s="7">
        <v>0.5</v>
      </c>
    </row>
    <row r="257" spans="1:2" x14ac:dyDescent="0.3">
      <c r="A257" s="11" t="s">
        <v>257</v>
      </c>
      <c r="B257" s="7">
        <v>0.8</v>
      </c>
    </row>
    <row r="258" spans="1:2" x14ac:dyDescent="0.3">
      <c r="A258" s="11" t="s">
        <v>258</v>
      </c>
      <c r="B258" s="7">
        <v>0.8</v>
      </c>
    </row>
    <row r="259" spans="1:2" x14ac:dyDescent="0.3">
      <c r="A259" s="1" t="s">
        <v>259</v>
      </c>
      <c r="B259" s="7">
        <v>0.8</v>
      </c>
    </row>
    <row r="260" spans="1:2" x14ac:dyDescent="0.3">
      <c r="A260" s="11" t="s">
        <v>260</v>
      </c>
      <c r="B260" s="7">
        <v>0.8</v>
      </c>
    </row>
    <row r="261" spans="1:2" x14ac:dyDescent="0.3">
      <c r="A261" s="11" t="s">
        <v>261</v>
      </c>
      <c r="B261" s="7">
        <v>0.8</v>
      </c>
    </row>
    <row r="262" spans="1:2" x14ac:dyDescent="0.3">
      <c r="A262" s="11" t="s">
        <v>262</v>
      </c>
      <c r="B262" s="7">
        <v>0.8</v>
      </c>
    </row>
    <row r="263" spans="1:2" x14ac:dyDescent="0.3">
      <c r="A263" s="11" t="s">
        <v>263</v>
      </c>
      <c r="B263" s="7">
        <v>0.8</v>
      </c>
    </row>
    <row r="264" spans="1:2" x14ac:dyDescent="0.3">
      <c r="A264" s="11" t="s">
        <v>264</v>
      </c>
      <c r="B264" s="7">
        <v>0.8</v>
      </c>
    </row>
    <row r="265" spans="1:2" x14ac:dyDescent="0.3">
      <c r="A265" s="11" t="s">
        <v>265</v>
      </c>
      <c r="B265" s="7">
        <v>1</v>
      </c>
    </row>
    <row r="266" spans="1:2" x14ac:dyDescent="0.3">
      <c r="A266" s="11" t="s">
        <v>266</v>
      </c>
      <c r="B266" s="7">
        <v>0.7</v>
      </c>
    </row>
    <row r="267" spans="1:2" x14ac:dyDescent="0.3">
      <c r="A267" s="11" t="s">
        <v>267</v>
      </c>
      <c r="B267" s="7">
        <v>0.7</v>
      </c>
    </row>
    <row r="268" spans="1:2" x14ac:dyDescent="0.3">
      <c r="A268" s="11" t="s">
        <v>268</v>
      </c>
      <c r="B268" s="7">
        <v>0.7</v>
      </c>
    </row>
    <row r="269" spans="1:2" x14ac:dyDescent="0.3">
      <c r="A269" s="11" t="s">
        <v>269</v>
      </c>
      <c r="B269" s="7">
        <v>0.7</v>
      </c>
    </row>
    <row r="270" spans="1:2" x14ac:dyDescent="0.3">
      <c r="A270" s="11" t="s">
        <v>270</v>
      </c>
      <c r="B270" s="7">
        <v>0.7</v>
      </c>
    </row>
    <row r="271" spans="1:2" x14ac:dyDescent="0.3">
      <c r="A271" s="11" t="s">
        <v>271</v>
      </c>
      <c r="B271" s="7">
        <v>0.8</v>
      </c>
    </row>
    <row r="272" spans="1:2" x14ac:dyDescent="0.3">
      <c r="A272" s="11" t="s">
        <v>272</v>
      </c>
      <c r="B272" s="7">
        <v>0.8</v>
      </c>
    </row>
    <row r="273" spans="1:2" x14ac:dyDescent="0.3">
      <c r="A273" s="11" t="s">
        <v>273</v>
      </c>
      <c r="B273" s="7">
        <v>0.8</v>
      </c>
    </row>
    <row r="274" spans="1:2" x14ac:dyDescent="0.3">
      <c r="A274" s="11" t="s">
        <v>274</v>
      </c>
      <c r="B274" s="7">
        <v>0.5</v>
      </c>
    </row>
    <row r="275" spans="1:2" x14ac:dyDescent="0.3">
      <c r="A275" s="11" t="s">
        <v>275</v>
      </c>
      <c r="B275" s="7">
        <v>0.5</v>
      </c>
    </row>
    <row r="276" spans="1:2" x14ac:dyDescent="0.3">
      <c r="A276" s="11" t="s">
        <v>276</v>
      </c>
      <c r="B276" s="7">
        <v>0.5</v>
      </c>
    </row>
    <row r="277" spans="1:2" x14ac:dyDescent="0.3">
      <c r="A277" s="11" t="s">
        <v>277</v>
      </c>
      <c r="B277" s="7">
        <v>0.5</v>
      </c>
    </row>
    <row r="278" spans="1:2" x14ac:dyDescent="0.3">
      <c r="A278" s="11" t="s">
        <v>278</v>
      </c>
      <c r="B278" s="7">
        <v>0.5</v>
      </c>
    </row>
    <row r="279" spans="1:2" x14ac:dyDescent="0.3">
      <c r="A279" s="11" t="s">
        <v>279</v>
      </c>
      <c r="B279" s="7">
        <v>0.5</v>
      </c>
    </row>
    <row r="280" spans="1:2" x14ac:dyDescent="0.3">
      <c r="A280" s="11" t="s">
        <v>280</v>
      </c>
      <c r="B280" s="7">
        <v>0.5</v>
      </c>
    </row>
    <row r="281" spans="1:2" x14ac:dyDescent="0.3">
      <c r="A281" s="11" t="s">
        <v>281</v>
      </c>
      <c r="B281" s="7">
        <v>0.5</v>
      </c>
    </row>
    <row r="282" spans="1:2" x14ac:dyDescent="0.3">
      <c r="A282" s="1" t="s">
        <v>282</v>
      </c>
      <c r="B282" s="7">
        <v>0.8</v>
      </c>
    </row>
    <row r="283" spans="1:2" x14ac:dyDescent="0.3">
      <c r="A283" s="1" t="s">
        <v>283</v>
      </c>
      <c r="B283" s="7">
        <v>0.8</v>
      </c>
    </row>
    <row r="284" spans="1:2" x14ac:dyDescent="0.3">
      <c r="A284" s="1" t="s">
        <v>284</v>
      </c>
      <c r="B284" s="7">
        <v>0.8</v>
      </c>
    </row>
    <row r="285" spans="1:2" x14ac:dyDescent="0.3">
      <c r="A285" s="11" t="s">
        <v>285</v>
      </c>
      <c r="B285" s="7">
        <v>0.8</v>
      </c>
    </row>
    <row r="286" spans="1:2" x14ac:dyDescent="0.3">
      <c r="A286" s="11" t="s">
        <v>286</v>
      </c>
      <c r="B286" s="7">
        <v>0.8</v>
      </c>
    </row>
    <row r="287" spans="1:2" x14ac:dyDescent="0.3">
      <c r="A287" s="1" t="s">
        <v>287</v>
      </c>
      <c r="B287" s="7">
        <v>0.8</v>
      </c>
    </row>
    <row r="288" spans="1:2" x14ac:dyDescent="0.3">
      <c r="A288" s="1" t="s">
        <v>288</v>
      </c>
      <c r="B288" s="7">
        <v>0.8</v>
      </c>
    </row>
    <row r="289" spans="1:2" x14ac:dyDescent="0.3">
      <c r="A289" s="1" t="s">
        <v>289</v>
      </c>
      <c r="B289" s="7">
        <v>0.8</v>
      </c>
    </row>
    <row r="290" spans="1:2" x14ac:dyDescent="0.3">
      <c r="A290" s="11" t="s">
        <v>290</v>
      </c>
      <c r="B290" s="7">
        <v>0.8</v>
      </c>
    </row>
    <row r="291" spans="1:2" x14ac:dyDescent="0.3">
      <c r="A291" s="11" t="s">
        <v>291</v>
      </c>
      <c r="B291" s="7">
        <v>1</v>
      </c>
    </row>
    <row r="292" spans="1:2" x14ac:dyDescent="0.3">
      <c r="A292" s="11" t="s">
        <v>292</v>
      </c>
      <c r="B292" s="7">
        <v>1.5</v>
      </c>
    </row>
    <row r="293" spans="1:2" x14ac:dyDescent="0.3">
      <c r="A293" s="11" t="s">
        <v>293</v>
      </c>
      <c r="B293" s="7">
        <v>1.5</v>
      </c>
    </row>
    <row r="294" spans="1:2" x14ac:dyDescent="0.3">
      <c r="A294" s="11" t="s">
        <v>294</v>
      </c>
      <c r="B294" s="7">
        <v>1.5</v>
      </c>
    </row>
    <row r="295" spans="1:2" x14ac:dyDescent="0.3">
      <c r="A295" s="11" t="s">
        <v>295</v>
      </c>
      <c r="B295" s="7">
        <v>1.5</v>
      </c>
    </row>
    <row r="296" spans="1:2" x14ac:dyDescent="0.3">
      <c r="A296" s="11" t="s">
        <v>296</v>
      </c>
      <c r="B296" s="7">
        <v>0.8</v>
      </c>
    </row>
    <row r="297" spans="1:2" x14ac:dyDescent="0.3">
      <c r="A297" s="1" t="s">
        <v>297</v>
      </c>
      <c r="B297" s="7">
        <v>0.5</v>
      </c>
    </row>
    <row r="298" spans="1:2" x14ac:dyDescent="0.3">
      <c r="A298" s="11" t="s">
        <v>298</v>
      </c>
      <c r="B298" s="7">
        <v>0.8</v>
      </c>
    </row>
    <row r="299" spans="1:2" x14ac:dyDescent="0.3">
      <c r="A299" s="1" t="s">
        <v>299</v>
      </c>
      <c r="B299" s="7">
        <v>0.8</v>
      </c>
    </row>
    <row r="300" spans="1:2" x14ac:dyDescent="0.3">
      <c r="A300" s="11" t="s">
        <v>300</v>
      </c>
      <c r="B300" s="7">
        <v>0.8</v>
      </c>
    </row>
    <row r="301" spans="1:2" x14ac:dyDescent="0.3">
      <c r="A301" s="11" t="s">
        <v>301</v>
      </c>
      <c r="B301" s="7">
        <v>0.8</v>
      </c>
    </row>
    <row r="302" spans="1:2" x14ac:dyDescent="0.3">
      <c r="A302" s="11" t="s">
        <v>302</v>
      </c>
      <c r="B302" s="7">
        <v>1.5</v>
      </c>
    </row>
    <row r="303" spans="1:2" x14ac:dyDescent="0.3">
      <c r="A303" s="11" t="s">
        <v>303</v>
      </c>
      <c r="B303" s="7">
        <v>0.3</v>
      </c>
    </row>
    <row r="304" spans="1:2" x14ac:dyDescent="0.3">
      <c r="A304" s="11" t="s">
        <v>304</v>
      </c>
      <c r="B304" s="7">
        <v>5</v>
      </c>
    </row>
    <row r="305" spans="1:2" x14ac:dyDescent="0.3">
      <c r="A305" s="11" t="s">
        <v>305</v>
      </c>
      <c r="B305" s="7">
        <v>2</v>
      </c>
    </row>
    <row r="306" spans="1:2" x14ac:dyDescent="0.3">
      <c r="A306" s="1" t="s">
        <v>306</v>
      </c>
      <c r="B306" s="7">
        <v>2.5</v>
      </c>
    </row>
    <row r="307" spans="1:2" x14ac:dyDescent="0.3">
      <c r="A307" s="1" t="s">
        <v>307</v>
      </c>
      <c r="B307" s="7">
        <v>1.5</v>
      </c>
    </row>
    <row r="308" spans="1:2" x14ac:dyDescent="0.3">
      <c r="A308" s="11" t="s">
        <v>308</v>
      </c>
      <c r="B308" s="7">
        <v>2</v>
      </c>
    </row>
    <row r="309" spans="1:2" x14ac:dyDescent="0.3">
      <c r="A309" s="11" t="s">
        <v>309</v>
      </c>
      <c r="B309" s="7">
        <v>0.8</v>
      </c>
    </row>
    <row r="310" spans="1:2" x14ac:dyDescent="0.3">
      <c r="A310" s="11" t="s">
        <v>310</v>
      </c>
      <c r="B310" s="7">
        <v>0.8</v>
      </c>
    </row>
    <row r="311" spans="1:2" x14ac:dyDescent="0.3">
      <c r="A311" s="11" t="s">
        <v>311</v>
      </c>
      <c r="B311" s="7">
        <v>0.8</v>
      </c>
    </row>
    <row r="312" spans="1:2" x14ac:dyDescent="0.3">
      <c r="A312" s="1" t="s">
        <v>312</v>
      </c>
      <c r="B312" s="7">
        <v>0.8</v>
      </c>
    </row>
    <row r="313" spans="1:2" x14ac:dyDescent="0.3">
      <c r="A313" s="1" t="s">
        <v>313</v>
      </c>
      <c r="B313" s="7">
        <v>0.8</v>
      </c>
    </row>
    <row r="314" spans="1:2" x14ac:dyDescent="0.3">
      <c r="A314" s="1" t="s">
        <v>314</v>
      </c>
      <c r="B314" s="7">
        <v>0.8</v>
      </c>
    </row>
    <row r="315" spans="1:2" x14ac:dyDescent="0.3">
      <c r="A315" s="11" t="s">
        <v>315</v>
      </c>
      <c r="B315" s="7">
        <v>1</v>
      </c>
    </row>
    <row r="316" spans="1:2" x14ac:dyDescent="0.3">
      <c r="A316" s="11" t="s">
        <v>316</v>
      </c>
      <c r="B316" s="7">
        <v>0.8</v>
      </c>
    </row>
    <row r="317" spans="1:2" x14ac:dyDescent="0.3">
      <c r="A317" s="11" t="s">
        <v>317</v>
      </c>
      <c r="B317" s="7">
        <v>0.8</v>
      </c>
    </row>
    <row r="318" spans="1:2" x14ac:dyDescent="0.3">
      <c r="A318" s="11" t="s">
        <v>318</v>
      </c>
      <c r="B318" s="7">
        <v>0.8</v>
      </c>
    </row>
    <row r="319" spans="1:2" x14ac:dyDescent="0.3">
      <c r="A319" s="11" t="s">
        <v>319</v>
      </c>
      <c r="B319" s="7">
        <v>0.8</v>
      </c>
    </row>
    <row r="320" spans="1:2" x14ac:dyDescent="0.3">
      <c r="A320" s="11" t="s">
        <v>320</v>
      </c>
      <c r="B320" s="7">
        <v>0.8</v>
      </c>
    </row>
    <row r="321" spans="1:2" x14ac:dyDescent="0.3">
      <c r="A321" s="11" t="s">
        <v>321</v>
      </c>
      <c r="B321" s="7">
        <v>0.8</v>
      </c>
    </row>
    <row r="322" spans="1:2" x14ac:dyDescent="0.3">
      <c r="A322" s="1" t="s">
        <v>322</v>
      </c>
      <c r="B322" s="7">
        <v>0.8</v>
      </c>
    </row>
    <row r="323" spans="1:2" x14ac:dyDescent="0.3">
      <c r="A323" s="11" t="s">
        <v>323</v>
      </c>
      <c r="B323" s="7">
        <v>1</v>
      </c>
    </row>
    <row r="324" spans="1:2" x14ac:dyDescent="0.3">
      <c r="A324" s="11" t="s">
        <v>324</v>
      </c>
      <c r="B324" s="7">
        <v>1</v>
      </c>
    </row>
    <row r="325" spans="1:2" x14ac:dyDescent="0.3">
      <c r="A325" s="11" t="s">
        <v>325</v>
      </c>
      <c r="B325" s="7">
        <v>0.5</v>
      </c>
    </row>
    <row r="326" spans="1:2" x14ac:dyDescent="0.3">
      <c r="A326" s="11" t="s">
        <v>326</v>
      </c>
      <c r="B326" s="7">
        <v>0.5</v>
      </c>
    </row>
    <row r="327" spans="1:2" x14ac:dyDescent="0.3">
      <c r="A327" s="1" t="s">
        <v>327</v>
      </c>
      <c r="B327" s="7">
        <v>0.5</v>
      </c>
    </row>
    <row r="328" spans="1:2" x14ac:dyDescent="0.3">
      <c r="A328" s="11" t="s">
        <v>328</v>
      </c>
      <c r="B328" s="7">
        <v>0.8</v>
      </c>
    </row>
    <row r="329" spans="1:2" x14ac:dyDescent="0.3">
      <c r="A329" s="11" t="s">
        <v>329</v>
      </c>
      <c r="B329" s="7">
        <v>0.8</v>
      </c>
    </row>
    <row r="330" spans="1:2" x14ac:dyDescent="0.3">
      <c r="A330" s="1" t="s">
        <v>330</v>
      </c>
      <c r="B330" s="7">
        <v>0.8</v>
      </c>
    </row>
    <row r="331" spans="1:2" x14ac:dyDescent="0.3">
      <c r="A331" s="11" t="s">
        <v>331</v>
      </c>
      <c r="B331" s="7">
        <v>0.8</v>
      </c>
    </row>
    <row r="332" spans="1:2" x14ac:dyDescent="0.3">
      <c r="A332" s="11" t="s">
        <v>332</v>
      </c>
      <c r="B332" s="7">
        <v>0.8</v>
      </c>
    </row>
    <row r="333" spans="1:2" x14ac:dyDescent="0.3">
      <c r="A333" s="11" t="s">
        <v>333</v>
      </c>
      <c r="B333" s="7">
        <v>0.8</v>
      </c>
    </row>
    <row r="334" spans="1:2" x14ac:dyDescent="0.3">
      <c r="A334" s="1" t="s">
        <v>334</v>
      </c>
      <c r="B334" s="7">
        <v>0.8</v>
      </c>
    </row>
    <row r="335" spans="1:2" x14ac:dyDescent="0.3">
      <c r="A335" s="11" t="s">
        <v>335</v>
      </c>
      <c r="B335" s="7">
        <v>0.8</v>
      </c>
    </row>
    <row r="336" spans="1:2" x14ac:dyDescent="0.3">
      <c r="A336" s="11" t="s">
        <v>336</v>
      </c>
      <c r="B336" s="7">
        <v>0.8</v>
      </c>
    </row>
    <row r="337" spans="1:2" x14ac:dyDescent="0.3">
      <c r="A337" s="11" t="s">
        <v>337</v>
      </c>
      <c r="B337" s="7">
        <v>0.8</v>
      </c>
    </row>
    <row r="338" spans="1:2" x14ac:dyDescent="0.3">
      <c r="A338" s="11" t="s">
        <v>338</v>
      </c>
      <c r="B338" s="7">
        <v>0.8</v>
      </c>
    </row>
    <row r="339" spans="1:2" x14ac:dyDescent="0.3">
      <c r="A339" s="11" t="s">
        <v>339</v>
      </c>
      <c r="B339" s="7">
        <v>0.8</v>
      </c>
    </row>
    <row r="340" spans="1:2" x14ac:dyDescent="0.3">
      <c r="A340" s="11" t="s">
        <v>340</v>
      </c>
      <c r="B340" s="7">
        <v>0.8</v>
      </c>
    </row>
    <row r="341" spans="1:2" x14ac:dyDescent="0.3">
      <c r="A341" s="11" t="s">
        <v>341</v>
      </c>
      <c r="B341" s="7">
        <v>0.8</v>
      </c>
    </row>
    <row r="342" spans="1:2" x14ac:dyDescent="0.3">
      <c r="A342" s="1" t="s">
        <v>342</v>
      </c>
      <c r="B342" s="7">
        <v>0.8</v>
      </c>
    </row>
    <row r="343" spans="1:2" x14ac:dyDescent="0.3">
      <c r="A343" s="11" t="s">
        <v>343</v>
      </c>
      <c r="B343" s="7">
        <v>0.8</v>
      </c>
    </row>
    <row r="344" spans="1:2" x14ac:dyDescent="0.3">
      <c r="A344" s="1" t="s">
        <v>344</v>
      </c>
      <c r="B344" s="7">
        <v>1</v>
      </c>
    </row>
    <row r="345" spans="1:2" x14ac:dyDescent="0.3">
      <c r="A345" s="1" t="s">
        <v>345</v>
      </c>
      <c r="B345" s="7">
        <v>2</v>
      </c>
    </row>
    <row r="346" spans="1:2" x14ac:dyDescent="0.3">
      <c r="A346" s="1" t="s">
        <v>346</v>
      </c>
      <c r="B346" s="7">
        <v>2</v>
      </c>
    </row>
    <row r="347" spans="1:2" x14ac:dyDescent="0.3">
      <c r="A347" s="1" t="s">
        <v>347</v>
      </c>
      <c r="B347" s="7">
        <v>3</v>
      </c>
    </row>
    <row r="348" spans="1:2" x14ac:dyDescent="0.3">
      <c r="A348" s="11" t="s">
        <v>348</v>
      </c>
      <c r="B348" s="7">
        <v>0.8</v>
      </c>
    </row>
    <row r="349" spans="1:2" x14ac:dyDescent="0.3">
      <c r="A349" s="1" t="s">
        <v>349</v>
      </c>
      <c r="B349" s="7">
        <v>0.8</v>
      </c>
    </row>
    <row r="350" spans="1:2" x14ac:dyDescent="0.3">
      <c r="A350" s="1" t="s">
        <v>349</v>
      </c>
      <c r="B350" s="7">
        <v>0.8</v>
      </c>
    </row>
    <row r="351" spans="1:2" x14ac:dyDescent="0.3">
      <c r="A351" s="11" t="s">
        <v>350</v>
      </c>
      <c r="B351" s="7">
        <v>1</v>
      </c>
    </row>
    <row r="352" spans="1:2" x14ac:dyDescent="0.3">
      <c r="A352" s="11" t="s">
        <v>351</v>
      </c>
      <c r="B352" s="7">
        <v>1</v>
      </c>
    </row>
    <row r="353" spans="1:2" x14ac:dyDescent="0.3">
      <c r="A353" s="1" t="s">
        <v>352</v>
      </c>
      <c r="B353" s="7">
        <v>2</v>
      </c>
    </row>
    <row r="354" spans="1:2" x14ac:dyDescent="0.3">
      <c r="A354" s="11" t="s">
        <v>353</v>
      </c>
      <c r="B354" s="7">
        <v>0.8</v>
      </c>
    </row>
    <row r="355" spans="1:2" x14ac:dyDescent="0.3">
      <c r="A355" s="11" t="s">
        <v>354</v>
      </c>
      <c r="B355" s="7">
        <v>1</v>
      </c>
    </row>
    <row r="356" spans="1:2" x14ac:dyDescent="0.3">
      <c r="A356" s="11" t="s">
        <v>355</v>
      </c>
      <c r="B356" s="7">
        <v>1</v>
      </c>
    </row>
    <row r="357" spans="1:2" x14ac:dyDescent="0.3">
      <c r="A357" s="1" t="s">
        <v>356</v>
      </c>
      <c r="B357" s="7">
        <v>1</v>
      </c>
    </row>
    <row r="358" spans="1:2" x14ac:dyDescent="0.3">
      <c r="A358" s="11" t="s">
        <v>357</v>
      </c>
      <c r="B358" s="7">
        <v>0.8</v>
      </c>
    </row>
    <row r="359" spans="1:2" x14ac:dyDescent="0.3">
      <c r="A359" s="1" t="s">
        <v>358</v>
      </c>
      <c r="B359" s="7">
        <v>0.8</v>
      </c>
    </row>
    <row r="360" spans="1:2" x14ac:dyDescent="0.3">
      <c r="A360" s="11" t="s">
        <v>359</v>
      </c>
      <c r="B360" s="7">
        <v>0.8</v>
      </c>
    </row>
    <row r="361" spans="1:2" x14ac:dyDescent="0.3">
      <c r="A361" s="11" t="s">
        <v>360</v>
      </c>
      <c r="B361" s="7">
        <v>0.8</v>
      </c>
    </row>
    <row r="362" spans="1:2" x14ac:dyDescent="0.3">
      <c r="A362" s="11" t="s">
        <v>361</v>
      </c>
      <c r="B362" s="7">
        <v>0.8</v>
      </c>
    </row>
    <row r="363" spans="1:2" x14ac:dyDescent="0.3">
      <c r="A363" s="11" t="s">
        <v>362</v>
      </c>
      <c r="B363" s="7">
        <v>0.8</v>
      </c>
    </row>
    <row r="364" spans="1:2" x14ac:dyDescent="0.3">
      <c r="A364" s="11" t="s">
        <v>363</v>
      </c>
      <c r="B364" s="7">
        <v>0.8</v>
      </c>
    </row>
    <row r="365" spans="1:2" x14ac:dyDescent="0.3">
      <c r="A365" s="11" t="s">
        <v>364</v>
      </c>
      <c r="B365" s="7">
        <v>0.8</v>
      </c>
    </row>
    <row r="366" spans="1:2" x14ac:dyDescent="0.3">
      <c r="A366" s="11" t="s">
        <v>365</v>
      </c>
      <c r="B366" s="7">
        <v>0.8</v>
      </c>
    </row>
    <row r="367" spans="1:2" x14ac:dyDescent="0.3">
      <c r="A367" s="11" t="s">
        <v>366</v>
      </c>
      <c r="B367" s="7">
        <v>0.8</v>
      </c>
    </row>
    <row r="368" spans="1:2" x14ac:dyDescent="0.3">
      <c r="A368" s="1" t="s">
        <v>367</v>
      </c>
      <c r="B368" s="7">
        <v>0.8</v>
      </c>
    </row>
    <row r="369" spans="1:2" x14ac:dyDescent="0.3">
      <c r="A369" s="11" t="s">
        <v>368</v>
      </c>
      <c r="B369" s="7">
        <v>0.8</v>
      </c>
    </row>
    <row r="370" spans="1:2" x14ac:dyDescent="0.3">
      <c r="A370" s="11" t="s">
        <v>369</v>
      </c>
      <c r="B370" s="7">
        <v>0.8</v>
      </c>
    </row>
    <row r="371" spans="1:2" x14ac:dyDescent="0.3">
      <c r="A371" s="1" t="s">
        <v>370</v>
      </c>
      <c r="B371" s="7">
        <v>2</v>
      </c>
    </row>
    <row r="372" spans="1:2" x14ac:dyDescent="0.3">
      <c r="A372" s="1" t="s">
        <v>371</v>
      </c>
      <c r="B372" s="7">
        <v>2</v>
      </c>
    </row>
    <row r="373" spans="1:2" x14ac:dyDescent="0.3">
      <c r="A373" s="1" t="s">
        <v>372</v>
      </c>
      <c r="B373" s="7">
        <v>2</v>
      </c>
    </row>
    <row r="374" spans="1:2" x14ac:dyDescent="0.3">
      <c r="A374" s="11" t="s">
        <v>373</v>
      </c>
      <c r="B374" s="7">
        <v>1.5</v>
      </c>
    </row>
    <row r="375" spans="1:2" x14ac:dyDescent="0.3">
      <c r="A375" s="11" t="s">
        <v>374</v>
      </c>
      <c r="B375" s="7">
        <v>1.5</v>
      </c>
    </row>
    <row r="376" spans="1:2" x14ac:dyDescent="0.3">
      <c r="A376" s="11" t="s">
        <v>375</v>
      </c>
      <c r="B376" s="7">
        <v>1</v>
      </c>
    </row>
    <row r="377" spans="1:2" ht="15" x14ac:dyDescent="0.3">
      <c r="A377" s="12" t="s">
        <v>376</v>
      </c>
      <c r="B377" s="7">
        <v>0.8</v>
      </c>
    </row>
    <row r="378" spans="1:2" x14ac:dyDescent="0.3">
      <c r="A378" s="11" t="s">
        <v>377</v>
      </c>
      <c r="B378" s="7">
        <v>0.8</v>
      </c>
    </row>
    <row r="379" spans="1:2" x14ac:dyDescent="0.3">
      <c r="A379" s="11" t="s">
        <v>378</v>
      </c>
      <c r="B379" s="7">
        <v>1</v>
      </c>
    </row>
    <row r="380" spans="1:2" x14ac:dyDescent="0.3">
      <c r="A380" s="11" t="s">
        <v>379</v>
      </c>
      <c r="B380" s="7">
        <v>1.5</v>
      </c>
    </row>
    <row r="381" spans="1:2" x14ac:dyDescent="0.3">
      <c r="A381" s="11" t="s">
        <v>380</v>
      </c>
      <c r="B381" s="7">
        <v>1.5</v>
      </c>
    </row>
    <row r="382" spans="1:2" x14ac:dyDescent="0.3">
      <c r="A382" s="11" t="s">
        <v>381</v>
      </c>
      <c r="B382" s="7">
        <v>1</v>
      </c>
    </row>
    <row r="383" spans="1:2" x14ac:dyDescent="0.3">
      <c r="A383" s="11" t="s">
        <v>382</v>
      </c>
      <c r="B383" s="7">
        <v>2</v>
      </c>
    </row>
    <row r="384" spans="1:2" x14ac:dyDescent="0.3">
      <c r="A384" s="11" t="s">
        <v>383</v>
      </c>
      <c r="B384" s="7">
        <v>2</v>
      </c>
    </row>
    <row r="385" spans="1:2" x14ac:dyDescent="0.3">
      <c r="A385" s="11" t="s">
        <v>384</v>
      </c>
      <c r="B385" s="7">
        <v>1</v>
      </c>
    </row>
    <row r="386" spans="1:2" x14ac:dyDescent="0.3">
      <c r="A386" s="11" t="s">
        <v>385</v>
      </c>
      <c r="B386" s="7">
        <v>0.8</v>
      </c>
    </row>
    <row r="387" spans="1:2" x14ac:dyDescent="0.3">
      <c r="A387" s="11" t="s">
        <v>386</v>
      </c>
      <c r="B387" s="7">
        <v>0.8</v>
      </c>
    </row>
    <row r="388" spans="1:2" x14ac:dyDescent="0.3">
      <c r="A388" s="11" t="s">
        <v>387</v>
      </c>
      <c r="B388" s="7">
        <v>1.5</v>
      </c>
    </row>
    <row r="389" spans="1:2" x14ac:dyDescent="0.3">
      <c r="A389" s="11" t="s">
        <v>388</v>
      </c>
      <c r="B389" s="7">
        <v>1.5</v>
      </c>
    </row>
    <row r="390" spans="1:2" x14ac:dyDescent="0.3">
      <c r="A390" s="11" t="s">
        <v>389</v>
      </c>
      <c r="B390" s="7">
        <v>2</v>
      </c>
    </row>
    <row r="391" spans="1:2" x14ac:dyDescent="0.3">
      <c r="A391" s="11" t="s">
        <v>390</v>
      </c>
      <c r="B391" s="7">
        <v>2</v>
      </c>
    </row>
    <row r="392" spans="1:2" x14ac:dyDescent="0.3">
      <c r="A392" s="11" t="s">
        <v>391</v>
      </c>
      <c r="B392" s="7">
        <v>0.8</v>
      </c>
    </row>
    <row r="393" spans="1:2" x14ac:dyDescent="0.3">
      <c r="A393" s="11" t="s">
        <v>392</v>
      </c>
      <c r="B393" s="7">
        <v>0.8</v>
      </c>
    </row>
    <row r="394" spans="1:2" ht="15" x14ac:dyDescent="0.3">
      <c r="A394" s="12" t="s">
        <v>393</v>
      </c>
      <c r="B394" s="7">
        <v>2</v>
      </c>
    </row>
    <row r="395" spans="1:2" x14ac:dyDescent="0.3">
      <c r="A395" s="11" t="s">
        <v>394</v>
      </c>
      <c r="B395" s="7">
        <v>0.8</v>
      </c>
    </row>
    <row r="396" spans="1:2" x14ac:dyDescent="0.3">
      <c r="A396" s="11" t="s">
        <v>395</v>
      </c>
      <c r="B396" s="7">
        <v>0.8</v>
      </c>
    </row>
    <row r="397" spans="1:2" x14ac:dyDescent="0.3">
      <c r="A397" s="11" t="s">
        <v>396</v>
      </c>
      <c r="B397" s="7">
        <v>0.8</v>
      </c>
    </row>
    <row r="398" spans="1:2" x14ac:dyDescent="0.3">
      <c r="A398" s="11" t="s">
        <v>397</v>
      </c>
      <c r="B398" s="7">
        <v>1</v>
      </c>
    </row>
    <row r="399" spans="1:2" x14ac:dyDescent="0.3">
      <c r="A399" s="11" t="s">
        <v>398</v>
      </c>
      <c r="B399" s="7">
        <v>1</v>
      </c>
    </row>
    <row r="400" spans="1:2" x14ac:dyDescent="0.3">
      <c r="A400" s="11" t="s">
        <v>399</v>
      </c>
      <c r="B400" s="7">
        <v>1.5</v>
      </c>
    </row>
    <row r="401" spans="1:2" x14ac:dyDescent="0.3">
      <c r="A401" s="11" t="s">
        <v>400</v>
      </c>
      <c r="B401" s="7">
        <v>0.8</v>
      </c>
    </row>
    <row r="402" spans="1:2" x14ac:dyDescent="0.3">
      <c r="A402" s="11" t="s">
        <v>401</v>
      </c>
      <c r="B402" s="7">
        <v>0.8</v>
      </c>
    </row>
    <row r="403" spans="1:2" x14ac:dyDescent="0.3">
      <c r="A403" s="11" t="s">
        <v>402</v>
      </c>
      <c r="B403" s="7">
        <v>0.8</v>
      </c>
    </row>
    <row r="404" spans="1:2" x14ac:dyDescent="0.3">
      <c r="A404" s="11" t="s">
        <v>403</v>
      </c>
      <c r="B404" s="7">
        <v>2</v>
      </c>
    </row>
    <row r="405" spans="1:2" x14ac:dyDescent="0.3">
      <c r="A405" s="1" t="s">
        <v>404</v>
      </c>
      <c r="B405" s="7">
        <v>0.8</v>
      </c>
    </row>
    <row r="406" spans="1:2" x14ac:dyDescent="0.3">
      <c r="A406" s="1" t="s">
        <v>405</v>
      </c>
      <c r="B406" s="7">
        <v>0.8</v>
      </c>
    </row>
    <row r="407" spans="1:2" x14ac:dyDescent="0.3">
      <c r="A407" s="11" t="s">
        <v>406</v>
      </c>
      <c r="B407" s="7">
        <v>1</v>
      </c>
    </row>
    <row r="408" spans="1:2" x14ac:dyDescent="0.3">
      <c r="A408" s="11" t="s">
        <v>407</v>
      </c>
      <c r="B408" s="7">
        <v>0.8</v>
      </c>
    </row>
    <row r="409" spans="1:2" x14ac:dyDescent="0.3">
      <c r="A409" s="11" t="s">
        <v>408</v>
      </c>
      <c r="B409" s="7">
        <v>1</v>
      </c>
    </row>
    <row r="410" spans="1:2" x14ac:dyDescent="0.3">
      <c r="A410" s="11" t="s">
        <v>409</v>
      </c>
      <c r="B410" s="7">
        <v>1.5</v>
      </c>
    </row>
    <row r="411" spans="1:2" x14ac:dyDescent="0.3">
      <c r="A411" s="11" t="s">
        <v>410</v>
      </c>
      <c r="B411" s="7">
        <v>1.5</v>
      </c>
    </row>
    <row r="412" spans="1:2" x14ac:dyDescent="0.3">
      <c r="A412" s="11" t="s">
        <v>411</v>
      </c>
      <c r="B412" s="7">
        <v>2</v>
      </c>
    </row>
    <row r="413" spans="1:2" x14ac:dyDescent="0.3">
      <c r="A413" s="11" t="s">
        <v>412</v>
      </c>
      <c r="B413" s="7">
        <v>2</v>
      </c>
    </row>
    <row r="414" spans="1:2" x14ac:dyDescent="0.3">
      <c r="A414" s="11" t="s">
        <v>413</v>
      </c>
      <c r="B414" s="7">
        <v>1.5</v>
      </c>
    </row>
    <row r="415" spans="1:2" x14ac:dyDescent="0.3">
      <c r="A415" s="11" t="s">
        <v>414</v>
      </c>
      <c r="B415" s="7">
        <v>0.8</v>
      </c>
    </row>
    <row r="416" spans="1:2" x14ac:dyDescent="0.3">
      <c r="A416" s="11" t="s">
        <v>415</v>
      </c>
      <c r="B416" s="7">
        <v>2</v>
      </c>
    </row>
    <row r="417" spans="1:2" x14ac:dyDescent="0.3">
      <c r="A417" s="11" t="s">
        <v>416</v>
      </c>
      <c r="B417" s="7">
        <v>1</v>
      </c>
    </row>
    <row r="418" spans="1:2" x14ac:dyDescent="0.3">
      <c r="A418" s="11" t="s">
        <v>417</v>
      </c>
      <c r="B418" s="7">
        <v>1.5</v>
      </c>
    </row>
    <row r="419" spans="1:2" x14ac:dyDescent="0.3">
      <c r="A419" s="11" t="s">
        <v>418</v>
      </c>
      <c r="B419" s="7">
        <v>2</v>
      </c>
    </row>
    <row r="420" spans="1:2" x14ac:dyDescent="0.3">
      <c r="A420" s="11" t="s">
        <v>419</v>
      </c>
      <c r="B420" s="7">
        <v>2</v>
      </c>
    </row>
    <row r="421" spans="1:2" x14ac:dyDescent="0.3">
      <c r="A421" s="11" t="s">
        <v>420</v>
      </c>
      <c r="B421" s="7">
        <v>1.5</v>
      </c>
    </row>
    <row r="422" spans="1:2" x14ac:dyDescent="0.3">
      <c r="A422" s="11" t="s">
        <v>421</v>
      </c>
      <c r="B422" s="7">
        <v>2</v>
      </c>
    </row>
    <row r="423" spans="1:2" x14ac:dyDescent="0.3">
      <c r="A423" s="1" t="s">
        <v>422</v>
      </c>
      <c r="B423" s="7">
        <v>2</v>
      </c>
    </row>
    <row r="424" spans="1:2" x14ac:dyDescent="0.3">
      <c r="A424" s="11" t="s">
        <v>423</v>
      </c>
      <c r="B424" s="7">
        <v>0.8</v>
      </c>
    </row>
    <row r="425" spans="1:2" x14ac:dyDescent="0.3">
      <c r="A425" s="11" t="s">
        <v>424</v>
      </c>
      <c r="B425" s="7">
        <v>1</v>
      </c>
    </row>
    <row r="426" spans="1:2" x14ac:dyDescent="0.3">
      <c r="A426" s="11" t="s">
        <v>425</v>
      </c>
      <c r="B426" s="7">
        <v>0.8</v>
      </c>
    </row>
    <row r="427" spans="1:2" x14ac:dyDescent="0.3">
      <c r="A427" s="11" t="s">
        <v>426</v>
      </c>
      <c r="B427" s="7">
        <v>1.5</v>
      </c>
    </row>
    <row r="428" spans="1:2" x14ac:dyDescent="0.3">
      <c r="A428" s="11" t="s">
        <v>427</v>
      </c>
      <c r="B428" s="7">
        <v>1.5</v>
      </c>
    </row>
    <row r="429" spans="1:2" x14ac:dyDescent="0.3">
      <c r="A429" s="1" t="s">
        <v>428</v>
      </c>
      <c r="B429" s="7">
        <v>1</v>
      </c>
    </row>
    <row r="430" spans="1:2" x14ac:dyDescent="0.3">
      <c r="A430" s="11" t="s">
        <v>429</v>
      </c>
      <c r="B430" s="7">
        <v>0.8</v>
      </c>
    </row>
    <row r="431" spans="1:2" x14ac:dyDescent="0.3">
      <c r="A431" s="11" t="s">
        <v>430</v>
      </c>
      <c r="B431" s="7">
        <v>2.5</v>
      </c>
    </row>
    <row r="432" spans="1:2" x14ac:dyDescent="0.3">
      <c r="A432" s="11" t="s">
        <v>431</v>
      </c>
      <c r="B432" s="7">
        <v>1</v>
      </c>
    </row>
    <row r="433" spans="1:2" x14ac:dyDescent="0.3">
      <c r="A433" s="11" t="s">
        <v>432</v>
      </c>
      <c r="B433" s="7">
        <v>1.5</v>
      </c>
    </row>
    <row r="434" spans="1:2" x14ac:dyDescent="0.3">
      <c r="A434" s="11" t="s">
        <v>433</v>
      </c>
      <c r="B434" s="7">
        <v>1</v>
      </c>
    </row>
    <row r="435" spans="1:2" x14ac:dyDescent="0.3">
      <c r="A435" s="11" t="s">
        <v>434</v>
      </c>
      <c r="B435" s="7">
        <v>1.5</v>
      </c>
    </row>
    <row r="436" spans="1:2" ht="15" x14ac:dyDescent="0.3">
      <c r="A436" s="12" t="s">
        <v>435</v>
      </c>
      <c r="B436" s="7">
        <v>1</v>
      </c>
    </row>
    <row r="437" spans="1:2" x14ac:dyDescent="0.3">
      <c r="A437" s="11" t="s">
        <v>436</v>
      </c>
      <c r="B437" s="7">
        <v>1</v>
      </c>
    </row>
    <row r="438" spans="1:2" x14ac:dyDescent="0.3">
      <c r="A438" s="11" t="s">
        <v>437</v>
      </c>
      <c r="B438" s="7">
        <v>1</v>
      </c>
    </row>
    <row r="439" spans="1:2" x14ac:dyDescent="0.3">
      <c r="A439" s="11" t="s">
        <v>438</v>
      </c>
      <c r="B439" s="7">
        <v>1</v>
      </c>
    </row>
    <row r="440" spans="1:2" ht="15" x14ac:dyDescent="0.3">
      <c r="A440" s="12" t="s">
        <v>439</v>
      </c>
      <c r="B440" s="7">
        <v>1.5</v>
      </c>
    </row>
    <row r="441" spans="1:2" x14ac:dyDescent="0.3">
      <c r="A441" s="11" t="s">
        <v>440</v>
      </c>
      <c r="B441" s="7">
        <v>2</v>
      </c>
    </row>
    <row r="442" spans="1:2" x14ac:dyDescent="0.3">
      <c r="A442" s="11" t="s">
        <v>441</v>
      </c>
      <c r="B442" s="7">
        <v>0.8</v>
      </c>
    </row>
    <row r="443" spans="1:2" x14ac:dyDescent="0.3">
      <c r="A443" s="11" t="s">
        <v>442</v>
      </c>
      <c r="B443" s="7">
        <v>0.8</v>
      </c>
    </row>
    <row r="444" spans="1:2" x14ac:dyDescent="0.3">
      <c r="A444" s="11" t="s">
        <v>443</v>
      </c>
      <c r="B444" s="7">
        <v>1</v>
      </c>
    </row>
    <row r="445" spans="1:2" x14ac:dyDescent="0.3">
      <c r="A445" s="11" t="s">
        <v>444</v>
      </c>
      <c r="B445" s="7">
        <v>1</v>
      </c>
    </row>
    <row r="446" spans="1:2" x14ac:dyDescent="0.3">
      <c r="A446" s="11" t="s">
        <v>445</v>
      </c>
      <c r="B446" s="7">
        <v>1.5</v>
      </c>
    </row>
    <row r="447" spans="1:2" x14ac:dyDescent="0.3">
      <c r="A447" s="11" t="s">
        <v>446</v>
      </c>
      <c r="B447" s="7">
        <v>0.8</v>
      </c>
    </row>
    <row r="448" spans="1:2" x14ac:dyDescent="0.3">
      <c r="A448" s="11" t="s">
        <v>447</v>
      </c>
      <c r="B448" s="7">
        <v>1.5</v>
      </c>
    </row>
    <row r="449" spans="1:2" x14ac:dyDescent="0.3">
      <c r="A449" s="11" t="s">
        <v>448</v>
      </c>
      <c r="B449" s="7">
        <v>0.8</v>
      </c>
    </row>
    <row r="450" spans="1:2" x14ac:dyDescent="0.3">
      <c r="A450" s="11" t="s">
        <v>449</v>
      </c>
      <c r="B450" s="7">
        <v>0.8</v>
      </c>
    </row>
    <row r="451" spans="1:2" x14ac:dyDescent="0.3">
      <c r="A451" s="11" t="s">
        <v>450</v>
      </c>
      <c r="B451" s="7">
        <v>0.8</v>
      </c>
    </row>
    <row r="452" spans="1:2" x14ac:dyDescent="0.3">
      <c r="A452" s="11" t="s">
        <v>451</v>
      </c>
      <c r="B452" s="7">
        <v>0.8</v>
      </c>
    </row>
    <row r="453" spans="1:2" x14ac:dyDescent="0.3">
      <c r="A453" s="11" t="s">
        <v>452</v>
      </c>
      <c r="B453" s="7">
        <v>0.8</v>
      </c>
    </row>
    <row r="454" spans="1:2" x14ac:dyDescent="0.3">
      <c r="A454" s="11" t="s">
        <v>453</v>
      </c>
      <c r="B454" s="7">
        <v>0.8</v>
      </c>
    </row>
    <row r="455" spans="1:2" x14ac:dyDescent="0.3">
      <c r="A455" s="11" t="s">
        <v>454</v>
      </c>
      <c r="B455" s="7">
        <v>0.5</v>
      </c>
    </row>
    <row r="456" spans="1:2" x14ac:dyDescent="0.3">
      <c r="A456" s="11" t="s">
        <v>455</v>
      </c>
      <c r="B456" s="7">
        <v>0.5</v>
      </c>
    </row>
    <row r="457" spans="1:2" x14ac:dyDescent="0.3">
      <c r="A457" s="11" t="s">
        <v>456</v>
      </c>
      <c r="B457" s="7">
        <v>6</v>
      </c>
    </row>
    <row r="458" spans="1:2" x14ac:dyDescent="0.3">
      <c r="A458" s="11" t="s">
        <v>457</v>
      </c>
      <c r="B458" s="7">
        <v>10</v>
      </c>
    </row>
    <row r="459" spans="1:2" x14ac:dyDescent="0.3">
      <c r="A459" s="11" t="s">
        <v>458</v>
      </c>
      <c r="B459" s="7">
        <v>6</v>
      </c>
    </row>
    <row r="460" spans="1:2" x14ac:dyDescent="0.3">
      <c r="A460" s="11" t="s">
        <v>459</v>
      </c>
      <c r="B460" s="7">
        <v>0.5</v>
      </c>
    </row>
    <row r="461" spans="1:2" x14ac:dyDescent="0.3">
      <c r="A461" s="11" t="s">
        <v>460</v>
      </c>
      <c r="B461" s="7">
        <v>0.5</v>
      </c>
    </row>
    <row r="462" spans="1:2" x14ac:dyDescent="0.3">
      <c r="A462" s="11" t="s">
        <v>461</v>
      </c>
      <c r="B462" s="7">
        <v>0.5</v>
      </c>
    </row>
    <row r="463" spans="1:2" x14ac:dyDescent="0.3">
      <c r="A463" s="11" t="s">
        <v>462</v>
      </c>
      <c r="B463" s="7">
        <v>0.5</v>
      </c>
    </row>
    <row r="464" spans="1:2" x14ac:dyDescent="0.3">
      <c r="A464" s="11" t="s">
        <v>463</v>
      </c>
      <c r="B464" s="7">
        <v>0.5</v>
      </c>
    </row>
    <row r="465" spans="1:2" x14ac:dyDescent="0.3">
      <c r="A465" s="11" t="s">
        <v>464</v>
      </c>
      <c r="B465" s="7">
        <v>0.5</v>
      </c>
    </row>
    <row r="466" spans="1:2" x14ac:dyDescent="0.3">
      <c r="A466" s="11" t="s">
        <v>465</v>
      </c>
      <c r="B466" s="7">
        <v>0.5</v>
      </c>
    </row>
    <row r="467" spans="1:2" x14ac:dyDescent="0.3">
      <c r="A467" s="11" t="s">
        <v>466</v>
      </c>
      <c r="B467" s="7">
        <v>0.8</v>
      </c>
    </row>
    <row r="468" spans="1:2" x14ac:dyDescent="0.3">
      <c r="A468" s="11" t="s">
        <v>467</v>
      </c>
      <c r="B468" s="7">
        <v>0.8</v>
      </c>
    </row>
    <row r="469" spans="1:2" x14ac:dyDescent="0.3">
      <c r="A469" s="11" t="s">
        <v>468</v>
      </c>
      <c r="B469" s="7">
        <v>0.8</v>
      </c>
    </row>
    <row r="470" spans="1:2" x14ac:dyDescent="0.3">
      <c r="A470" s="11" t="s">
        <v>469</v>
      </c>
      <c r="B470" s="7">
        <v>0.8</v>
      </c>
    </row>
    <row r="471" spans="1:2" x14ac:dyDescent="0.3">
      <c r="A471" s="11" t="s">
        <v>470</v>
      </c>
      <c r="B471" s="7">
        <v>0.8</v>
      </c>
    </row>
    <row r="472" spans="1:2" x14ac:dyDescent="0.3">
      <c r="A472" s="11" t="s">
        <v>471</v>
      </c>
      <c r="B472" s="7">
        <v>0.8</v>
      </c>
    </row>
    <row r="473" spans="1:2" x14ac:dyDescent="0.3">
      <c r="A473" s="11" t="s">
        <v>472</v>
      </c>
      <c r="B473" s="7">
        <v>0.8</v>
      </c>
    </row>
    <row r="474" spans="1:2" x14ac:dyDescent="0.3">
      <c r="A474" s="11" t="s">
        <v>473</v>
      </c>
      <c r="B474" s="7">
        <v>0.8</v>
      </c>
    </row>
    <row r="475" spans="1:2" x14ac:dyDescent="0.3">
      <c r="A475" s="11" t="s">
        <v>474</v>
      </c>
      <c r="B475" s="7">
        <v>0.8</v>
      </c>
    </row>
    <row r="476" spans="1:2" x14ac:dyDescent="0.3">
      <c r="A476" s="11" t="s">
        <v>475</v>
      </c>
      <c r="B476" s="7">
        <v>0.8</v>
      </c>
    </row>
    <row r="477" spans="1:2" x14ac:dyDescent="0.3">
      <c r="A477" s="11" t="s">
        <v>476</v>
      </c>
      <c r="B477" s="7">
        <v>0.8</v>
      </c>
    </row>
    <row r="478" spans="1:2" x14ac:dyDescent="0.3">
      <c r="A478" s="11" t="s">
        <v>477</v>
      </c>
      <c r="B478" s="7">
        <v>0.8</v>
      </c>
    </row>
    <row r="479" spans="1:2" x14ac:dyDescent="0.3">
      <c r="A479" s="11" t="s">
        <v>478</v>
      </c>
      <c r="B479" s="7">
        <v>0.8</v>
      </c>
    </row>
    <row r="480" spans="1:2" x14ac:dyDescent="0.3">
      <c r="A480" s="11" t="s">
        <v>479</v>
      </c>
      <c r="B480" s="7">
        <v>0.8</v>
      </c>
    </row>
    <row r="481" spans="1:2" x14ac:dyDescent="0.3">
      <c r="A481" s="11" t="s">
        <v>480</v>
      </c>
      <c r="B481" s="7">
        <v>0.8</v>
      </c>
    </row>
    <row r="482" spans="1:2" x14ac:dyDescent="0.3">
      <c r="A482" s="11" t="s">
        <v>481</v>
      </c>
      <c r="B482" s="7">
        <v>0.8</v>
      </c>
    </row>
    <row r="483" spans="1:2" x14ac:dyDescent="0.3">
      <c r="A483" s="11" t="s">
        <v>482</v>
      </c>
      <c r="B483" s="7">
        <v>0.8</v>
      </c>
    </row>
    <row r="484" spans="1:2" x14ac:dyDescent="0.3">
      <c r="A484" s="11" t="s">
        <v>483</v>
      </c>
      <c r="B484" s="7">
        <v>0.8</v>
      </c>
    </row>
    <row r="485" spans="1:2" x14ac:dyDescent="0.3">
      <c r="A485" s="11" t="s">
        <v>484</v>
      </c>
      <c r="B485" s="7">
        <v>1</v>
      </c>
    </row>
    <row r="486" spans="1:2" x14ac:dyDescent="0.3">
      <c r="A486" s="11" t="s">
        <v>485</v>
      </c>
      <c r="B486" s="7">
        <v>1.5</v>
      </c>
    </row>
    <row r="487" spans="1:2" x14ac:dyDescent="0.3">
      <c r="A487" s="11" t="s">
        <v>486</v>
      </c>
      <c r="B487" s="7">
        <v>0.8</v>
      </c>
    </row>
    <row r="488" spans="1:2" x14ac:dyDescent="0.3">
      <c r="A488" s="11" t="s">
        <v>487</v>
      </c>
      <c r="B488" s="7">
        <v>0.8</v>
      </c>
    </row>
    <row r="489" spans="1:2" x14ac:dyDescent="0.3">
      <c r="A489" s="11" t="s">
        <v>488</v>
      </c>
      <c r="B489" s="7">
        <v>2</v>
      </c>
    </row>
    <row r="490" spans="1:2" x14ac:dyDescent="0.3">
      <c r="A490" s="11" t="s">
        <v>489</v>
      </c>
      <c r="B490" s="7">
        <v>0.8</v>
      </c>
    </row>
    <row r="491" spans="1:2" x14ac:dyDescent="0.3">
      <c r="A491" s="11" t="s">
        <v>490</v>
      </c>
      <c r="B491" s="7">
        <v>1</v>
      </c>
    </row>
    <row r="492" spans="1:2" x14ac:dyDescent="0.3">
      <c r="A492" s="11" t="s">
        <v>491</v>
      </c>
      <c r="B492" s="7">
        <v>1</v>
      </c>
    </row>
    <row r="493" spans="1:2" x14ac:dyDescent="0.3">
      <c r="A493" s="11" t="s">
        <v>492</v>
      </c>
      <c r="B493" s="7">
        <v>1.5</v>
      </c>
    </row>
    <row r="494" spans="1:2" x14ac:dyDescent="0.3">
      <c r="A494" s="11" t="s">
        <v>493</v>
      </c>
      <c r="B494" s="7">
        <v>2</v>
      </c>
    </row>
    <row r="495" spans="1:2" x14ac:dyDescent="0.3">
      <c r="A495" s="11" t="s">
        <v>494</v>
      </c>
      <c r="B495" s="7">
        <v>0.5</v>
      </c>
    </row>
    <row r="496" spans="1:2" x14ac:dyDescent="0.3">
      <c r="A496" s="11" t="s">
        <v>495</v>
      </c>
      <c r="B496" s="7">
        <v>0.5</v>
      </c>
    </row>
    <row r="497" spans="1:2" x14ac:dyDescent="0.3">
      <c r="A497" s="11" t="s">
        <v>496</v>
      </c>
      <c r="B497" s="7">
        <v>0.5</v>
      </c>
    </row>
    <row r="498" spans="1:2" x14ac:dyDescent="0.3">
      <c r="A498" s="11" t="s">
        <v>497</v>
      </c>
      <c r="B498" s="7">
        <v>0.5</v>
      </c>
    </row>
    <row r="499" spans="1:2" x14ac:dyDescent="0.3">
      <c r="A499" s="11" t="s">
        <v>498</v>
      </c>
      <c r="B499" s="7">
        <v>0.5</v>
      </c>
    </row>
    <row r="500" spans="1:2" x14ac:dyDescent="0.3">
      <c r="A500" s="11" t="s">
        <v>499</v>
      </c>
      <c r="B500" s="7">
        <v>0.5</v>
      </c>
    </row>
    <row r="501" spans="1:2" x14ac:dyDescent="0.3">
      <c r="A501" s="11" t="s">
        <v>500</v>
      </c>
      <c r="B501" s="7">
        <v>0.5</v>
      </c>
    </row>
    <row r="502" spans="1:2" x14ac:dyDescent="0.3">
      <c r="A502" s="11" t="s">
        <v>501</v>
      </c>
      <c r="B502" s="7">
        <v>0.8</v>
      </c>
    </row>
    <row r="503" spans="1:2" x14ac:dyDescent="0.3">
      <c r="A503" s="11" t="s">
        <v>502</v>
      </c>
      <c r="B503" s="7">
        <v>0.8</v>
      </c>
    </row>
    <row r="504" spans="1:2" x14ac:dyDescent="0.3">
      <c r="A504" s="11" t="s">
        <v>503</v>
      </c>
      <c r="B504" s="7">
        <v>0.8</v>
      </c>
    </row>
    <row r="505" spans="1:2" x14ac:dyDescent="0.3">
      <c r="A505" s="11" t="s">
        <v>504</v>
      </c>
      <c r="B505" s="7">
        <v>1</v>
      </c>
    </row>
    <row r="506" spans="1:2" x14ac:dyDescent="0.3">
      <c r="A506" s="11" t="s">
        <v>505</v>
      </c>
      <c r="B506" s="7">
        <v>1</v>
      </c>
    </row>
    <row r="507" spans="1:2" x14ac:dyDescent="0.3">
      <c r="A507" s="1" t="s">
        <v>506</v>
      </c>
      <c r="B507" s="7">
        <v>1</v>
      </c>
    </row>
    <row r="508" spans="1:2" x14ac:dyDescent="0.3">
      <c r="A508" s="11" t="s">
        <v>507</v>
      </c>
      <c r="B508" s="7">
        <v>1.5</v>
      </c>
    </row>
    <row r="509" spans="1:2" x14ac:dyDescent="0.3">
      <c r="A509" s="11" t="s">
        <v>508</v>
      </c>
      <c r="B509" s="7">
        <v>1.5</v>
      </c>
    </row>
    <row r="510" spans="1:2" x14ac:dyDescent="0.3">
      <c r="A510" s="11" t="s">
        <v>509</v>
      </c>
      <c r="B510" s="7">
        <v>2</v>
      </c>
    </row>
    <row r="511" spans="1:2" x14ac:dyDescent="0.3">
      <c r="A511" s="11" t="s">
        <v>510</v>
      </c>
      <c r="B511" s="7">
        <v>0.8</v>
      </c>
    </row>
    <row r="512" spans="1:2" x14ac:dyDescent="0.3">
      <c r="A512" s="11" t="s">
        <v>511</v>
      </c>
      <c r="B512" s="7">
        <v>0.8</v>
      </c>
    </row>
    <row r="513" spans="1:2" x14ac:dyDescent="0.3">
      <c r="A513" s="11" t="s">
        <v>512</v>
      </c>
      <c r="B513" s="7">
        <v>0.8</v>
      </c>
    </row>
    <row r="514" spans="1:2" x14ac:dyDescent="0.3">
      <c r="A514" s="11" t="s">
        <v>513</v>
      </c>
      <c r="B514" s="7">
        <v>0.8</v>
      </c>
    </row>
    <row r="515" spans="1:2" x14ac:dyDescent="0.3">
      <c r="A515" s="11" t="s">
        <v>514</v>
      </c>
      <c r="B515" s="7">
        <v>0.8</v>
      </c>
    </row>
    <row r="516" spans="1:2" x14ac:dyDescent="0.3">
      <c r="A516" s="11" t="s">
        <v>515</v>
      </c>
      <c r="B516" s="7">
        <v>0.8</v>
      </c>
    </row>
    <row r="517" spans="1:2" x14ac:dyDescent="0.3">
      <c r="A517" s="11" t="s">
        <v>516</v>
      </c>
      <c r="B517" s="7">
        <v>0.8</v>
      </c>
    </row>
    <row r="518" spans="1:2" x14ac:dyDescent="0.3">
      <c r="A518" s="11" t="s">
        <v>517</v>
      </c>
      <c r="B518" s="7">
        <v>0.8</v>
      </c>
    </row>
    <row r="519" spans="1:2" x14ac:dyDescent="0.3">
      <c r="A519" s="11" t="s">
        <v>518</v>
      </c>
      <c r="B519" s="7">
        <v>0.8</v>
      </c>
    </row>
    <row r="520" spans="1:2" x14ac:dyDescent="0.3">
      <c r="A520" s="1" t="s">
        <v>519</v>
      </c>
      <c r="B520" s="7">
        <v>0.8</v>
      </c>
    </row>
    <row r="521" spans="1:2" x14ac:dyDescent="0.3">
      <c r="A521" s="11" t="s">
        <v>520</v>
      </c>
      <c r="B521" s="7">
        <v>0.8</v>
      </c>
    </row>
    <row r="522" spans="1:2" x14ac:dyDescent="0.3">
      <c r="A522" s="11" t="s">
        <v>521</v>
      </c>
      <c r="B522" s="7">
        <v>1</v>
      </c>
    </row>
    <row r="523" spans="1:2" x14ac:dyDescent="0.3">
      <c r="A523" s="11" t="s">
        <v>522</v>
      </c>
      <c r="B523" s="7">
        <v>1</v>
      </c>
    </row>
    <row r="524" spans="1:2" x14ac:dyDescent="0.3">
      <c r="A524" s="11" t="s">
        <v>523</v>
      </c>
      <c r="B524" s="7">
        <v>1.5</v>
      </c>
    </row>
    <row r="525" spans="1:2" x14ac:dyDescent="0.3">
      <c r="A525" s="11" t="s">
        <v>524</v>
      </c>
      <c r="B525" s="7">
        <v>0.8</v>
      </c>
    </row>
    <row r="526" spans="1:2" x14ac:dyDescent="0.3">
      <c r="A526" s="11" t="s">
        <v>525</v>
      </c>
      <c r="B526" s="7">
        <v>0.8</v>
      </c>
    </row>
    <row r="527" spans="1:2" x14ac:dyDescent="0.3">
      <c r="A527" s="11" t="s">
        <v>526</v>
      </c>
      <c r="B527" s="7">
        <v>0.8</v>
      </c>
    </row>
    <row r="528" spans="1:2" x14ac:dyDescent="0.3">
      <c r="A528" s="11" t="s">
        <v>527</v>
      </c>
      <c r="B528" s="7">
        <v>0.3</v>
      </c>
    </row>
    <row r="529" spans="1:2" x14ac:dyDescent="0.3">
      <c r="A529" s="11" t="s">
        <v>528</v>
      </c>
      <c r="B529" s="7">
        <v>1.5</v>
      </c>
    </row>
    <row r="530" spans="1:2" x14ac:dyDescent="0.3">
      <c r="A530" s="11" t="s">
        <v>529</v>
      </c>
      <c r="B530" s="7">
        <v>2</v>
      </c>
    </row>
    <row r="531" spans="1:2" x14ac:dyDescent="0.3">
      <c r="A531" s="11" t="s">
        <v>530</v>
      </c>
      <c r="B531" s="11">
        <v>1.5</v>
      </c>
    </row>
    <row r="532" spans="1:2" x14ac:dyDescent="0.3">
      <c r="A532" s="1" t="s">
        <v>531</v>
      </c>
      <c r="B532" s="7">
        <v>0.8</v>
      </c>
    </row>
    <row r="533" spans="1:2" x14ac:dyDescent="0.3">
      <c r="A533" s="1" t="s">
        <v>532</v>
      </c>
      <c r="B533" s="7">
        <v>0.8</v>
      </c>
    </row>
    <row r="534" spans="1:2" x14ac:dyDescent="0.3">
      <c r="A534" s="11" t="s">
        <v>533</v>
      </c>
      <c r="B534" s="7">
        <v>1</v>
      </c>
    </row>
    <row r="535" spans="1:2" x14ac:dyDescent="0.3">
      <c r="A535" s="11" t="s">
        <v>534</v>
      </c>
      <c r="B535" s="7">
        <v>2</v>
      </c>
    </row>
    <row r="536" spans="1:2" x14ac:dyDescent="0.3">
      <c r="A536" s="11" t="s">
        <v>535</v>
      </c>
      <c r="B536" s="7">
        <v>0.5</v>
      </c>
    </row>
    <row r="537" spans="1:2" x14ac:dyDescent="0.3">
      <c r="A537" s="11" t="s">
        <v>536</v>
      </c>
      <c r="B537" s="7">
        <v>0.5</v>
      </c>
    </row>
    <row r="538" spans="1:2" x14ac:dyDescent="0.3">
      <c r="A538" s="11" t="s">
        <v>537</v>
      </c>
      <c r="B538" s="7">
        <v>0.8</v>
      </c>
    </row>
    <row r="539" spans="1:2" x14ac:dyDescent="0.3">
      <c r="A539" s="11" t="s">
        <v>538</v>
      </c>
      <c r="B539" s="7">
        <v>0.8</v>
      </c>
    </row>
    <row r="540" spans="1:2" x14ac:dyDescent="0.3">
      <c r="A540" s="11" t="s">
        <v>539</v>
      </c>
      <c r="B540" s="7">
        <v>0.8</v>
      </c>
    </row>
    <row r="541" spans="1:2" x14ac:dyDescent="0.3">
      <c r="A541" s="1" t="s">
        <v>540</v>
      </c>
      <c r="B541" s="7">
        <v>0.8</v>
      </c>
    </row>
    <row r="542" spans="1:2" x14ac:dyDescent="0.3">
      <c r="A542" s="11" t="s">
        <v>541</v>
      </c>
      <c r="B542" s="7">
        <v>0.8</v>
      </c>
    </row>
    <row r="543" spans="1:2" x14ac:dyDescent="0.3">
      <c r="A543" s="11" t="s">
        <v>542</v>
      </c>
      <c r="B543" s="7">
        <v>0.8</v>
      </c>
    </row>
    <row r="544" spans="1:2" x14ac:dyDescent="0.3">
      <c r="A544" s="11" t="s">
        <v>543</v>
      </c>
      <c r="B544" s="7">
        <v>0.8</v>
      </c>
    </row>
    <row r="545" spans="1:2" x14ac:dyDescent="0.3">
      <c r="A545" s="11" t="s">
        <v>544</v>
      </c>
      <c r="B545" s="7">
        <v>2</v>
      </c>
    </row>
    <row r="546" spans="1:2" x14ac:dyDescent="0.3">
      <c r="A546" s="11" t="s">
        <v>545</v>
      </c>
      <c r="B546" s="7">
        <v>1.5</v>
      </c>
    </row>
    <row r="547" spans="1:2" x14ac:dyDescent="0.3">
      <c r="A547" s="11" t="s">
        <v>546</v>
      </c>
      <c r="B547" s="7">
        <v>0.8</v>
      </c>
    </row>
    <row r="548" spans="1:2" x14ac:dyDescent="0.3">
      <c r="A548" s="11" t="s">
        <v>547</v>
      </c>
      <c r="B548" s="7">
        <v>0.8</v>
      </c>
    </row>
    <row r="549" spans="1:2" x14ac:dyDescent="0.3">
      <c r="A549" s="11" t="s">
        <v>548</v>
      </c>
      <c r="B549" s="7">
        <v>0.8</v>
      </c>
    </row>
    <row r="550" spans="1:2" x14ac:dyDescent="0.3">
      <c r="A550" s="1" t="s">
        <v>549</v>
      </c>
      <c r="B550" s="7">
        <v>0.8</v>
      </c>
    </row>
    <row r="551" spans="1:2" x14ac:dyDescent="0.3">
      <c r="A551" s="11" t="s">
        <v>550</v>
      </c>
      <c r="B551" s="7">
        <v>0.8</v>
      </c>
    </row>
    <row r="552" spans="1:2" ht="15" x14ac:dyDescent="0.3">
      <c r="A552" s="12" t="s">
        <v>551</v>
      </c>
      <c r="B552" s="7">
        <v>1</v>
      </c>
    </row>
    <row r="553" spans="1:2" x14ac:dyDescent="0.3">
      <c r="A553" s="11" t="s">
        <v>552</v>
      </c>
      <c r="B553" s="7">
        <v>2</v>
      </c>
    </row>
    <row r="554" spans="1:2" x14ac:dyDescent="0.3">
      <c r="A554" s="11" t="s">
        <v>553</v>
      </c>
      <c r="B554" s="7">
        <v>0.8</v>
      </c>
    </row>
    <row r="555" spans="1:2" x14ac:dyDescent="0.3">
      <c r="A555" s="11" t="s">
        <v>554</v>
      </c>
      <c r="B555" s="7">
        <v>0.8</v>
      </c>
    </row>
    <row r="556" spans="1:2" x14ac:dyDescent="0.3">
      <c r="A556" s="11" t="s">
        <v>555</v>
      </c>
      <c r="B556" s="7">
        <v>0.8</v>
      </c>
    </row>
    <row r="557" spans="1:2" x14ac:dyDescent="0.3">
      <c r="A557" s="11" t="s">
        <v>556</v>
      </c>
      <c r="B557" s="7">
        <v>0.8</v>
      </c>
    </row>
    <row r="558" spans="1:2" x14ac:dyDescent="0.3">
      <c r="A558" s="11" t="s">
        <v>557</v>
      </c>
      <c r="B558" s="7">
        <v>0.8</v>
      </c>
    </row>
    <row r="559" spans="1:2" x14ac:dyDescent="0.3">
      <c r="A559" s="1" t="s">
        <v>558</v>
      </c>
      <c r="B559" s="7">
        <v>0.8</v>
      </c>
    </row>
    <row r="560" spans="1:2" x14ac:dyDescent="0.3">
      <c r="A560" s="11" t="s">
        <v>559</v>
      </c>
      <c r="B560" s="7">
        <v>1</v>
      </c>
    </row>
    <row r="561" spans="1:2" x14ac:dyDescent="0.3">
      <c r="A561" s="11" t="s">
        <v>560</v>
      </c>
      <c r="B561" s="7">
        <v>0.8</v>
      </c>
    </row>
    <row r="562" spans="1:2" x14ac:dyDescent="0.3">
      <c r="A562" s="1" t="s">
        <v>561</v>
      </c>
      <c r="B562" s="7">
        <v>0.8</v>
      </c>
    </row>
    <row r="563" spans="1:2" x14ac:dyDescent="0.3">
      <c r="A563" s="1" t="s">
        <v>562</v>
      </c>
      <c r="B563" s="7">
        <v>0.8</v>
      </c>
    </row>
    <row r="564" spans="1:2" x14ac:dyDescent="0.3">
      <c r="A564" s="11" t="s">
        <v>563</v>
      </c>
      <c r="B564" s="7">
        <v>0.8</v>
      </c>
    </row>
    <row r="565" spans="1:2" x14ac:dyDescent="0.3">
      <c r="A565" s="11" t="s">
        <v>564</v>
      </c>
      <c r="B565" s="7">
        <v>0.8</v>
      </c>
    </row>
    <row r="566" spans="1:2" x14ac:dyDescent="0.3">
      <c r="A566" s="1" t="s">
        <v>565</v>
      </c>
      <c r="B566" s="7">
        <v>1.5</v>
      </c>
    </row>
    <row r="567" spans="1:2" x14ac:dyDescent="0.3">
      <c r="A567" s="1" t="s">
        <v>566</v>
      </c>
      <c r="B567" s="7">
        <v>0.8</v>
      </c>
    </row>
    <row r="568" spans="1:2" x14ac:dyDescent="0.3">
      <c r="A568" s="1" t="s">
        <v>567</v>
      </c>
      <c r="B568" s="7">
        <v>1</v>
      </c>
    </row>
    <row r="569" spans="1:2" x14ac:dyDescent="0.3">
      <c r="A569" s="1" t="s">
        <v>568</v>
      </c>
      <c r="B569" s="7">
        <v>1.5</v>
      </c>
    </row>
    <row r="570" spans="1:2" x14ac:dyDescent="0.3">
      <c r="A570" s="11" t="s">
        <v>569</v>
      </c>
      <c r="B570" s="7">
        <v>2</v>
      </c>
    </row>
    <row r="571" spans="1:2" x14ac:dyDescent="0.3">
      <c r="A571" s="1" t="s">
        <v>570</v>
      </c>
      <c r="B571" s="7">
        <v>1.5</v>
      </c>
    </row>
    <row r="572" spans="1:2" x14ac:dyDescent="0.3">
      <c r="A572" s="1" t="s">
        <v>571</v>
      </c>
      <c r="B572" s="7">
        <v>0.8</v>
      </c>
    </row>
    <row r="573" spans="1:2" x14ac:dyDescent="0.3">
      <c r="A573" s="1" t="s">
        <v>572</v>
      </c>
      <c r="B573" s="7">
        <v>1</v>
      </c>
    </row>
    <row r="574" spans="1:2" x14ac:dyDescent="0.3">
      <c r="A574" s="1" t="s">
        <v>573</v>
      </c>
      <c r="B574" s="7">
        <v>1.5</v>
      </c>
    </row>
    <row r="575" spans="1:2" x14ac:dyDescent="0.3">
      <c r="A575" s="1" t="s">
        <v>574</v>
      </c>
      <c r="B575" s="7">
        <v>1</v>
      </c>
    </row>
    <row r="576" spans="1:2" x14ac:dyDescent="0.3">
      <c r="A576" s="1" t="s">
        <v>575</v>
      </c>
      <c r="B576" s="7">
        <v>1</v>
      </c>
    </row>
    <row r="577" spans="1:2" x14ac:dyDescent="0.3">
      <c r="A577" s="11" t="s">
        <v>576</v>
      </c>
      <c r="B577" s="7">
        <v>1.5</v>
      </c>
    </row>
    <row r="578" spans="1:2" x14ac:dyDescent="0.3">
      <c r="A578" s="11" t="s">
        <v>577</v>
      </c>
      <c r="B578" s="7">
        <v>0.8</v>
      </c>
    </row>
    <row r="579" spans="1:2" x14ac:dyDescent="0.3">
      <c r="A579" s="11" t="s">
        <v>578</v>
      </c>
      <c r="B579" s="7">
        <v>0.8</v>
      </c>
    </row>
    <row r="580" spans="1:2" x14ac:dyDescent="0.3">
      <c r="A580" s="11" t="s">
        <v>579</v>
      </c>
      <c r="B580" s="7">
        <v>0.8</v>
      </c>
    </row>
    <row r="581" spans="1:2" x14ac:dyDescent="0.3">
      <c r="A581" s="1" t="s">
        <v>580</v>
      </c>
      <c r="B581" s="7">
        <v>0.8</v>
      </c>
    </row>
    <row r="582" spans="1:2" x14ac:dyDescent="0.3">
      <c r="A582" s="1" t="s">
        <v>581</v>
      </c>
      <c r="B582" s="7">
        <v>1</v>
      </c>
    </row>
    <row r="583" spans="1:2" x14ac:dyDescent="0.3">
      <c r="A583" s="11" t="s">
        <v>582</v>
      </c>
      <c r="B583" s="7">
        <v>0.3</v>
      </c>
    </row>
    <row r="584" spans="1:2" x14ac:dyDescent="0.3">
      <c r="A584" s="11" t="s">
        <v>583</v>
      </c>
      <c r="B584" s="7">
        <v>0.5</v>
      </c>
    </row>
    <row r="585" spans="1:2" x14ac:dyDescent="0.3">
      <c r="A585" s="11" t="s">
        <v>584</v>
      </c>
      <c r="B585" s="7">
        <v>0.5</v>
      </c>
    </row>
    <row r="586" spans="1:2" x14ac:dyDescent="0.3">
      <c r="A586" s="11" t="s">
        <v>585</v>
      </c>
      <c r="B586" s="7">
        <v>1.5</v>
      </c>
    </row>
    <row r="587" spans="1:2" x14ac:dyDescent="0.3">
      <c r="A587" s="11" t="s">
        <v>586</v>
      </c>
      <c r="B587" s="7">
        <v>1.5</v>
      </c>
    </row>
    <row r="588" spans="1:2" x14ac:dyDescent="0.3">
      <c r="A588" s="11" t="s">
        <v>587</v>
      </c>
      <c r="B588" s="7">
        <v>1.5</v>
      </c>
    </row>
    <row r="589" spans="1:2" x14ac:dyDescent="0.3">
      <c r="A589" s="11" t="s">
        <v>588</v>
      </c>
      <c r="B589" s="7">
        <v>1.5</v>
      </c>
    </row>
    <row r="590" spans="1:2" x14ac:dyDescent="0.3">
      <c r="A590" s="11" t="s">
        <v>589</v>
      </c>
      <c r="B590" s="7">
        <v>1.5</v>
      </c>
    </row>
    <row r="591" spans="1:2" x14ac:dyDescent="0.3">
      <c r="A591" s="11" t="s">
        <v>590</v>
      </c>
      <c r="B591" s="7">
        <v>1.5</v>
      </c>
    </row>
    <row r="592" spans="1:2" x14ac:dyDescent="0.3">
      <c r="A592" s="1" t="s">
        <v>591</v>
      </c>
      <c r="B592" s="7">
        <v>0.5</v>
      </c>
    </row>
    <row r="593" spans="1:2" x14ac:dyDescent="0.3">
      <c r="A593" s="11" t="s">
        <v>592</v>
      </c>
      <c r="B593" s="7">
        <v>0.5</v>
      </c>
    </row>
    <row r="594" spans="1:2" x14ac:dyDescent="0.3">
      <c r="A594" s="11" t="s">
        <v>593</v>
      </c>
      <c r="B594" s="7">
        <v>1.5</v>
      </c>
    </row>
    <row r="595" spans="1:2" x14ac:dyDescent="0.3">
      <c r="A595" s="11" t="s">
        <v>594</v>
      </c>
      <c r="B595" s="7">
        <v>1.5</v>
      </c>
    </row>
    <row r="596" spans="1:2" x14ac:dyDescent="0.3">
      <c r="A596" s="11" t="s">
        <v>595</v>
      </c>
      <c r="B596" s="7">
        <v>1.5</v>
      </c>
    </row>
    <row r="597" spans="1:2" x14ac:dyDescent="0.3">
      <c r="A597" s="11" t="s">
        <v>596</v>
      </c>
      <c r="B597" s="7">
        <v>1.5</v>
      </c>
    </row>
    <row r="598" spans="1:2" x14ac:dyDescent="0.3">
      <c r="A598" s="11" t="s">
        <v>597</v>
      </c>
      <c r="B598" s="7">
        <v>1.5</v>
      </c>
    </row>
    <row r="599" spans="1:2" x14ac:dyDescent="0.3">
      <c r="A599" s="11" t="s">
        <v>598</v>
      </c>
      <c r="B599" s="7">
        <v>1.5</v>
      </c>
    </row>
    <row r="600" spans="1:2" x14ac:dyDescent="0.3">
      <c r="A600" s="11" t="s">
        <v>599</v>
      </c>
      <c r="B600" s="7">
        <v>1.5</v>
      </c>
    </row>
    <row r="601" spans="1:2" x14ac:dyDescent="0.3">
      <c r="A601" s="11" t="s">
        <v>600</v>
      </c>
      <c r="B601" s="7">
        <v>0.5</v>
      </c>
    </row>
    <row r="602" spans="1:2" x14ac:dyDescent="0.3">
      <c r="A602" s="11" t="s">
        <v>601</v>
      </c>
      <c r="B602" s="7">
        <v>1</v>
      </c>
    </row>
    <row r="603" spans="1:2" x14ac:dyDescent="0.3">
      <c r="A603" s="11" t="s">
        <v>602</v>
      </c>
      <c r="B603" s="7">
        <v>1</v>
      </c>
    </row>
    <row r="604" spans="1:2" x14ac:dyDescent="0.3">
      <c r="A604" s="11" t="s">
        <v>603</v>
      </c>
      <c r="B604" s="7">
        <v>0.3</v>
      </c>
    </row>
    <row r="605" spans="1:2" x14ac:dyDescent="0.3">
      <c r="A605" s="11" t="s">
        <v>604</v>
      </c>
      <c r="B605" s="7">
        <v>0.3</v>
      </c>
    </row>
    <row r="606" spans="1:2" x14ac:dyDescent="0.3">
      <c r="A606" s="11" t="s">
        <v>605</v>
      </c>
      <c r="B606" s="7">
        <v>0.2</v>
      </c>
    </row>
    <row r="607" spans="1:2" x14ac:dyDescent="0.3">
      <c r="A607" s="11" t="s">
        <v>606</v>
      </c>
      <c r="B607" s="7">
        <v>0.5</v>
      </c>
    </row>
    <row r="608" spans="1:2" x14ac:dyDescent="0.3">
      <c r="A608" s="11" t="s">
        <v>607</v>
      </c>
      <c r="B608" s="7">
        <v>0.5</v>
      </c>
    </row>
    <row r="609" spans="1:2" x14ac:dyDescent="0.3">
      <c r="A609" s="11" t="s">
        <v>608</v>
      </c>
      <c r="B609" s="7">
        <v>0.5</v>
      </c>
    </row>
    <row r="610" spans="1:2" x14ac:dyDescent="0.3">
      <c r="A610" s="11" t="s">
        <v>609</v>
      </c>
      <c r="B610" s="7">
        <v>0.5</v>
      </c>
    </row>
    <row r="611" spans="1:2" x14ac:dyDescent="0.3">
      <c r="A611" s="11" t="s">
        <v>610</v>
      </c>
      <c r="B611" s="7">
        <v>0.5</v>
      </c>
    </row>
    <row r="612" spans="1:2" x14ac:dyDescent="0.3">
      <c r="A612" s="11" t="s">
        <v>611</v>
      </c>
      <c r="B612" s="7">
        <v>0.5</v>
      </c>
    </row>
    <row r="613" spans="1:2" x14ac:dyDescent="0.3">
      <c r="A613" s="11" t="s">
        <v>612</v>
      </c>
      <c r="B613" s="7">
        <v>0.5</v>
      </c>
    </row>
    <row r="614" spans="1:2" x14ac:dyDescent="0.3">
      <c r="A614" s="11" t="s">
        <v>613</v>
      </c>
      <c r="B614" s="7">
        <v>0.2</v>
      </c>
    </row>
    <row r="615" spans="1:2" x14ac:dyDescent="0.3">
      <c r="A615" s="1" t="s">
        <v>614</v>
      </c>
      <c r="B615" s="7">
        <v>0.5</v>
      </c>
    </row>
    <row r="616" spans="1:2" x14ac:dyDescent="0.3">
      <c r="A616" s="11" t="s">
        <v>615</v>
      </c>
      <c r="B616" s="7">
        <v>0.5</v>
      </c>
    </row>
    <row r="617" spans="1:2" x14ac:dyDescent="0.3">
      <c r="A617" s="11" t="s">
        <v>616</v>
      </c>
      <c r="B617" s="7">
        <v>0.5</v>
      </c>
    </row>
    <row r="618" spans="1:2" x14ac:dyDescent="0.3">
      <c r="A618" s="11" t="s">
        <v>617</v>
      </c>
      <c r="B618" s="7">
        <v>0.5</v>
      </c>
    </row>
    <row r="619" spans="1:2" x14ac:dyDescent="0.3">
      <c r="A619" s="11" t="s">
        <v>618</v>
      </c>
      <c r="B619" s="7">
        <v>0.5</v>
      </c>
    </row>
    <row r="620" spans="1:2" x14ac:dyDescent="0.3">
      <c r="A620" s="11" t="s">
        <v>619</v>
      </c>
      <c r="B620" s="7">
        <v>0.5</v>
      </c>
    </row>
    <row r="621" spans="1:2" x14ac:dyDescent="0.3">
      <c r="A621" s="11" t="s">
        <v>620</v>
      </c>
      <c r="B621" s="7">
        <v>0.5</v>
      </c>
    </row>
    <row r="622" spans="1:2" x14ac:dyDescent="0.3">
      <c r="A622" s="11" t="s">
        <v>621</v>
      </c>
      <c r="B622" s="7">
        <v>0.5</v>
      </c>
    </row>
    <row r="623" spans="1:2" x14ac:dyDescent="0.3">
      <c r="A623" s="1" t="s">
        <v>622</v>
      </c>
      <c r="B623" s="7">
        <v>0.3</v>
      </c>
    </row>
    <row r="624" spans="1:2" x14ac:dyDescent="0.3">
      <c r="A624" s="1" t="s">
        <v>623</v>
      </c>
      <c r="B624" s="7">
        <v>0.3</v>
      </c>
    </row>
    <row r="625" spans="1:2" x14ac:dyDescent="0.3">
      <c r="A625" s="11" t="s">
        <v>624</v>
      </c>
      <c r="B625" s="7">
        <v>0.3</v>
      </c>
    </row>
    <row r="626" spans="1:2" x14ac:dyDescent="0.3">
      <c r="A626" s="11" t="s">
        <v>625</v>
      </c>
      <c r="B626" s="7">
        <v>0.3</v>
      </c>
    </row>
    <row r="627" spans="1:2" x14ac:dyDescent="0.3">
      <c r="A627" s="11" t="s">
        <v>626</v>
      </c>
      <c r="B627" s="7">
        <v>0.3</v>
      </c>
    </row>
    <row r="628" spans="1:2" x14ac:dyDescent="0.3">
      <c r="A628" s="11" t="s">
        <v>627</v>
      </c>
      <c r="B628" s="7">
        <v>0.3</v>
      </c>
    </row>
    <row r="629" spans="1:2" x14ac:dyDescent="0.3">
      <c r="A629" s="11" t="s">
        <v>628</v>
      </c>
      <c r="B629" s="7">
        <v>0.3</v>
      </c>
    </row>
    <row r="630" spans="1:2" x14ac:dyDescent="0.3">
      <c r="A630" s="11" t="s">
        <v>629</v>
      </c>
      <c r="B630" s="7">
        <v>0.3</v>
      </c>
    </row>
    <row r="631" spans="1:2" x14ac:dyDescent="0.3">
      <c r="A631" s="11" t="s">
        <v>630</v>
      </c>
      <c r="B631" s="7">
        <v>0.3</v>
      </c>
    </row>
    <row r="632" spans="1:2" x14ac:dyDescent="0.3">
      <c r="A632" s="11" t="s">
        <v>631</v>
      </c>
      <c r="B632" s="7">
        <v>0.5</v>
      </c>
    </row>
    <row r="633" spans="1:2" x14ac:dyDescent="0.3">
      <c r="A633" s="11" t="s">
        <v>632</v>
      </c>
      <c r="B633" s="7">
        <v>0.5</v>
      </c>
    </row>
    <row r="634" spans="1:2" x14ac:dyDescent="0.3">
      <c r="A634" s="11" t="s">
        <v>633</v>
      </c>
      <c r="B634" s="7">
        <v>0.5</v>
      </c>
    </row>
    <row r="635" spans="1:2" x14ac:dyDescent="0.3">
      <c r="A635" s="11" t="s">
        <v>634</v>
      </c>
      <c r="B635" s="7">
        <v>0.2</v>
      </c>
    </row>
    <row r="636" spans="1:2" x14ac:dyDescent="0.3">
      <c r="A636" s="11" t="s">
        <v>635</v>
      </c>
      <c r="B636" s="7">
        <v>0.2</v>
      </c>
    </row>
    <row r="637" spans="1:2" x14ac:dyDescent="0.3">
      <c r="A637" s="11" t="s">
        <v>636</v>
      </c>
      <c r="B637" s="7">
        <v>0.2</v>
      </c>
    </row>
    <row r="638" spans="1:2" x14ac:dyDescent="0.3">
      <c r="A638" s="11" t="s">
        <v>637</v>
      </c>
      <c r="B638" s="7">
        <v>0.2</v>
      </c>
    </row>
    <row r="639" spans="1:2" x14ac:dyDescent="0.3">
      <c r="A639" s="11" t="s">
        <v>638</v>
      </c>
      <c r="B639" s="7">
        <v>0.5</v>
      </c>
    </row>
    <row r="640" spans="1:2" x14ac:dyDescent="0.3">
      <c r="A640" s="1" t="s">
        <v>639</v>
      </c>
      <c r="B640" s="7">
        <v>0.5</v>
      </c>
    </row>
    <row r="641" spans="1:2" x14ac:dyDescent="0.3">
      <c r="A641" s="1" t="s">
        <v>640</v>
      </c>
      <c r="B641" s="7">
        <v>0.5</v>
      </c>
    </row>
    <row r="642" spans="1:2" x14ac:dyDescent="0.3">
      <c r="A642" s="11" t="s">
        <v>641</v>
      </c>
      <c r="B642" s="7">
        <v>0.5</v>
      </c>
    </row>
    <row r="643" spans="1:2" x14ac:dyDescent="0.3">
      <c r="A643" s="11" t="s">
        <v>642</v>
      </c>
      <c r="B643" s="7">
        <v>0.5</v>
      </c>
    </row>
    <row r="644" spans="1:2" x14ac:dyDescent="0.3">
      <c r="A644" s="11" t="s">
        <v>643</v>
      </c>
      <c r="B644" s="7">
        <v>0.3</v>
      </c>
    </row>
    <row r="645" spans="1:2" x14ac:dyDescent="0.3">
      <c r="A645" s="1" t="s">
        <v>644</v>
      </c>
      <c r="B645" s="7">
        <v>1</v>
      </c>
    </row>
    <row r="646" spans="1:2" x14ac:dyDescent="0.3">
      <c r="A646" s="1" t="s">
        <v>645</v>
      </c>
      <c r="B646" s="7">
        <v>1</v>
      </c>
    </row>
    <row r="647" spans="1:2" x14ac:dyDescent="0.3">
      <c r="A647" s="11" t="s">
        <v>646</v>
      </c>
      <c r="B647" s="7">
        <v>1</v>
      </c>
    </row>
    <row r="648" spans="1:2" x14ac:dyDescent="0.3">
      <c r="A648" s="1" t="s">
        <v>647</v>
      </c>
      <c r="B648" s="7">
        <v>0.5</v>
      </c>
    </row>
    <row r="649" spans="1:2" x14ac:dyDescent="0.3">
      <c r="A649" s="1" t="s">
        <v>581</v>
      </c>
      <c r="B649" s="7">
        <v>1</v>
      </c>
    </row>
    <row r="650" spans="1:2" x14ac:dyDescent="0.3">
      <c r="A650" s="11" t="s">
        <v>582</v>
      </c>
      <c r="B650" s="7">
        <v>0.3</v>
      </c>
    </row>
    <row r="651" spans="1:2" x14ac:dyDescent="0.3">
      <c r="A651" s="11" t="s">
        <v>583</v>
      </c>
      <c r="B651" s="7">
        <v>0.5</v>
      </c>
    </row>
    <row r="652" spans="1:2" x14ac:dyDescent="0.3">
      <c r="A652" s="11" t="s">
        <v>584</v>
      </c>
      <c r="B652" s="7">
        <v>0.5</v>
      </c>
    </row>
    <row r="653" spans="1:2" x14ac:dyDescent="0.3">
      <c r="A653" s="11" t="s">
        <v>585</v>
      </c>
      <c r="B653" s="7">
        <v>1.5</v>
      </c>
    </row>
    <row r="654" spans="1:2" x14ac:dyDescent="0.3">
      <c r="A654" s="11" t="s">
        <v>586</v>
      </c>
      <c r="B654" s="7">
        <v>1.5</v>
      </c>
    </row>
    <row r="655" spans="1:2" x14ac:dyDescent="0.3">
      <c r="A655" s="11" t="s">
        <v>587</v>
      </c>
      <c r="B655" s="7">
        <v>1.5</v>
      </c>
    </row>
    <row r="656" spans="1:2" x14ac:dyDescent="0.3">
      <c r="A656" s="11" t="s">
        <v>588</v>
      </c>
      <c r="B656" s="7">
        <v>1.5</v>
      </c>
    </row>
    <row r="657" spans="1:2" x14ac:dyDescent="0.3">
      <c r="A657" s="11" t="s">
        <v>589</v>
      </c>
      <c r="B657" s="7">
        <v>1.5</v>
      </c>
    </row>
    <row r="658" spans="1:2" x14ac:dyDescent="0.3">
      <c r="A658" s="11" t="s">
        <v>590</v>
      </c>
      <c r="B658" s="7">
        <v>1.5</v>
      </c>
    </row>
    <row r="659" spans="1:2" x14ac:dyDescent="0.3">
      <c r="A659" s="1" t="s">
        <v>591</v>
      </c>
      <c r="B659" s="7">
        <v>0.5</v>
      </c>
    </row>
    <row r="660" spans="1:2" x14ac:dyDescent="0.3">
      <c r="A660" s="11" t="s">
        <v>592</v>
      </c>
      <c r="B660" s="7">
        <v>0.5</v>
      </c>
    </row>
    <row r="661" spans="1:2" x14ac:dyDescent="0.3">
      <c r="A661" s="11" t="s">
        <v>593</v>
      </c>
      <c r="B661" s="7">
        <v>1.5</v>
      </c>
    </row>
    <row r="662" spans="1:2" x14ac:dyDescent="0.3">
      <c r="A662" s="11" t="s">
        <v>594</v>
      </c>
      <c r="B662" s="7">
        <v>1.5</v>
      </c>
    </row>
    <row r="663" spans="1:2" x14ac:dyDescent="0.3">
      <c r="A663" s="11" t="s">
        <v>595</v>
      </c>
      <c r="B663" s="7">
        <v>1.5</v>
      </c>
    </row>
    <row r="664" spans="1:2" x14ac:dyDescent="0.3">
      <c r="A664" s="11" t="s">
        <v>596</v>
      </c>
      <c r="B664" s="7">
        <v>1.5</v>
      </c>
    </row>
    <row r="665" spans="1:2" x14ac:dyDescent="0.3">
      <c r="A665" s="11" t="s">
        <v>597</v>
      </c>
      <c r="B665" s="7">
        <v>1.5</v>
      </c>
    </row>
    <row r="666" spans="1:2" x14ac:dyDescent="0.3">
      <c r="A666" s="11" t="s">
        <v>598</v>
      </c>
      <c r="B666" s="7">
        <v>1.5</v>
      </c>
    </row>
    <row r="667" spans="1:2" x14ac:dyDescent="0.3">
      <c r="A667" s="11" t="s">
        <v>599</v>
      </c>
      <c r="B667" s="7">
        <v>1.5</v>
      </c>
    </row>
    <row r="668" spans="1:2" x14ac:dyDescent="0.3">
      <c r="A668" s="11" t="s">
        <v>600</v>
      </c>
      <c r="B668" s="7">
        <v>0.5</v>
      </c>
    </row>
    <row r="669" spans="1:2" x14ac:dyDescent="0.3">
      <c r="A669" s="11" t="s">
        <v>601</v>
      </c>
      <c r="B669" s="7">
        <v>1</v>
      </c>
    </row>
    <row r="670" spans="1:2" x14ac:dyDescent="0.3">
      <c r="A670" s="11" t="s">
        <v>602</v>
      </c>
      <c r="B670" s="7">
        <v>1</v>
      </c>
    </row>
    <row r="671" spans="1:2" x14ac:dyDescent="0.3">
      <c r="A671" s="11" t="s">
        <v>603</v>
      </c>
      <c r="B671" s="7">
        <v>0.3</v>
      </c>
    </row>
    <row r="672" spans="1:2" x14ac:dyDescent="0.3">
      <c r="A672" s="11" t="s">
        <v>604</v>
      </c>
      <c r="B672" s="7">
        <v>0.3</v>
      </c>
    </row>
    <row r="673" spans="1:2" x14ac:dyDescent="0.3">
      <c r="A673" s="11" t="s">
        <v>605</v>
      </c>
      <c r="B673" s="7">
        <v>0.2</v>
      </c>
    </row>
    <row r="674" spans="1:2" x14ac:dyDescent="0.3">
      <c r="A674" s="11" t="s">
        <v>606</v>
      </c>
      <c r="B674" s="7">
        <v>0.5</v>
      </c>
    </row>
    <row r="675" spans="1:2" x14ac:dyDescent="0.3">
      <c r="A675" s="11" t="s">
        <v>607</v>
      </c>
      <c r="B675" s="7">
        <v>0.5</v>
      </c>
    </row>
    <row r="676" spans="1:2" x14ac:dyDescent="0.3">
      <c r="A676" s="11" t="s">
        <v>608</v>
      </c>
      <c r="B676" s="7">
        <v>0.5</v>
      </c>
    </row>
    <row r="677" spans="1:2" x14ac:dyDescent="0.3">
      <c r="A677" s="11" t="s">
        <v>609</v>
      </c>
      <c r="B677" s="7">
        <v>0.5</v>
      </c>
    </row>
    <row r="678" spans="1:2" x14ac:dyDescent="0.3">
      <c r="A678" s="11" t="s">
        <v>610</v>
      </c>
      <c r="B678" s="7">
        <v>0.5</v>
      </c>
    </row>
    <row r="679" spans="1:2" x14ac:dyDescent="0.3">
      <c r="A679" s="11" t="s">
        <v>611</v>
      </c>
      <c r="B679" s="7">
        <v>0.5</v>
      </c>
    </row>
    <row r="680" spans="1:2" x14ac:dyDescent="0.3">
      <c r="A680" s="11" t="s">
        <v>612</v>
      </c>
      <c r="B680" s="7">
        <v>0.5</v>
      </c>
    </row>
    <row r="681" spans="1:2" x14ac:dyDescent="0.3">
      <c r="A681" s="11" t="s">
        <v>613</v>
      </c>
      <c r="B681" s="7">
        <v>0.2</v>
      </c>
    </row>
    <row r="682" spans="1:2" x14ac:dyDescent="0.3">
      <c r="A682" s="1" t="s">
        <v>614</v>
      </c>
      <c r="B682" s="7">
        <v>0.5</v>
      </c>
    </row>
    <row r="683" spans="1:2" x14ac:dyDescent="0.3">
      <c r="A683" s="11" t="s">
        <v>615</v>
      </c>
      <c r="B683" s="7">
        <v>0.5</v>
      </c>
    </row>
    <row r="684" spans="1:2" x14ac:dyDescent="0.3">
      <c r="A684" s="11" t="s">
        <v>616</v>
      </c>
      <c r="B684" s="7">
        <v>0.5</v>
      </c>
    </row>
    <row r="685" spans="1:2" x14ac:dyDescent="0.3">
      <c r="A685" s="11" t="s">
        <v>617</v>
      </c>
      <c r="B685" s="7">
        <v>0.5</v>
      </c>
    </row>
    <row r="686" spans="1:2" x14ac:dyDescent="0.3">
      <c r="A686" s="11" t="s">
        <v>618</v>
      </c>
      <c r="B686" s="7">
        <v>0.5</v>
      </c>
    </row>
    <row r="687" spans="1:2" x14ac:dyDescent="0.3">
      <c r="A687" s="11" t="s">
        <v>619</v>
      </c>
      <c r="B687" s="7">
        <v>0.5</v>
      </c>
    </row>
    <row r="688" spans="1:2" x14ac:dyDescent="0.3">
      <c r="A688" s="11" t="s">
        <v>620</v>
      </c>
      <c r="B688" s="7">
        <v>0.5</v>
      </c>
    </row>
    <row r="689" spans="1:2" x14ac:dyDescent="0.3">
      <c r="A689" s="11" t="s">
        <v>621</v>
      </c>
      <c r="B689" s="7">
        <v>0.5</v>
      </c>
    </row>
    <row r="690" spans="1:2" x14ac:dyDescent="0.3">
      <c r="A690" s="1" t="s">
        <v>622</v>
      </c>
      <c r="B690" s="7">
        <v>0.3</v>
      </c>
    </row>
    <row r="691" spans="1:2" x14ac:dyDescent="0.3">
      <c r="A691" s="1" t="s">
        <v>623</v>
      </c>
      <c r="B691" s="7">
        <v>0.3</v>
      </c>
    </row>
    <row r="692" spans="1:2" x14ac:dyDescent="0.3">
      <c r="A692" s="11" t="s">
        <v>624</v>
      </c>
      <c r="B692" s="7">
        <v>0.3</v>
      </c>
    </row>
    <row r="693" spans="1:2" x14ac:dyDescent="0.3">
      <c r="A693" s="11" t="s">
        <v>625</v>
      </c>
      <c r="B693" s="7">
        <v>0.3</v>
      </c>
    </row>
    <row r="694" spans="1:2" x14ac:dyDescent="0.3">
      <c r="A694" s="11" t="s">
        <v>626</v>
      </c>
      <c r="B694" s="7">
        <v>0.3</v>
      </c>
    </row>
    <row r="695" spans="1:2" x14ac:dyDescent="0.3">
      <c r="A695" s="11" t="s">
        <v>627</v>
      </c>
      <c r="B695" s="7">
        <v>0.3</v>
      </c>
    </row>
    <row r="696" spans="1:2" x14ac:dyDescent="0.3">
      <c r="A696" s="11" t="s">
        <v>628</v>
      </c>
      <c r="B696" s="7">
        <v>0.3</v>
      </c>
    </row>
    <row r="697" spans="1:2" x14ac:dyDescent="0.3">
      <c r="A697" s="11" t="s">
        <v>629</v>
      </c>
      <c r="B697" s="7">
        <v>0.3</v>
      </c>
    </row>
    <row r="698" spans="1:2" x14ac:dyDescent="0.3">
      <c r="A698" s="11" t="s">
        <v>630</v>
      </c>
      <c r="B698" s="7">
        <v>0.3</v>
      </c>
    </row>
    <row r="699" spans="1:2" x14ac:dyDescent="0.3">
      <c r="A699" s="11" t="s">
        <v>631</v>
      </c>
      <c r="B699" s="7">
        <v>0.5</v>
      </c>
    </row>
    <row r="700" spans="1:2" x14ac:dyDescent="0.3">
      <c r="A700" s="11" t="s">
        <v>632</v>
      </c>
      <c r="B700" s="7">
        <v>0.5</v>
      </c>
    </row>
    <row r="701" spans="1:2" x14ac:dyDescent="0.3">
      <c r="A701" s="11" t="s">
        <v>633</v>
      </c>
      <c r="B701" s="7">
        <v>0.5</v>
      </c>
    </row>
    <row r="702" spans="1:2" x14ac:dyDescent="0.3">
      <c r="A702" s="11" t="s">
        <v>634</v>
      </c>
      <c r="B702" s="7">
        <v>0.2</v>
      </c>
    </row>
    <row r="703" spans="1:2" x14ac:dyDescent="0.3">
      <c r="A703" s="11" t="s">
        <v>635</v>
      </c>
      <c r="B703" s="7">
        <v>0.2</v>
      </c>
    </row>
    <row r="704" spans="1:2" x14ac:dyDescent="0.3">
      <c r="A704" s="11" t="s">
        <v>636</v>
      </c>
      <c r="B704" s="7">
        <v>0.2</v>
      </c>
    </row>
    <row r="705" spans="1:2" x14ac:dyDescent="0.3">
      <c r="A705" s="11" t="s">
        <v>637</v>
      </c>
      <c r="B705" s="7">
        <v>0.2</v>
      </c>
    </row>
    <row r="706" spans="1:2" x14ac:dyDescent="0.3">
      <c r="A706" s="11" t="s">
        <v>638</v>
      </c>
      <c r="B706" s="7">
        <v>0.5</v>
      </c>
    </row>
    <row r="707" spans="1:2" x14ac:dyDescent="0.3">
      <c r="A707" s="1" t="s">
        <v>639</v>
      </c>
      <c r="B707" s="7">
        <v>0.5</v>
      </c>
    </row>
    <row r="708" spans="1:2" x14ac:dyDescent="0.3">
      <c r="A708" s="1" t="s">
        <v>640</v>
      </c>
      <c r="B708" s="7">
        <v>0.5</v>
      </c>
    </row>
    <row r="709" spans="1:2" x14ac:dyDescent="0.3">
      <c r="A709" s="11" t="s">
        <v>641</v>
      </c>
      <c r="B709" s="7">
        <v>0.5</v>
      </c>
    </row>
    <row r="710" spans="1:2" x14ac:dyDescent="0.3">
      <c r="A710" s="11" t="s">
        <v>642</v>
      </c>
      <c r="B710" s="7">
        <v>0.5</v>
      </c>
    </row>
    <row r="711" spans="1:2" x14ac:dyDescent="0.3">
      <c r="A711" s="11" t="s">
        <v>643</v>
      </c>
      <c r="B711" s="7">
        <v>0.3</v>
      </c>
    </row>
    <row r="712" spans="1:2" x14ac:dyDescent="0.3">
      <c r="A712" s="1" t="s">
        <v>644</v>
      </c>
      <c r="B712" s="7">
        <v>1</v>
      </c>
    </row>
    <row r="713" spans="1:2" x14ac:dyDescent="0.3">
      <c r="A713" s="1" t="s">
        <v>645</v>
      </c>
      <c r="B713" s="7">
        <v>1</v>
      </c>
    </row>
    <row r="714" spans="1:2" x14ac:dyDescent="0.3">
      <c r="A714" s="11" t="s">
        <v>646</v>
      </c>
      <c r="B714" s="7">
        <v>1</v>
      </c>
    </row>
    <row r="715" spans="1:2" x14ac:dyDescent="0.3">
      <c r="A715" s="1" t="s">
        <v>647</v>
      </c>
      <c r="B715" s="7">
        <v>0.5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CD57-F956-4A82-9F68-A06115423C1C}">
  <dimension ref="A1:A2419"/>
  <sheetViews>
    <sheetView workbookViewId="0">
      <selection sqref="A1:A1048576"/>
    </sheetView>
  </sheetViews>
  <sheetFormatPr defaultRowHeight="14" x14ac:dyDescent="0.3"/>
  <sheetData>
    <row r="1" spans="1:1" ht="75" x14ac:dyDescent="0.3">
      <c r="A1" s="19" t="s">
        <v>6436</v>
      </c>
    </row>
    <row r="2" spans="1:1" ht="60" x14ac:dyDescent="0.3">
      <c r="A2" s="28" t="s">
        <v>685</v>
      </c>
    </row>
    <row r="3" spans="1:1" ht="60" x14ac:dyDescent="0.3">
      <c r="A3" s="19" t="s">
        <v>689</v>
      </c>
    </row>
    <row r="4" spans="1:1" ht="75" x14ac:dyDescent="0.3">
      <c r="A4" s="28" t="s">
        <v>692</v>
      </c>
    </row>
    <row r="5" spans="1:1" ht="75" x14ac:dyDescent="0.3">
      <c r="A5" s="19" t="s">
        <v>694</v>
      </c>
    </row>
    <row r="6" spans="1:1" ht="135" x14ac:dyDescent="0.3">
      <c r="A6" s="28" t="s">
        <v>6437</v>
      </c>
    </row>
    <row r="7" spans="1:1" ht="135" x14ac:dyDescent="0.3">
      <c r="A7" s="19" t="s">
        <v>6438</v>
      </c>
    </row>
    <row r="8" spans="1:1" ht="135" x14ac:dyDescent="0.3">
      <c r="A8" s="19" t="s">
        <v>6439</v>
      </c>
    </row>
    <row r="9" spans="1:1" ht="135" x14ac:dyDescent="0.3">
      <c r="A9" s="19" t="s">
        <v>6440</v>
      </c>
    </row>
    <row r="10" spans="1:1" ht="90" x14ac:dyDescent="0.3">
      <c r="A10" s="19" t="s">
        <v>703</v>
      </c>
    </row>
    <row r="11" spans="1:1" ht="75" x14ac:dyDescent="0.3">
      <c r="A11" s="28" t="s">
        <v>713</v>
      </c>
    </row>
    <row r="12" spans="1:1" ht="90" x14ac:dyDescent="0.3">
      <c r="A12" s="19" t="s">
        <v>714</v>
      </c>
    </row>
    <row r="13" spans="1:1" ht="75" x14ac:dyDescent="0.3">
      <c r="A13" s="28" t="s">
        <v>718</v>
      </c>
    </row>
    <row r="14" spans="1:1" ht="90" x14ac:dyDescent="0.3">
      <c r="A14" s="28" t="s">
        <v>719</v>
      </c>
    </row>
    <row r="15" spans="1:1" ht="75" x14ac:dyDescent="0.3">
      <c r="A15" s="28" t="s">
        <v>723</v>
      </c>
    </row>
    <row r="16" spans="1:1" ht="90" x14ac:dyDescent="0.3">
      <c r="A16" s="28" t="s">
        <v>725</v>
      </c>
    </row>
    <row r="17" spans="1:1" ht="90" x14ac:dyDescent="0.3">
      <c r="A17" s="28" t="s">
        <v>737</v>
      </c>
    </row>
    <row r="18" spans="1:1" ht="90" x14ac:dyDescent="0.3">
      <c r="A18" s="28" t="s">
        <v>738</v>
      </c>
    </row>
    <row r="19" spans="1:1" ht="90" x14ac:dyDescent="0.3">
      <c r="A19" s="19" t="s">
        <v>739</v>
      </c>
    </row>
    <row r="20" spans="1:1" ht="90" x14ac:dyDescent="0.3">
      <c r="A20" s="28" t="s">
        <v>744</v>
      </c>
    </row>
    <row r="21" spans="1:1" ht="90" x14ac:dyDescent="0.3">
      <c r="A21" s="28" t="s">
        <v>745</v>
      </c>
    </row>
    <row r="22" spans="1:1" ht="90" x14ac:dyDescent="0.3">
      <c r="A22" s="28" t="s">
        <v>746</v>
      </c>
    </row>
    <row r="23" spans="1:1" ht="90" x14ac:dyDescent="0.3">
      <c r="A23" s="28" t="s">
        <v>752</v>
      </c>
    </row>
    <row r="24" spans="1:1" ht="90" x14ac:dyDescent="0.3">
      <c r="A24" s="28" t="s">
        <v>753</v>
      </c>
    </row>
    <row r="25" spans="1:1" ht="165" x14ac:dyDescent="0.3">
      <c r="A25" s="28" t="s">
        <v>754</v>
      </c>
    </row>
    <row r="26" spans="1:1" ht="165" x14ac:dyDescent="0.3">
      <c r="A26" s="19" t="s">
        <v>759</v>
      </c>
    </row>
    <row r="27" spans="1:1" ht="165" x14ac:dyDescent="0.3">
      <c r="A27" s="28" t="s">
        <v>760</v>
      </c>
    </row>
    <row r="28" spans="1:1" ht="165" x14ac:dyDescent="0.3">
      <c r="A28" s="28" t="s">
        <v>761</v>
      </c>
    </row>
    <row r="29" spans="1:1" ht="165" x14ac:dyDescent="0.3">
      <c r="A29" s="28" t="s">
        <v>763</v>
      </c>
    </row>
    <row r="30" spans="1:1" ht="165" x14ac:dyDescent="0.3">
      <c r="A30" s="28" t="s">
        <v>764</v>
      </c>
    </row>
    <row r="31" spans="1:1" ht="165" x14ac:dyDescent="0.3">
      <c r="A31" s="28" t="s">
        <v>765</v>
      </c>
    </row>
    <row r="32" spans="1:1" ht="165" x14ac:dyDescent="0.3">
      <c r="A32" s="28" t="s">
        <v>769</v>
      </c>
    </row>
    <row r="33" spans="1:1" ht="165" x14ac:dyDescent="0.3">
      <c r="A33" s="19" t="s">
        <v>770</v>
      </c>
    </row>
    <row r="34" spans="1:1" ht="75" x14ac:dyDescent="0.3">
      <c r="A34" s="28" t="s">
        <v>773</v>
      </c>
    </row>
    <row r="35" spans="1:1" ht="75" x14ac:dyDescent="0.3">
      <c r="A35" s="28" t="s">
        <v>783</v>
      </c>
    </row>
    <row r="36" spans="1:1" ht="75" x14ac:dyDescent="0.3">
      <c r="A36" s="28" t="s">
        <v>784</v>
      </c>
    </row>
    <row r="37" spans="1:1" ht="75" x14ac:dyDescent="0.3">
      <c r="A37" s="28" t="s">
        <v>788</v>
      </c>
    </row>
    <row r="38" spans="1:1" ht="75" x14ac:dyDescent="0.3">
      <c r="A38" s="28" t="s">
        <v>789</v>
      </c>
    </row>
    <row r="39" spans="1:1" ht="75" x14ac:dyDescent="0.3">
      <c r="A39" s="28" t="s">
        <v>794</v>
      </c>
    </row>
    <row r="40" spans="1:1" ht="105" x14ac:dyDescent="0.3">
      <c r="A40" s="28" t="s">
        <v>795</v>
      </c>
    </row>
    <row r="41" spans="1:1" ht="75" x14ac:dyDescent="0.3">
      <c r="A41" s="28" t="s">
        <v>796</v>
      </c>
    </row>
    <row r="42" spans="1:1" ht="75" x14ac:dyDescent="0.3">
      <c r="A42" s="28" t="s">
        <v>799</v>
      </c>
    </row>
    <row r="43" spans="1:1" ht="105" x14ac:dyDescent="0.3">
      <c r="A43" s="28" t="s">
        <v>800</v>
      </c>
    </row>
    <row r="44" spans="1:1" x14ac:dyDescent="0.3">
      <c r="A44" s="66" t="s">
        <v>802</v>
      </c>
    </row>
    <row r="45" spans="1:1" x14ac:dyDescent="0.3">
      <c r="A45" s="67"/>
    </row>
    <row r="46" spans="1:1" ht="45" x14ac:dyDescent="0.3">
      <c r="A46" s="19" t="s">
        <v>810</v>
      </c>
    </row>
    <row r="47" spans="1:1" ht="45" x14ac:dyDescent="0.3">
      <c r="A47" s="19" t="s">
        <v>811</v>
      </c>
    </row>
    <row r="48" spans="1:1" x14ac:dyDescent="0.3">
      <c r="A48" s="66" t="s">
        <v>813</v>
      </c>
    </row>
    <row r="49" spans="1:1" x14ac:dyDescent="0.3">
      <c r="A49" s="74"/>
    </row>
    <row r="50" spans="1:1" x14ac:dyDescent="0.3">
      <c r="A50" s="67"/>
    </row>
    <row r="51" spans="1:1" ht="75" x14ac:dyDescent="0.3">
      <c r="A51" s="19" t="s">
        <v>819</v>
      </c>
    </row>
    <row r="52" spans="1:1" ht="75" x14ac:dyDescent="0.3">
      <c r="A52" s="19" t="s">
        <v>822</v>
      </c>
    </row>
    <row r="53" spans="1:1" x14ac:dyDescent="0.3">
      <c r="A53" s="66" t="s">
        <v>824</v>
      </c>
    </row>
    <row r="54" spans="1:1" x14ac:dyDescent="0.3">
      <c r="A54" s="67"/>
    </row>
    <row r="55" spans="1:1" ht="45" x14ac:dyDescent="0.3">
      <c r="A55" s="19" t="s">
        <v>832</v>
      </c>
    </row>
    <row r="56" spans="1:1" ht="45" x14ac:dyDescent="0.3">
      <c r="A56" s="19" t="s">
        <v>833</v>
      </c>
    </row>
    <row r="57" spans="1:1" ht="45" x14ac:dyDescent="0.3">
      <c r="A57" s="19" t="s">
        <v>834</v>
      </c>
    </row>
    <row r="58" spans="1:1" ht="45" x14ac:dyDescent="0.3">
      <c r="A58" s="19" t="s">
        <v>835</v>
      </c>
    </row>
    <row r="59" spans="1:1" ht="60" x14ac:dyDescent="0.3">
      <c r="A59" s="19" t="s">
        <v>837</v>
      </c>
    </row>
    <row r="60" spans="1:1" ht="60" x14ac:dyDescent="0.3">
      <c r="A60" s="19" t="s">
        <v>852</v>
      </c>
    </row>
    <row r="61" spans="1:1" ht="60" x14ac:dyDescent="0.3">
      <c r="A61" s="19" t="s">
        <v>853</v>
      </c>
    </row>
    <row r="62" spans="1:1" ht="60" x14ac:dyDescent="0.3">
      <c r="A62" s="19" t="s">
        <v>856</v>
      </c>
    </row>
    <row r="63" spans="1:1" ht="60" x14ac:dyDescent="0.3">
      <c r="A63" s="28" t="s">
        <v>858</v>
      </c>
    </row>
    <row r="64" spans="1:1" ht="60" x14ac:dyDescent="0.3">
      <c r="A64" s="28" t="s">
        <v>869</v>
      </c>
    </row>
    <row r="65" spans="1:1" ht="60" x14ac:dyDescent="0.3">
      <c r="A65" s="28" t="s">
        <v>870</v>
      </c>
    </row>
    <row r="66" spans="1:1" ht="60" x14ac:dyDescent="0.3">
      <c r="A66" s="28" t="s">
        <v>874</v>
      </c>
    </row>
    <row r="67" spans="1:1" ht="90" x14ac:dyDescent="0.3">
      <c r="A67" s="28" t="s">
        <v>875</v>
      </c>
    </row>
    <row r="68" spans="1:1" ht="90" x14ac:dyDescent="0.3">
      <c r="A68" s="28" t="s">
        <v>877</v>
      </c>
    </row>
    <row r="69" spans="1:1" ht="105" x14ac:dyDescent="0.3">
      <c r="A69" s="28" t="s">
        <v>880</v>
      </c>
    </row>
    <row r="70" spans="1:1" ht="105" x14ac:dyDescent="0.3">
      <c r="A70" s="28" t="s">
        <v>884</v>
      </c>
    </row>
    <row r="71" spans="1:1" ht="105" x14ac:dyDescent="0.3">
      <c r="A71" s="28" t="s">
        <v>885</v>
      </c>
    </row>
    <row r="72" spans="1:1" ht="105" x14ac:dyDescent="0.3">
      <c r="A72" s="28" t="s">
        <v>886</v>
      </c>
    </row>
    <row r="73" spans="1:1" ht="90" x14ac:dyDescent="0.3">
      <c r="A73" s="28" t="s">
        <v>887</v>
      </c>
    </row>
    <row r="74" spans="1:1" ht="90" x14ac:dyDescent="0.3">
      <c r="A74" s="28" t="s">
        <v>890</v>
      </c>
    </row>
    <row r="75" spans="1:1" ht="105" x14ac:dyDescent="0.3">
      <c r="A75" s="28" t="s">
        <v>892</v>
      </c>
    </row>
    <row r="76" spans="1:1" ht="105" x14ac:dyDescent="0.3">
      <c r="A76" s="28" t="s">
        <v>895</v>
      </c>
    </row>
    <row r="77" spans="1:1" ht="105" x14ac:dyDescent="0.3">
      <c r="A77" s="28" t="s">
        <v>896</v>
      </c>
    </row>
    <row r="78" spans="1:1" ht="105" x14ac:dyDescent="0.3">
      <c r="A78" s="28" t="s">
        <v>897</v>
      </c>
    </row>
    <row r="79" spans="1:1" x14ac:dyDescent="0.3">
      <c r="A79" s="66" t="s">
        <v>899</v>
      </c>
    </row>
    <row r="80" spans="1:1" x14ac:dyDescent="0.3">
      <c r="A80" s="67"/>
    </row>
    <row r="81" spans="1:1" ht="60" x14ac:dyDescent="0.3">
      <c r="A81" s="19" t="s">
        <v>910</v>
      </c>
    </row>
    <row r="82" spans="1:1" ht="60" x14ac:dyDescent="0.3">
      <c r="A82" s="19" t="s">
        <v>914</v>
      </c>
    </row>
    <row r="83" spans="1:1" ht="75" x14ac:dyDescent="0.3">
      <c r="A83" s="19" t="s">
        <v>918</v>
      </c>
    </row>
    <row r="84" spans="1:1" ht="75" x14ac:dyDescent="0.3">
      <c r="A84" s="19" t="s">
        <v>925</v>
      </c>
    </row>
    <row r="85" spans="1:1" ht="75" x14ac:dyDescent="0.3">
      <c r="A85" s="19" t="s">
        <v>928</v>
      </c>
    </row>
    <row r="86" spans="1:1" ht="75" x14ac:dyDescent="0.3">
      <c r="A86" s="19" t="s">
        <v>932</v>
      </c>
    </row>
    <row r="87" spans="1:1" ht="75" x14ac:dyDescent="0.3">
      <c r="A87" s="19" t="s">
        <v>936</v>
      </c>
    </row>
    <row r="88" spans="1:1" ht="75" x14ac:dyDescent="0.3">
      <c r="A88" s="19" t="s">
        <v>938</v>
      </c>
    </row>
    <row r="89" spans="1:1" ht="75" x14ac:dyDescent="0.3">
      <c r="A89" s="19" t="s">
        <v>941</v>
      </c>
    </row>
    <row r="90" spans="1:1" ht="75" x14ac:dyDescent="0.3">
      <c r="A90" s="19" t="s">
        <v>945</v>
      </c>
    </row>
    <row r="91" spans="1:1" ht="75" x14ac:dyDescent="0.3">
      <c r="A91" s="19" t="s">
        <v>948</v>
      </c>
    </row>
    <row r="92" spans="1:1" x14ac:dyDescent="0.3">
      <c r="A92" s="66" t="s">
        <v>950</v>
      </c>
    </row>
    <row r="93" spans="1:1" x14ac:dyDescent="0.3">
      <c r="A93" s="74"/>
    </row>
    <row r="94" spans="1:1" x14ac:dyDescent="0.3">
      <c r="A94" s="67"/>
    </row>
    <row r="95" spans="1:1" ht="75" x14ac:dyDescent="0.3">
      <c r="A95" s="19" t="s">
        <v>959</v>
      </c>
    </row>
    <row r="96" spans="1:1" ht="75" x14ac:dyDescent="0.3">
      <c r="A96" s="19" t="s">
        <v>962</v>
      </c>
    </row>
    <row r="97" spans="1:1" ht="45" x14ac:dyDescent="0.3">
      <c r="A97" s="19" t="s">
        <v>966</v>
      </c>
    </row>
    <row r="98" spans="1:1" ht="45" x14ac:dyDescent="0.3">
      <c r="A98" s="19" t="s">
        <v>970</v>
      </c>
    </row>
    <row r="99" spans="1:1" ht="45" x14ac:dyDescent="0.3">
      <c r="A99" s="19" t="s">
        <v>971</v>
      </c>
    </row>
    <row r="100" spans="1:1" x14ac:dyDescent="0.3">
      <c r="A100" s="66" t="s">
        <v>973</v>
      </c>
    </row>
    <row r="101" spans="1:1" x14ac:dyDescent="0.3">
      <c r="A101" s="67"/>
    </row>
    <row r="102" spans="1:1" ht="75" x14ac:dyDescent="0.3">
      <c r="A102" s="19" t="s">
        <v>987</v>
      </c>
    </row>
    <row r="103" spans="1:1" ht="75" x14ac:dyDescent="0.3">
      <c r="A103" s="19" t="s">
        <v>988</v>
      </c>
    </row>
    <row r="104" spans="1:1" ht="75" x14ac:dyDescent="0.3">
      <c r="A104" s="19" t="s">
        <v>991</v>
      </c>
    </row>
    <row r="105" spans="1:1" ht="90" x14ac:dyDescent="0.3">
      <c r="A105" s="28" t="s">
        <v>994</v>
      </c>
    </row>
    <row r="106" spans="1:1" ht="75" x14ac:dyDescent="0.3">
      <c r="A106" s="28" t="s">
        <v>1002</v>
      </c>
    </row>
    <row r="107" spans="1:1" ht="75" x14ac:dyDescent="0.3">
      <c r="A107" s="28" t="s">
        <v>1003</v>
      </c>
    </row>
    <row r="108" spans="1:1" ht="75" x14ac:dyDescent="0.3">
      <c r="A108" s="28" t="s">
        <v>1004</v>
      </c>
    </row>
    <row r="109" spans="1:1" ht="90" x14ac:dyDescent="0.3">
      <c r="A109" s="28" t="s">
        <v>1005</v>
      </c>
    </row>
    <row r="110" spans="1:1" ht="75" x14ac:dyDescent="0.3">
      <c r="A110" s="28" t="s">
        <v>1010</v>
      </c>
    </row>
    <row r="111" spans="1:1" ht="75" x14ac:dyDescent="0.3">
      <c r="A111" s="28" t="s">
        <v>1011</v>
      </c>
    </row>
    <row r="112" spans="1:1" ht="75" x14ac:dyDescent="0.3">
      <c r="A112" s="28" t="s">
        <v>1012</v>
      </c>
    </row>
    <row r="113" spans="1:1" ht="90" x14ac:dyDescent="0.3">
      <c r="A113" s="28" t="s">
        <v>1013</v>
      </c>
    </row>
    <row r="114" spans="1:1" ht="75" x14ac:dyDescent="0.3">
      <c r="A114" s="28" t="s">
        <v>1017</v>
      </c>
    </row>
    <row r="115" spans="1:1" ht="75" x14ac:dyDescent="0.3">
      <c r="A115" s="28" t="s">
        <v>1018</v>
      </c>
    </row>
    <row r="116" spans="1:1" ht="75" x14ac:dyDescent="0.3">
      <c r="A116" s="28" t="s">
        <v>1019</v>
      </c>
    </row>
    <row r="117" spans="1:1" ht="75" x14ac:dyDescent="0.3">
      <c r="A117" s="28" t="s">
        <v>1021</v>
      </c>
    </row>
    <row r="118" spans="1:1" ht="75" x14ac:dyDescent="0.3">
      <c r="A118" s="28" t="s">
        <v>1028</v>
      </c>
    </row>
    <row r="119" spans="1:1" ht="75" x14ac:dyDescent="0.3">
      <c r="A119" s="28" t="s">
        <v>1029</v>
      </c>
    </row>
    <row r="120" spans="1:1" ht="75" x14ac:dyDescent="0.3">
      <c r="A120" s="28" t="s">
        <v>1031</v>
      </c>
    </row>
    <row r="121" spans="1:1" ht="75" x14ac:dyDescent="0.3">
      <c r="A121" s="28" t="s">
        <v>1034</v>
      </c>
    </row>
    <row r="122" spans="1:1" ht="75" x14ac:dyDescent="0.3">
      <c r="A122" s="28" t="s">
        <v>1035</v>
      </c>
    </row>
    <row r="123" spans="1:1" ht="75" x14ac:dyDescent="0.3">
      <c r="A123" s="28" t="s">
        <v>1036</v>
      </c>
    </row>
    <row r="124" spans="1:1" ht="75" x14ac:dyDescent="0.3">
      <c r="A124" s="28" t="s">
        <v>1039</v>
      </c>
    </row>
    <row r="125" spans="1:1" ht="75" x14ac:dyDescent="0.3">
      <c r="A125" s="28" t="s">
        <v>1040</v>
      </c>
    </row>
    <row r="126" spans="1:1" ht="105" x14ac:dyDescent="0.3">
      <c r="A126" s="28" t="s">
        <v>1042</v>
      </c>
    </row>
    <row r="127" spans="1:1" ht="105" x14ac:dyDescent="0.3">
      <c r="A127" s="28" t="s">
        <v>1055</v>
      </c>
    </row>
    <row r="128" spans="1:1" ht="105" x14ac:dyDescent="0.3">
      <c r="A128" s="28" t="s">
        <v>1058</v>
      </c>
    </row>
    <row r="129" spans="1:1" ht="105" x14ac:dyDescent="0.3">
      <c r="A129" s="28" t="s">
        <v>1064</v>
      </c>
    </row>
    <row r="130" spans="1:1" ht="105" x14ac:dyDescent="0.3">
      <c r="A130" s="28" t="s">
        <v>1067</v>
      </c>
    </row>
    <row r="131" spans="1:1" ht="105" x14ac:dyDescent="0.3">
      <c r="A131" s="28" t="s">
        <v>1073</v>
      </c>
    </row>
    <row r="132" spans="1:1" ht="105" x14ac:dyDescent="0.3">
      <c r="A132" s="28" t="s">
        <v>1076</v>
      </c>
    </row>
    <row r="133" spans="1:1" ht="105" x14ac:dyDescent="0.3">
      <c r="A133" s="28" t="s">
        <v>1082</v>
      </c>
    </row>
    <row r="134" spans="1:1" ht="105" x14ac:dyDescent="0.3">
      <c r="A134" s="28" t="s">
        <v>1085</v>
      </c>
    </row>
    <row r="135" spans="1:1" ht="105" x14ac:dyDescent="0.3">
      <c r="A135" s="28" t="s">
        <v>1091</v>
      </c>
    </row>
    <row r="136" spans="1:1" ht="105" x14ac:dyDescent="0.3">
      <c r="A136" s="28" t="s">
        <v>1094</v>
      </c>
    </row>
    <row r="137" spans="1:1" ht="105" x14ac:dyDescent="0.3">
      <c r="A137" s="28" t="s">
        <v>1099</v>
      </c>
    </row>
    <row r="138" spans="1:1" x14ac:dyDescent="0.3">
      <c r="A138" s="66" t="s">
        <v>1103</v>
      </c>
    </row>
    <row r="139" spans="1:1" x14ac:dyDescent="0.3">
      <c r="A139" s="67"/>
    </row>
    <row r="140" spans="1:1" ht="90" x14ac:dyDescent="0.3">
      <c r="A140" s="19" t="s">
        <v>1112</v>
      </c>
    </row>
    <row r="141" spans="1:1" ht="90" x14ac:dyDescent="0.3">
      <c r="A141" s="19" t="s">
        <v>1115</v>
      </c>
    </row>
    <row r="142" spans="1:1" ht="90" x14ac:dyDescent="0.3">
      <c r="A142" s="19" t="s">
        <v>1118</v>
      </c>
    </row>
    <row r="143" spans="1:1" ht="90" x14ac:dyDescent="0.3">
      <c r="A143" s="28" t="s">
        <v>1122</v>
      </c>
    </row>
    <row r="144" spans="1:1" ht="90" x14ac:dyDescent="0.3">
      <c r="A144" s="28" t="s">
        <v>1136</v>
      </c>
    </row>
    <row r="145" spans="1:1" ht="105" x14ac:dyDescent="0.3">
      <c r="A145" s="28" t="s">
        <v>1139</v>
      </c>
    </row>
    <row r="146" spans="1:1" ht="90" x14ac:dyDescent="0.3">
      <c r="A146" s="28" t="s">
        <v>1143</v>
      </c>
    </row>
    <row r="147" spans="1:1" ht="90" x14ac:dyDescent="0.3">
      <c r="A147" s="19" t="s">
        <v>1148</v>
      </c>
    </row>
    <row r="148" spans="1:1" ht="105" x14ac:dyDescent="0.3">
      <c r="A148" s="28" t="s">
        <v>1151</v>
      </c>
    </row>
    <row r="149" spans="1:1" ht="60" x14ac:dyDescent="0.3">
      <c r="A149" s="28" t="s">
        <v>1156</v>
      </c>
    </row>
    <row r="150" spans="1:1" ht="60" x14ac:dyDescent="0.3">
      <c r="A150" s="28" t="s">
        <v>1164</v>
      </c>
    </row>
    <row r="151" spans="1:1" ht="60" x14ac:dyDescent="0.3">
      <c r="A151" s="28" t="s">
        <v>1167</v>
      </c>
    </row>
    <row r="152" spans="1:1" ht="90" x14ac:dyDescent="0.3">
      <c r="A152" s="19" t="s">
        <v>1170</v>
      </c>
    </row>
    <row r="153" spans="1:1" ht="90" x14ac:dyDescent="0.3">
      <c r="A153" s="28" t="s">
        <v>1172</v>
      </c>
    </row>
    <row r="154" spans="1:1" ht="90" x14ac:dyDescent="0.3">
      <c r="A154" s="28" t="s">
        <v>1175</v>
      </c>
    </row>
    <row r="155" spans="1:1" x14ac:dyDescent="0.3">
      <c r="A155" s="66" t="s">
        <v>1178</v>
      </c>
    </row>
    <row r="156" spans="1:1" x14ac:dyDescent="0.3">
      <c r="A156" s="74"/>
    </row>
    <row r="157" spans="1:1" x14ac:dyDescent="0.3">
      <c r="A157" s="67"/>
    </row>
    <row r="158" spans="1:1" ht="45" x14ac:dyDescent="0.3">
      <c r="A158" s="19" t="s">
        <v>1186</v>
      </c>
    </row>
    <row r="159" spans="1:1" ht="45" x14ac:dyDescent="0.3">
      <c r="A159" s="19" t="s">
        <v>1187</v>
      </c>
    </row>
    <row r="160" spans="1:1" x14ac:dyDescent="0.3">
      <c r="A160" s="66" t="s">
        <v>1189</v>
      </c>
    </row>
    <row r="161" spans="1:1" x14ac:dyDescent="0.3">
      <c r="A161" s="74"/>
    </row>
    <row r="162" spans="1:1" x14ac:dyDescent="0.3">
      <c r="A162" s="74"/>
    </row>
    <row r="163" spans="1:1" x14ac:dyDescent="0.3">
      <c r="A163" s="74"/>
    </row>
    <row r="164" spans="1:1" x14ac:dyDescent="0.3">
      <c r="A164" s="67"/>
    </row>
    <row r="165" spans="1:1" ht="45" x14ac:dyDescent="0.3">
      <c r="A165" s="19" t="s">
        <v>1201</v>
      </c>
    </row>
    <row r="166" spans="1:1" x14ac:dyDescent="0.3">
      <c r="A166" s="66" t="s">
        <v>1203</v>
      </c>
    </row>
    <row r="167" spans="1:1" x14ac:dyDescent="0.3">
      <c r="A167" s="74"/>
    </row>
    <row r="168" spans="1:1" x14ac:dyDescent="0.3">
      <c r="A168" s="67"/>
    </row>
    <row r="169" spans="1:1" ht="45" x14ac:dyDescent="0.3">
      <c r="A169" s="19" t="s">
        <v>1211</v>
      </c>
    </row>
    <row r="170" spans="1:1" ht="45" x14ac:dyDescent="0.3">
      <c r="A170" s="19" t="s">
        <v>1215</v>
      </c>
    </row>
    <row r="171" spans="1:1" ht="60" x14ac:dyDescent="0.3">
      <c r="A171" s="28" t="s">
        <v>1219</v>
      </c>
    </row>
    <row r="172" spans="1:1" ht="60" x14ac:dyDescent="0.3">
      <c r="A172" s="28" t="s">
        <v>1226</v>
      </c>
    </row>
    <row r="173" spans="1:1" ht="60" x14ac:dyDescent="0.3">
      <c r="A173" s="28" t="s">
        <v>1227</v>
      </c>
    </row>
    <row r="174" spans="1:1" ht="60" x14ac:dyDescent="0.3">
      <c r="A174" s="28" t="s">
        <v>1228</v>
      </c>
    </row>
    <row r="175" spans="1:1" ht="15.5" x14ac:dyDescent="0.35">
      <c r="A175" s="39"/>
    </row>
    <row r="176" spans="1:1" ht="60" x14ac:dyDescent="0.3">
      <c r="A176" s="28" t="s">
        <v>1231</v>
      </c>
    </row>
    <row r="177" spans="1:1" ht="60" x14ac:dyDescent="0.3">
      <c r="A177" s="28" t="s">
        <v>1237</v>
      </c>
    </row>
    <row r="178" spans="1:1" ht="60" x14ac:dyDescent="0.3">
      <c r="A178" s="28" t="s">
        <v>1238</v>
      </c>
    </row>
    <row r="179" spans="1:1" ht="60" x14ac:dyDescent="0.3">
      <c r="A179" s="28" t="s">
        <v>1239</v>
      </c>
    </row>
    <row r="180" spans="1:1" x14ac:dyDescent="0.3">
      <c r="A180" s="66" t="s">
        <v>1241</v>
      </c>
    </row>
    <row r="181" spans="1:1" x14ac:dyDescent="0.3">
      <c r="A181" s="67"/>
    </row>
    <row r="182" spans="1:1" ht="75" x14ac:dyDescent="0.3">
      <c r="A182" s="19" t="s">
        <v>1252</v>
      </c>
    </row>
    <row r="183" spans="1:1" ht="75" x14ac:dyDescent="0.3">
      <c r="A183" s="19" t="s">
        <v>1253</v>
      </c>
    </row>
    <row r="184" spans="1:1" ht="75" x14ac:dyDescent="0.3">
      <c r="A184" s="19" t="s">
        <v>1254</v>
      </c>
    </row>
    <row r="185" spans="1:1" ht="90" x14ac:dyDescent="0.3">
      <c r="A185" s="19" t="s">
        <v>1256</v>
      </c>
    </row>
    <row r="186" spans="1:1" ht="90" x14ac:dyDescent="0.3">
      <c r="A186" s="19" t="s">
        <v>1270</v>
      </c>
    </row>
    <row r="187" spans="1:1" ht="90" x14ac:dyDescent="0.3">
      <c r="A187" s="19" t="s">
        <v>1271</v>
      </c>
    </row>
    <row r="188" spans="1:1" ht="90" x14ac:dyDescent="0.3">
      <c r="A188" s="19" t="s">
        <v>1274</v>
      </c>
    </row>
    <row r="189" spans="1:1" ht="105" x14ac:dyDescent="0.3">
      <c r="A189" s="42" t="s">
        <v>1275</v>
      </c>
    </row>
    <row r="190" spans="1:1" ht="90" x14ac:dyDescent="0.3">
      <c r="A190" s="42" t="s">
        <v>1278</v>
      </c>
    </row>
    <row r="191" spans="1:1" ht="105" x14ac:dyDescent="0.3">
      <c r="A191" s="28" t="s">
        <v>1280</v>
      </c>
    </row>
    <row r="192" spans="1:1" ht="105" x14ac:dyDescent="0.3">
      <c r="A192" s="28" t="s">
        <v>1286</v>
      </c>
    </row>
    <row r="193" spans="1:1" ht="90" x14ac:dyDescent="0.3">
      <c r="A193" s="28" t="s">
        <v>1287</v>
      </c>
    </row>
    <row r="194" spans="1:1" ht="90" x14ac:dyDescent="0.3">
      <c r="A194" s="28" t="s">
        <v>1290</v>
      </c>
    </row>
    <row r="195" spans="1:1" ht="90" x14ac:dyDescent="0.3">
      <c r="A195" s="28" t="s">
        <v>1291</v>
      </c>
    </row>
    <row r="196" spans="1:1" ht="90" x14ac:dyDescent="0.3">
      <c r="A196" s="28" t="s">
        <v>1292</v>
      </c>
    </row>
    <row r="197" spans="1:1" ht="90" x14ac:dyDescent="0.3">
      <c r="A197" s="28" t="s">
        <v>1295</v>
      </c>
    </row>
    <row r="198" spans="1:1" ht="90" x14ac:dyDescent="0.3">
      <c r="A198" s="28" t="s">
        <v>1296</v>
      </c>
    </row>
    <row r="199" spans="1:1" ht="90" x14ac:dyDescent="0.3">
      <c r="A199" s="28" t="s">
        <v>1299</v>
      </c>
    </row>
    <row r="200" spans="1:1" ht="90" x14ac:dyDescent="0.3">
      <c r="A200" s="28" t="s">
        <v>1300</v>
      </c>
    </row>
    <row r="201" spans="1:1" ht="90" x14ac:dyDescent="0.3">
      <c r="A201" s="28" t="s">
        <v>1301</v>
      </c>
    </row>
    <row r="202" spans="1:1" ht="90" x14ac:dyDescent="0.3">
      <c r="A202" s="28" t="s">
        <v>1304</v>
      </c>
    </row>
    <row r="203" spans="1:1" ht="90" x14ac:dyDescent="0.3">
      <c r="A203" s="28" t="s">
        <v>1305</v>
      </c>
    </row>
    <row r="204" spans="1:1" ht="90" x14ac:dyDescent="0.3">
      <c r="A204" s="28" t="s">
        <v>1307</v>
      </c>
    </row>
    <row r="205" spans="1:1" ht="90" x14ac:dyDescent="0.3">
      <c r="A205" s="28" t="s">
        <v>1308</v>
      </c>
    </row>
    <row r="206" spans="1:1" ht="90" x14ac:dyDescent="0.3">
      <c r="A206" s="28" t="s">
        <v>1309</v>
      </c>
    </row>
    <row r="207" spans="1:1" ht="90" x14ac:dyDescent="0.3">
      <c r="A207" s="28" t="s">
        <v>1312</v>
      </c>
    </row>
    <row r="208" spans="1:1" ht="105" x14ac:dyDescent="0.3">
      <c r="A208" s="19" t="s">
        <v>1314</v>
      </c>
    </row>
    <row r="209" spans="1:1" ht="105" x14ac:dyDescent="0.3">
      <c r="A209" s="28" t="s">
        <v>1326</v>
      </c>
    </row>
    <row r="210" spans="1:1" ht="105" x14ac:dyDescent="0.3">
      <c r="A210" s="28" t="s">
        <v>1329</v>
      </c>
    </row>
    <row r="211" spans="1:1" ht="105" x14ac:dyDescent="0.3">
      <c r="A211" s="28" t="s">
        <v>1332</v>
      </c>
    </row>
    <row r="212" spans="1:1" ht="105" x14ac:dyDescent="0.3">
      <c r="A212" s="28" t="s">
        <v>1339</v>
      </c>
    </row>
    <row r="213" spans="1:1" ht="105" x14ac:dyDescent="0.3">
      <c r="A213" s="28" t="s">
        <v>1343</v>
      </c>
    </row>
    <row r="214" spans="1:1" x14ac:dyDescent="0.3">
      <c r="A214" s="61" t="s">
        <v>1348</v>
      </c>
    </row>
    <row r="215" spans="1:1" x14ac:dyDescent="0.3">
      <c r="A215" s="82"/>
    </row>
    <row r="216" spans="1:1" x14ac:dyDescent="0.3">
      <c r="A216" s="62"/>
    </row>
    <row r="217" spans="1:1" x14ac:dyDescent="0.3">
      <c r="A217" s="61" t="s">
        <v>1359</v>
      </c>
    </row>
    <row r="218" spans="1:1" x14ac:dyDescent="0.3">
      <c r="A218" s="82"/>
    </row>
    <row r="219" spans="1:1" x14ac:dyDescent="0.3">
      <c r="A219" s="62"/>
    </row>
    <row r="220" spans="1:1" x14ac:dyDescent="0.3">
      <c r="A220" s="61" t="s">
        <v>1360</v>
      </c>
    </row>
    <row r="221" spans="1:1" x14ac:dyDescent="0.3">
      <c r="A221" s="82"/>
    </row>
    <row r="222" spans="1:1" x14ac:dyDescent="0.3">
      <c r="A222" s="62"/>
    </row>
    <row r="223" spans="1:1" x14ac:dyDescent="0.3">
      <c r="A223" s="61" t="s">
        <v>1365</v>
      </c>
    </row>
    <row r="224" spans="1:1" x14ac:dyDescent="0.3">
      <c r="A224" s="82"/>
    </row>
    <row r="225" spans="1:1" x14ac:dyDescent="0.3">
      <c r="A225" s="62"/>
    </row>
    <row r="226" spans="1:1" x14ac:dyDescent="0.3">
      <c r="A226" s="66" t="s">
        <v>1367</v>
      </c>
    </row>
    <row r="227" spans="1:1" x14ac:dyDescent="0.3">
      <c r="A227" s="67"/>
    </row>
    <row r="228" spans="1:1" ht="75" x14ac:dyDescent="0.3">
      <c r="A228" s="19" t="s">
        <v>1375</v>
      </c>
    </row>
    <row r="229" spans="1:1" ht="75" x14ac:dyDescent="0.3">
      <c r="A229" s="19" t="s">
        <v>1378</v>
      </c>
    </row>
    <row r="230" spans="1:1" ht="75" x14ac:dyDescent="0.3">
      <c r="A230" s="19" t="s">
        <v>1381</v>
      </c>
    </row>
    <row r="231" spans="1:1" x14ac:dyDescent="0.3">
      <c r="A231" s="66" t="s">
        <v>1384</v>
      </c>
    </row>
    <row r="232" spans="1:1" x14ac:dyDescent="0.3">
      <c r="A232" s="67"/>
    </row>
    <row r="233" spans="1:1" ht="75" x14ac:dyDescent="0.3">
      <c r="A233" s="19" t="s">
        <v>1388</v>
      </c>
    </row>
    <row r="234" spans="1:1" ht="75" x14ac:dyDescent="0.3">
      <c r="A234" s="19" t="s">
        <v>1389</v>
      </c>
    </row>
    <row r="235" spans="1:1" ht="75" x14ac:dyDescent="0.3">
      <c r="A235" s="19" t="s">
        <v>1390</v>
      </c>
    </row>
    <row r="236" spans="1:1" ht="90" x14ac:dyDescent="0.3">
      <c r="A236" s="19" t="s">
        <v>1392</v>
      </c>
    </row>
    <row r="237" spans="1:1" ht="90" x14ac:dyDescent="0.3">
      <c r="A237" s="19" t="s">
        <v>1409</v>
      </c>
    </row>
    <row r="238" spans="1:1" ht="90" x14ac:dyDescent="0.3">
      <c r="A238" s="19" t="s">
        <v>1410</v>
      </c>
    </row>
    <row r="239" spans="1:1" ht="90" x14ac:dyDescent="0.3">
      <c r="A239" s="19" t="s">
        <v>1411</v>
      </c>
    </row>
    <row r="240" spans="1:1" ht="60" x14ac:dyDescent="0.3">
      <c r="A240" s="19" t="s">
        <v>1413</v>
      </c>
    </row>
    <row r="241" spans="1:1" ht="60" x14ac:dyDescent="0.3">
      <c r="A241" s="19" t="s">
        <v>1422</v>
      </c>
    </row>
    <row r="242" spans="1:1" ht="60" x14ac:dyDescent="0.3">
      <c r="A242" s="19" t="s">
        <v>1423</v>
      </c>
    </row>
    <row r="243" spans="1:1" ht="60" x14ac:dyDescent="0.3">
      <c r="A243" s="19" t="s">
        <v>1424</v>
      </c>
    </row>
    <row r="244" spans="1:1" ht="105" x14ac:dyDescent="0.3">
      <c r="A244" s="28" t="s">
        <v>1426</v>
      </c>
    </row>
    <row r="245" spans="1:1" ht="105" x14ac:dyDescent="0.3">
      <c r="A245" s="28" t="s">
        <v>1438</v>
      </c>
    </row>
    <row r="246" spans="1:1" ht="105" x14ac:dyDescent="0.3">
      <c r="A246" s="28" t="s">
        <v>1439</v>
      </c>
    </row>
    <row r="247" spans="1:1" ht="105" x14ac:dyDescent="0.3">
      <c r="A247" s="28" t="s">
        <v>1440</v>
      </c>
    </row>
    <row r="248" spans="1:1" ht="105" x14ac:dyDescent="0.3">
      <c r="A248" s="28" t="s">
        <v>1444</v>
      </c>
    </row>
    <row r="249" spans="1:1" ht="105" x14ac:dyDescent="0.3">
      <c r="A249" s="28" t="s">
        <v>1445</v>
      </c>
    </row>
    <row r="250" spans="1:1" ht="105" x14ac:dyDescent="0.3">
      <c r="A250" s="28" t="s">
        <v>1446</v>
      </c>
    </row>
    <row r="251" spans="1:1" ht="105" x14ac:dyDescent="0.3">
      <c r="A251" s="28" t="s">
        <v>1453</v>
      </c>
    </row>
    <row r="252" spans="1:1" ht="105" x14ac:dyDescent="0.3">
      <c r="A252" s="28" t="s">
        <v>1456</v>
      </c>
    </row>
    <row r="253" spans="1:1" ht="60" x14ac:dyDescent="0.3">
      <c r="A253" s="28" t="s">
        <v>1458</v>
      </c>
    </row>
    <row r="254" spans="1:1" ht="60" x14ac:dyDescent="0.3">
      <c r="A254" s="28" t="s">
        <v>1470</v>
      </c>
    </row>
    <row r="255" spans="1:1" ht="60" x14ac:dyDescent="0.3">
      <c r="A255" s="28" t="s">
        <v>1471</v>
      </c>
    </row>
    <row r="256" spans="1:1" ht="60" x14ac:dyDescent="0.3">
      <c r="A256" s="28" t="s">
        <v>1475</v>
      </c>
    </row>
    <row r="257" spans="1:1" ht="60" x14ac:dyDescent="0.3">
      <c r="A257" s="28" t="s">
        <v>1480</v>
      </c>
    </row>
    <row r="258" spans="1:1" ht="60" x14ac:dyDescent="0.3">
      <c r="A258" s="28" t="s">
        <v>1481</v>
      </c>
    </row>
    <row r="259" spans="1:1" ht="60" x14ac:dyDescent="0.3">
      <c r="A259" s="28" t="s">
        <v>1485</v>
      </c>
    </row>
    <row r="260" spans="1:1" ht="60" x14ac:dyDescent="0.3">
      <c r="A260" s="28" t="s">
        <v>1489</v>
      </c>
    </row>
    <row r="261" spans="1:1" ht="60" x14ac:dyDescent="0.3">
      <c r="A261" s="28" t="s">
        <v>1490</v>
      </c>
    </row>
    <row r="262" spans="1:1" ht="60" x14ac:dyDescent="0.3">
      <c r="A262" s="28" t="s">
        <v>1493</v>
      </c>
    </row>
    <row r="263" spans="1:1" ht="60" x14ac:dyDescent="0.3">
      <c r="A263" s="28" t="s">
        <v>1497</v>
      </c>
    </row>
    <row r="264" spans="1:1" ht="60" x14ac:dyDescent="0.3">
      <c r="A264" s="28" t="s">
        <v>1498</v>
      </c>
    </row>
    <row r="265" spans="1:1" ht="60" x14ac:dyDescent="0.3">
      <c r="A265" s="28" t="s">
        <v>1501</v>
      </c>
    </row>
    <row r="266" spans="1:1" ht="60" x14ac:dyDescent="0.3">
      <c r="A266" s="28" t="s">
        <v>1505</v>
      </c>
    </row>
    <row r="267" spans="1:1" ht="60" x14ac:dyDescent="0.3">
      <c r="A267" s="28" t="s">
        <v>1506</v>
      </c>
    </row>
    <row r="268" spans="1:1" ht="60" x14ac:dyDescent="0.3">
      <c r="A268" s="28" t="s">
        <v>1509</v>
      </c>
    </row>
    <row r="269" spans="1:1" ht="60" x14ac:dyDescent="0.3">
      <c r="A269" s="28" t="s">
        <v>1513</v>
      </c>
    </row>
    <row r="270" spans="1:1" ht="60" x14ac:dyDescent="0.3">
      <c r="A270" s="28" t="s">
        <v>1514</v>
      </c>
    </row>
    <row r="271" spans="1:1" ht="90" x14ac:dyDescent="0.3">
      <c r="A271" s="19" t="s">
        <v>1518</v>
      </c>
    </row>
    <row r="272" spans="1:1" ht="90" x14ac:dyDescent="0.3">
      <c r="A272" s="19" t="s">
        <v>1532</v>
      </c>
    </row>
    <row r="273" spans="1:1" ht="90" x14ac:dyDescent="0.3">
      <c r="A273" s="19" t="s">
        <v>1533</v>
      </c>
    </row>
    <row r="274" spans="1:1" ht="90" x14ac:dyDescent="0.3">
      <c r="A274" s="19" t="s">
        <v>1534</v>
      </c>
    </row>
    <row r="275" spans="1:1" ht="75" x14ac:dyDescent="0.3">
      <c r="A275" s="28" t="s">
        <v>1535</v>
      </c>
    </row>
    <row r="276" spans="1:1" ht="75" x14ac:dyDescent="0.3">
      <c r="A276" s="28" t="s">
        <v>1542</v>
      </c>
    </row>
    <row r="277" spans="1:1" ht="75" x14ac:dyDescent="0.3">
      <c r="A277" s="28" t="s">
        <v>1545</v>
      </c>
    </row>
    <row r="278" spans="1:1" ht="75" x14ac:dyDescent="0.3">
      <c r="A278" s="28" t="s">
        <v>1547</v>
      </c>
    </row>
    <row r="279" spans="1:1" ht="120" x14ac:dyDescent="0.3">
      <c r="A279" s="44" t="s">
        <v>1549</v>
      </c>
    </row>
    <row r="280" spans="1:1" x14ac:dyDescent="0.3">
      <c r="A280" s="64" t="s">
        <v>1551</v>
      </c>
    </row>
    <row r="281" spans="1:1" x14ac:dyDescent="0.3">
      <c r="A281" s="65"/>
    </row>
    <row r="282" spans="1:1" ht="75" x14ac:dyDescent="0.3">
      <c r="A282" s="28" t="s">
        <v>1556</v>
      </c>
    </row>
    <row r="283" spans="1:1" ht="120" x14ac:dyDescent="0.3">
      <c r="A283" s="28" t="s">
        <v>1559</v>
      </c>
    </row>
    <row r="284" spans="1:1" x14ac:dyDescent="0.3">
      <c r="A284" s="64" t="s">
        <v>1560</v>
      </c>
    </row>
    <row r="285" spans="1:1" x14ac:dyDescent="0.3">
      <c r="A285" s="65"/>
    </row>
    <row r="286" spans="1:1" ht="75" x14ac:dyDescent="0.3">
      <c r="A286" s="28" t="s">
        <v>1563</v>
      </c>
    </row>
    <row r="287" spans="1:1" x14ac:dyDescent="0.3">
      <c r="A287" s="64" t="s">
        <v>1564</v>
      </c>
    </row>
    <row r="288" spans="1:1" x14ac:dyDescent="0.3">
      <c r="A288" s="65"/>
    </row>
    <row r="289" spans="1:1" ht="120" x14ac:dyDescent="0.3">
      <c r="A289" s="28" t="s">
        <v>1566</v>
      </c>
    </row>
    <row r="290" spans="1:1" ht="120" x14ac:dyDescent="0.3">
      <c r="A290" s="28" t="s">
        <v>1573</v>
      </c>
    </row>
    <row r="291" spans="1:1" ht="120" x14ac:dyDescent="0.3">
      <c r="A291" s="28" t="s">
        <v>1574</v>
      </c>
    </row>
    <row r="292" spans="1:1" ht="120" x14ac:dyDescent="0.3">
      <c r="A292" s="28" t="s">
        <v>1575</v>
      </c>
    </row>
    <row r="293" spans="1:1" ht="120" x14ac:dyDescent="0.3">
      <c r="A293" s="28" t="s">
        <v>1578</v>
      </c>
    </row>
    <row r="294" spans="1:1" ht="120" x14ac:dyDescent="0.3">
      <c r="A294" s="28" t="s">
        <v>1579</v>
      </c>
    </row>
    <row r="295" spans="1:1" ht="120" x14ac:dyDescent="0.3">
      <c r="A295" s="28" t="s">
        <v>1580</v>
      </c>
    </row>
    <row r="296" spans="1:1" ht="120" x14ac:dyDescent="0.3">
      <c r="A296" s="28" t="s">
        <v>1584</v>
      </c>
    </row>
    <row r="297" spans="1:1" ht="120" x14ac:dyDescent="0.3">
      <c r="A297" s="28" t="s">
        <v>1585</v>
      </c>
    </row>
    <row r="298" spans="1:1" ht="120" x14ac:dyDescent="0.3">
      <c r="A298" s="28" t="s">
        <v>1586</v>
      </c>
    </row>
    <row r="299" spans="1:1" ht="120" x14ac:dyDescent="0.3">
      <c r="A299" s="28" t="s">
        <v>1589</v>
      </c>
    </row>
    <row r="300" spans="1:1" ht="120" x14ac:dyDescent="0.3">
      <c r="A300" s="28" t="s">
        <v>1590</v>
      </c>
    </row>
    <row r="301" spans="1:1" ht="75" x14ac:dyDescent="0.3">
      <c r="A301" s="28" t="s">
        <v>1592</v>
      </c>
    </row>
    <row r="302" spans="1:1" ht="75" x14ac:dyDescent="0.3">
      <c r="A302" s="19" t="s">
        <v>1599</v>
      </c>
    </row>
    <row r="303" spans="1:1" ht="75" x14ac:dyDescent="0.3">
      <c r="A303" s="28" t="s">
        <v>1600</v>
      </c>
    </row>
    <row r="304" spans="1:1" ht="75" x14ac:dyDescent="0.3">
      <c r="A304" s="28" t="s">
        <v>1603</v>
      </c>
    </row>
    <row r="305" spans="1:1" ht="75" x14ac:dyDescent="0.3">
      <c r="A305" s="28" t="s">
        <v>1604</v>
      </c>
    </row>
    <row r="306" spans="1:1" ht="75" x14ac:dyDescent="0.3">
      <c r="A306" s="19" t="s">
        <v>1607</v>
      </c>
    </row>
    <row r="307" spans="1:1" ht="75" x14ac:dyDescent="0.3">
      <c r="A307" s="28" t="s">
        <v>1608</v>
      </c>
    </row>
    <row r="308" spans="1:1" ht="75" x14ac:dyDescent="0.3">
      <c r="A308" s="28" t="s">
        <v>1611</v>
      </c>
    </row>
    <row r="309" spans="1:1" ht="90" x14ac:dyDescent="0.3">
      <c r="A309" s="28" t="s">
        <v>1613</v>
      </c>
    </row>
    <row r="310" spans="1:1" ht="105" x14ac:dyDescent="0.3">
      <c r="A310" s="19" t="s">
        <v>1620</v>
      </c>
    </row>
    <row r="311" spans="1:1" ht="105" x14ac:dyDescent="0.3">
      <c r="A311" s="19" t="s">
        <v>1623</v>
      </c>
    </row>
    <row r="312" spans="1:1" x14ac:dyDescent="0.3">
      <c r="A312" s="75" t="s">
        <v>1627</v>
      </c>
    </row>
    <row r="313" spans="1:1" x14ac:dyDescent="0.3">
      <c r="A313" s="76"/>
    </row>
    <row r="314" spans="1:1" x14ac:dyDescent="0.3">
      <c r="A314" s="79" t="s">
        <v>1631</v>
      </c>
    </row>
    <row r="315" spans="1:1" x14ac:dyDescent="0.3">
      <c r="A315" s="80"/>
    </row>
    <row r="316" spans="1:1" ht="90" x14ac:dyDescent="0.3">
      <c r="A316" s="19" t="s">
        <v>1636</v>
      </c>
    </row>
    <row r="317" spans="1:1" ht="105" x14ac:dyDescent="0.3">
      <c r="A317" s="19" t="s">
        <v>1640</v>
      </c>
    </row>
    <row r="318" spans="1:1" ht="105" x14ac:dyDescent="0.3">
      <c r="A318" s="19" t="s">
        <v>1641</v>
      </c>
    </row>
    <row r="319" spans="1:1" x14ac:dyDescent="0.3">
      <c r="A319" s="75" t="s">
        <v>1642</v>
      </c>
    </row>
    <row r="320" spans="1:1" x14ac:dyDescent="0.3">
      <c r="A320" s="76"/>
    </row>
    <row r="321" spans="1:1" x14ac:dyDescent="0.3">
      <c r="A321" s="75" t="s">
        <v>1643</v>
      </c>
    </row>
    <row r="322" spans="1:1" x14ac:dyDescent="0.3">
      <c r="A322" s="83"/>
    </row>
    <row r="323" spans="1:1" x14ac:dyDescent="0.3">
      <c r="A323" s="76"/>
    </row>
    <row r="324" spans="1:1" x14ac:dyDescent="0.3">
      <c r="A324" s="68" t="s">
        <v>1647</v>
      </c>
    </row>
    <row r="325" spans="1:1" x14ac:dyDescent="0.3">
      <c r="A325" s="70"/>
    </row>
    <row r="326" spans="1:1" ht="75" x14ac:dyDescent="0.3">
      <c r="A326" s="19" t="s">
        <v>1652</v>
      </c>
    </row>
    <row r="327" spans="1:1" ht="75" x14ac:dyDescent="0.3">
      <c r="A327" s="19" t="s">
        <v>1653</v>
      </c>
    </row>
    <row r="328" spans="1:1" x14ac:dyDescent="0.3">
      <c r="A328" s="68" t="s">
        <v>1654</v>
      </c>
    </row>
    <row r="329" spans="1:1" x14ac:dyDescent="0.3">
      <c r="A329" s="70"/>
    </row>
    <row r="330" spans="1:1" x14ac:dyDescent="0.3">
      <c r="A330" s="68" t="s">
        <v>1655</v>
      </c>
    </row>
    <row r="331" spans="1:1" x14ac:dyDescent="0.3">
      <c r="A331" s="70"/>
    </row>
    <row r="332" spans="1:1" ht="90" x14ac:dyDescent="0.3">
      <c r="A332" s="19" t="s">
        <v>1657</v>
      </c>
    </row>
    <row r="333" spans="1:1" ht="105" x14ac:dyDescent="0.3">
      <c r="A333" s="19" t="s">
        <v>1662</v>
      </c>
    </row>
    <row r="334" spans="1:1" ht="105" x14ac:dyDescent="0.3">
      <c r="A334" s="19" t="s">
        <v>1663</v>
      </c>
    </row>
    <row r="335" spans="1:1" x14ac:dyDescent="0.3">
      <c r="A335" s="75" t="s">
        <v>1664</v>
      </c>
    </row>
    <row r="336" spans="1:1" x14ac:dyDescent="0.3">
      <c r="A336" s="76"/>
    </row>
    <row r="337" spans="1:1" x14ac:dyDescent="0.3">
      <c r="A337" s="75" t="s">
        <v>1665</v>
      </c>
    </row>
    <row r="338" spans="1:1" x14ac:dyDescent="0.3">
      <c r="A338" s="83"/>
    </row>
    <row r="339" spans="1:1" x14ac:dyDescent="0.3">
      <c r="A339" s="83"/>
    </row>
    <row r="340" spans="1:1" x14ac:dyDescent="0.3">
      <c r="A340" s="83"/>
    </row>
    <row r="341" spans="1:1" x14ac:dyDescent="0.3">
      <c r="A341" s="83"/>
    </row>
    <row r="342" spans="1:1" x14ac:dyDescent="0.3">
      <c r="A342" s="83"/>
    </row>
    <row r="343" spans="1:1" x14ac:dyDescent="0.3">
      <c r="A343" s="83"/>
    </row>
    <row r="344" spans="1:1" x14ac:dyDescent="0.3">
      <c r="A344" s="83"/>
    </row>
    <row r="345" spans="1:1" x14ac:dyDescent="0.3">
      <c r="A345" s="83"/>
    </row>
    <row r="346" spans="1:1" x14ac:dyDescent="0.3">
      <c r="A346" s="83"/>
    </row>
    <row r="347" spans="1:1" x14ac:dyDescent="0.3">
      <c r="A347" s="76"/>
    </row>
    <row r="348" spans="1:1" ht="90" x14ac:dyDescent="0.3">
      <c r="A348" s="28" t="s">
        <v>1670</v>
      </c>
    </row>
    <row r="349" spans="1:1" ht="90" x14ac:dyDescent="0.3">
      <c r="A349" s="28" t="s">
        <v>1677</v>
      </c>
    </row>
    <row r="350" spans="1:1" ht="75" x14ac:dyDescent="0.3">
      <c r="A350" s="28" t="s">
        <v>1678</v>
      </c>
    </row>
    <row r="351" spans="1:1" ht="75" x14ac:dyDescent="0.3">
      <c r="A351" s="28" t="s">
        <v>1681</v>
      </c>
    </row>
    <row r="352" spans="1:1" ht="75" x14ac:dyDescent="0.3">
      <c r="A352" s="28" t="s">
        <v>1682</v>
      </c>
    </row>
    <row r="353" spans="1:1" ht="75" x14ac:dyDescent="0.3">
      <c r="A353" s="28" t="s">
        <v>1686</v>
      </c>
    </row>
    <row r="354" spans="1:1" ht="105" x14ac:dyDescent="0.3">
      <c r="A354" s="28" t="s">
        <v>1687</v>
      </c>
    </row>
    <row r="355" spans="1:1" ht="105" x14ac:dyDescent="0.3">
      <c r="A355" s="28" t="s">
        <v>1691</v>
      </c>
    </row>
    <row r="356" spans="1:1" ht="105" x14ac:dyDescent="0.3">
      <c r="A356" s="28" t="s">
        <v>1692</v>
      </c>
    </row>
    <row r="357" spans="1:1" ht="105" x14ac:dyDescent="0.3">
      <c r="A357" s="28" t="s">
        <v>1696</v>
      </c>
    </row>
    <row r="358" spans="1:1" ht="90" x14ac:dyDescent="0.3">
      <c r="A358" s="28" t="s">
        <v>1698</v>
      </c>
    </row>
    <row r="359" spans="1:1" ht="90" x14ac:dyDescent="0.3">
      <c r="A359" s="28" t="s">
        <v>1703</v>
      </c>
    </row>
    <row r="360" spans="1:1" ht="60" x14ac:dyDescent="0.3">
      <c r="A360" s="28" t="s">
        <v>1704</v>
      </c>
    </row>
    <row r="361" spans="1:1" ht="60" x14ac:dyDescent="0.3">
      <c r="A361" s="19" t="s">
        <v>1707</v>
      </c>
    </row>
    <row r="362" spans="1:1" ht="105" x14ac:dyDescent="0.3">
      <c r="A362" s="28" t="s">
        <v>1708</v>
      </c>
    </row>
    <row r="363" spans="1:1" ht="105" x14ac:dyDescent="0.3">
      <c r="A363" s="28" t="s">
        <v>1711</v>
      </c>
    </row>
    <row r="364" spans="1:1" ht="60" x14ac:dyDescent="0.3">
      <c r="A364" s="19" t="s">
        <v>1713</v>
      </c>
    </row>
    <row r="365" spans="1:1" ht="60" x14ac:dyDescent="0.3">
      <c r="A365" s="28" t="s">
        <v>1722</v>
      </c>
    </row>
    <row r="366" spans="1:1" ht="60" x14ac:dyDescent="0.3">
      <c r="A366" s="28" t="s">
        <v>1723</v>
      </c>
    </row>
    <row r="367" spans="1:1" ht="60" x14ac:dyDescent="0.3">
      <c r="A367" s="28" t="s">
        <v>1726</v>
      </c>
    </row>
    <row r="368" spans="1:1" ht="60" x14ac:dyDescent="0.3">
      <c r="A368" s="28" t="s">
        <v>1727</v>
      </c>
    </row>
    <row r="369" spans="1:1" ht="60" x14ac:dyDescent="0.3">
      <c r="A369" s="28" t="s">
        <v>1730</v>
      </c>
    </row>
    <row r="370" spans="1:1" ht="60" x14ac:dyDescent="0.3">
      <c r="A370" s="28" t="s">
        <v>6441</v>
      </c>
    </row>
    <row r="371" spans="1:1" ht="90" x14ac:dyDescent="0.3">
      <c r="A371" s="28" t="s">
        <v>1738</v>
      </c>
    </row>
    <row r="372" spans="1:1" ht="90" x14ac:dyDescent="0.3">
      <c r="A372" s="28" t="s">
        <v>1740</v>
      </c>
    </row>
    <row r="373" spans="1:1" ht="120" x14ac:dyDescent="0.3">
      <c r="A373" s="28" t="s">
        <v>6442</v>
      </c>
    </row>
    <row r="374" spans="1:1" ht="105" x14ac:dyDescent="0.3">
      <c r="A374" s="28" t="s">
        <v>6443</v>
      </c>
    </row>
    <row r="375" spans="1:1" ht="90" x14ac:dyDescent="0.3">
      <c r="A375" s="28" t="s">
        <v>1743</v>
      </c>
    </row>
    <row r="376" spans="1:1" ht="90" x14ac:dyDescent="0.3">
      <c r="A376" s="28" t="s">
        <v>1745</v>
      </c>
    </row>
    <row r="377" spans="1:1" ht="120" x14ac:dyDescent="0.3">
      <c r="A377" s="28" t="s">
        <v>6444</v>
      </c>
    </row>
    <row r="378" spans="1:1" ht="105" x14ac:dyDescent="0.3">
      <c r="A378" s="28" t="s">
        <v>6445</v>
      </c>
    </row>
    <row r="379" spans="1:1" ht="60" x14ac:dyDescent="0.3">
      <c r="A379" s="28" t="s">
        <v>6446</v>
      </c>
    </row>
    <row r="380" spans="1:1" ht="75" x14ac:dyDescent="0.3">
      <c r="A380" s="28" t="s">
        <v>1756</v>
      </c>
    </row>
    <row r="381" spans="1:1" ht="90" x14ac:dyDescent="0.3">
      <c r="A381" s="28" t="s">
        <v>1757</v>
      </c>
    </row>
    <row r="382" spans="1:1" ht="75" x14ac:dyDescent="0.3">
      <c r="A382" s="28" t="s">
        <v>1760</v>
      </c>
    </row>
    <row r="383" spans="1:1" ht="105" x14ac:dyDescent="0.3">
      <c r="A383" s="28" t="s">
        <v>6447</v>
      </c>
    </row>
    <row r="384" spans="1:1" ht="105" x14ac:dyDescent="0.3">
      <c r="A384" s="28" t="s">
        <v>6448</v>
      </c>
    </row>
    <row r="385" spans="1:1" ht="105" x14ac:dyDescent="0.3">
      <c r="A385" s="28" t="s">
        <v>6449</v>
      </c>
    </row>
    <row r="386" spans="1:1" ht="75" x14ac:dyDescent="0.3">
      <c r="A386" s="28" t="s">
        <v>1765</v>
      </c>
    </row>
    <row r="387" spans="1:1" ht="90" x14ac:dyDescent="0.3">
      <c r="A387" s="28" t="s">
        <v>1767</v>
      </c>
    </row>
    <row r="388" spans="1:1" ht="75" x14ac:dyDescent="0.3">
      <c r="A388" s="28" t="s">
        <v>1768</v>
      </c>
    </row>
    <row r="389" spans="1:1" ht="105" x14ac:dyDescent="0.3">
      <c r="A389" s="28" t="s">
        <v>6450</v>
      </c>
    </row>
    <row r="390" spans="1:1" ht="105" x14ac:dyDescent="0.3">
      <c r="A390" s="28" t="s">
        <v>6451</v>
      </c>
    </row>
    <row r="391" spans="1:1" ht="105" x14ac:dyDescent="0.3">
      <c r="A391" s="28" t="s">
        <v>6452</v>
      </c>
    </row>
    <row r="392" spans="1:1" x14ac:dyDescent="0.3">
      <c r="A392" s="66" t="s">
        <v>1772</v>
      </c>
    </row>
    <row r="393" spans="1:1" x14ac:dyDescent="0.3">
      <c r="A393" s="74"/>
    </row>
    <row r="394" spans="1:1" x14ac:dyDescent="0.3">
      <c r="A394" s="67"/>
    </row>
    <row r="395" spans="1:1" ht="45" x14ac:dyDescent="0.3">
      <c r="A395" s="19" t="s">
        <v>1784</v>
      </c>
    </row>
    <row r="396" spans="1:1" x14ac:dyDescent="0.3">
      <c r="A396" s="59" t="s">
        <v>1788</v>
      </c>
    </row>
    <row r="397" spans="1:1" x14ac:dyDescent="0.3">
      <c r="A397" s="81"/>
    </row>
    <row r="398" spans="1:1" x14ac:dyDescent="0.3">
      <c r="A398" s="81"/>
    </row>
    <row r="399" spans="1:1" x14ac:dyDescent="0.3">
      <c r="A399" s="60"/>
    </row>
    <row r="400" spans="1:1" x14ac:dyDescent="0.3">
      <c r="A400" s="59" t="s">
        <v>1798</v>
      </c>
    </row>
    <row r="401" spans="1:1" x14ac:dyDescent="0.3">
      <c r="A401" s="81"/>
    </row>
    <row r="402" spans="1:1" x14ac:dyDescent="0.3">
      <c r="A402" s="60"/>
    </row>
    <row r="403" spans="1:1" x14ac:dyDescent="0.3">
      <c r="A403" s="59" t="s">
        <v>1800</v>
      </c>
    </row>
    <row r="404" spans="1:1" x14ac:dyDescent="0.3">
      <c r="A404" s="81"/>
    </row>
    <row r="405" spans="1:1" x14ac:dyDescent="0.3">
      <c r="A405" s="81"/>
    </row>
    <row r="406" spans="1:1" x14ac:dyDescent="0.3">
      <c r="A406" s="60"/>
    </row>
    <row r="407" spans="1:1" x14ac:dyDescent="0.3">
      <c r="A407" s="59" t="s">
        <v>1804</v>
      </c>
    </row>
    <row r="408" spans="1:1" x14ac:dyDescent="0.3">
      <c r="A408" s="81"/>
    </row>
    <row r="409" spans="1:1" x14ac:dyDescent="0.3">
      <c r="A409" s="81"/>
    </row>
    <row r="410" spans="1:1" x14ac:dyDescent="0.3">
      <c r="A410" s="60"/>
    </row>
    <row r="411" spans="1:1" x14ac:dyDescent="0.3">
      <c r="A411" s="66" t="s">
        <v>1806</v>
      </c>
    </row>
    <row r="412" spans="1:1" x14ac:dyDescent="0.3">
      <c r="A412" s="74"/>
    </row>
    <row r="413" spans="1:1" x14ac:dyDescent="0.3">
      <c r="A413" s="67"/>
    </row>
    <row r="414" spans="1:1" x14ac:dyDescent="0.3">
      <c r="A414" s="66" t="s">
        <v>1814</v>
      </c>
    </row>
    <row r="415" spans="1:1" x14ac:dyDescent="0.3">
      <c r="A415" s="74"/>
    </row>
    <row r="416" spans="1:1" x14ac:dyDescent="0.3">
      <c r="A416" s="67"/>
    </row>
    <row r="417" spans="1:1" x14ac:dyDescent="0.3">
      <c r="A417" s="66" t="s">
        <v>1815</v>
      </c>
    </row>
    <row r="418" spans="1:1" x14ac:dyDescent="0.3">
      <c r="A418" s="74"/>
    </row>
    <row r="419" spans="1:1" x14ac:dyDescent="0.3">
      <c r="A419" s="67"/>
    </row>
    <row r="420" spans="1:1" x14ac:dyDescent="0.3">
      <c r="A420" s="59" t="s">
        <v>1818</v>
      </c>
    </row>
    <row r="421" spans="1:1" x14ac:dyDescent="0.3">
      <c r="A421" s="81"/>
    </row>
    <row r="422" spans="1:1" x14ac:dyDescent="0.3">
      <c r="A422" s="81"/>
    </row>
    <row r="423" spans="1:1" x14ac:dyDescent="0.3">
      <c r="A423" s="60"/>
    </row>
    <row r="424" spans="1:1" x14ac:dyDescent="0.3">
      <c r="A424" s="68" t="s">
        <v>1829</v>
      </c>
    </row>
    <row r="425" spans="1:1" x14ac:dyDescent="0.3">
      <c r="A425" s="69"/>
    </row>
    <row r="426" spans="1:1" x14ac:dyDescent="0.3">
      <c r="A426" s="70"/>
    </row>
    <row r="427" spans="1:1" x14ac:dyDescent="0.3">
      <c r="A427" s="68" t="s">
        <v>1831</v>
      </c>
    </row>
    <row r="428" spans="1:1" x14ac:dyDescent="0.3">
      <c r="A428" s="70"/>
    </row>
    <row r="429" spans="1:1" x14ac:dyDescent="0.3">
      <c r="A429" s="59" t="s">
        <v>1833</v>
      </c>
    </row>
    <row r="430" spans="1:1" x14ac:dyDescent="0.3">
      <c r="A430" s="81"/>
    </row>
    <row r="431" spans="1:1" x14ac:dyDescent="0.3">
      <c r="A431" s="81"/>
    </row>
    <row r="432" spans="1:1" x14ac:dyDescent="0.3">
      <c r="A432" s="60"/>
    </row>
    <row r="433" spans="1:1" x14ac:dyDescent="0.3">
      <c r="A433" s="59" t="s">
        <v>1835</v>
      </c>
    </row>
    <row r="434" spans="1:1" x14ac:dyDescent="0.3">
      <c r="A434" s="81"/>
    </row>
    <row r="435" spans="1:1" x14ac:dyDescent="0.3">
      <c r="A435" s="60"/>
    </row>
    <row r="436" spans="1:1" x14ac:dyDescent="0.3">
      <c r="A436" s="59" t="s">
        <v>1842</v>
      </c>
    </row>
    <row r="437" spans="1:1" x14ac:dyDescent="0.3">
      <c r="A437" s="81"/>
    </row>
    <row r="438" spans="1:1" x14ac:dyDescent="0.3">
      <c r="A438" s="60"/>
    </row>
    <row r="439" spans="1:1" x14ac:dyDescent="0.3">
      <c r="A439" s="59" t="s">
        <v>1843</v>
      </c>
    </row>
    <row r="440" spans="1:1" x14ac:dyDescent="0.3">
      <c r="A440" s="60"/>
    </row>
    <row r="441" spans="1:1" x14ac:dyDescent="0.3">
      <c r="A441" s="59" t="s">
        <v>1844</v>
      </c>
    </row>
    <row r="442" spans="1:1" x14ac:dyDescent="0.3">
      <c r="A442" s="60"/>
    </row>
    <row r="443" spans="1:1" x14ac:dyDescent="0.3">
      <c r="A443" s="59" t="s">
        <v>1845</v>
      </c>
    </row>
    <row r="444" spans="1:1" x14ac:dyDescent="0.3">
      <c r="A444" s="60"/>
    </row>
    <row r="445" spans="1:1" x14ac:dyDescent="0.3">
      <c r="A445" s="59" t="s">
        <v>1846</v>
      </c>
    </row>
    <row r="446" spans="1:1" x14ac:dyDescent="0.3">
      <c r="A446" s="60"/>
    </row>
    <row r="447" spans="1:1" x14ac:dyDescent="0.3">
      <c r="A447" s="59" t="s">
        <v>1847</v>
      </c>
    </row>
    <row r="448" spans="1:1" x14ac:dyDescent="0.3">
      <c r="A448" s="81"/>
    </row>
    <row r="449" spans="1:1" x14ac:dyDescent="0.3">
      <c r="A449" s="60"/>
    </row>
    <row r="450" spans="1:1" x14ac:dyDescent="0.3">
      <c r="A450" s="59" t="s">
        <v>1848</v>
      </c>
    </row>
    <row r="451" spans="1:1" x14ac:dyDescent="0.3">
      <c r="A451" s="81"/>
    </row>
    <row r="452" spans="1:1" x14ac:dyDescent="0.3">
      <c r="A452" s="60"/>
    </row>
    <row r="453" spans="1:1" x14ac:dyDescent="0.3">
      <c r="A453" s="59" t="s">
        <v>1849</v>
      </c>
    </row>
    <row r="454" spans="1:1" x14ac:dyDescent="0.3">
      <c r="A454" s="81"/>
    </row>
    <row r="455" spans="1:1" x14ac:dyDescent="0.3">
      <c r="A455" s="60"/>
    </row>
    <row r="456" spans="1:1" x14ac:dyDescent="0.3">
      <c r="A456" s="64" t="s">
        <v>1851</v>
      </c>
    </row>
    <row r="457" spans="1:1" x14ac:dyDescent="0.3">
      <c r="A457" s="63"/>
    </row>
    <row r="458" spans="1:1" x14ac:dyDescent="0.3">
      <c r="A458" s="65"/>
    </row>
    <row r="459" spans="1:1" x14ac:dyDescent="0.3">
      <c r="A459" s="64" t="s">
        <v>1859</v>
      </c>
    </row>
    <row r="460" spans="1:1" x14ac:dyDescent="0.3">
      <c r="A460" s="63"/>
    </row>
    <row r="461" spans="1:1" x14ac:dyDescent="0.3">
      <c r="A461" s="65"/>
    </row>
    <row r="462" spans="1:1" x14ac:dyDescent="0.3">
      <c r="A462" s="64" t="s">
        <v>1860</v>
      </c>
    </row>
    <row r="463" spans="1:1" x14ac:dyDescent="0.3">
      <c r="A463" s="63"/>
    </row>
    <row r="464" spans="1:1" x14ac:dyDescent="0.3">
      <c r="A464" s="65"/>
    </row>
    <row r="465" spans="1:1" x14ac:dyDescent="0.3">
      <c r="A465" s="64" t="s">
        <v>1861</v>
      </c>
    </row>
    <row r="466" spans="1:1" x14ac:dyDescent="0.3">
      <c r="A466" s="65"/>
    </row>
    <row r="467" spans="1:1" ht="45" x14ac:dyDescent="0.3">
      <c r="A467" s="28" t="s">
        <v>1863</v>
      </c>
    </row>
    <row r="468" spans="1:1" ht="45" x14ac:dyDescent="0.3">
      <c r="A468" s="28" t="s">
        <v>1864</v>
      </c>
    </row>
    <row r="469" spans="1:1" x14ac:dyDescent="0.3">
      <c r="A469" s="64" t="s">
        <v>1865</v>
      </c>
    </row>
    <row r="470" spans="1:1" x14ac:dyDescent="0.3">
      <c r="A470" s="65"/>
    </row>
    <row r="471" spans="1:1" x14ac:dyDescent="0.3">
      <c r="A471" s="64" t="s">
        <v>1866</v>
      </c>
    </row>
    <row r="472" spans="1:1" x14ac:dyDescent="0.3">
      <c r="A472" s="63"/>
    </row>
    <row r="473" spans="1:1" x14ac:dyDescent="0.3">
      <c r="A473" s="65"/>
    </row>
    <row r="474" spans="1:1" x14ac:dyDescent="0.3">
      <c r="A474" s="64" t="s">
        <v>1867</v>
      </c>
    </row>
    <row r="475" spans="1:1" x14ac:dyDescent="0.3">
      <c r="A475" s="63"/>
    </row>
    <row r="476" spans="1:1" x14ac:dyDescent="0.3">
      <c r="A476" s="65"/>
    </row>
    <row r="477" spans="1:1" x14ac:dyDescent="0.3">
      <c r="A477" s="64" t="s">
        <v>1868</v>
      </c>
    </row>
    <row r="478" spans="1:1" x14ac:dyDescent="0.3">
      <c r="A478" s="63"/>
    </row>
    <row r="479" spans="1:1" x14ac:dyDescent="0.3">
      <c r="A479" s="65"/>
    </row>
    <row r="480" spans="1:1" x14ac:dyDescent="0.3">
      <c r="A480" s="59" t="s">
        <v>1103</v>
      </c>
    </row>
    <row r="481" spans="1:1" x14ac:dyDescent="0.3">
      <c r="A481" s="81"/>
    </row>
    <row r="482" spans="1:1" x14ac:dyDescent="0.3">
      <c r="A482" s="60"/>
    </row>
    <row r="483" spans="1:1" x14ac:dyDescent="0.3">
      <c r="A483" s="59" t="s">
        <v>1874</v>
      </c>
    </row>
    <row r="484" spans="1:1" x14ac:dyDescent="0.3">
      <c r="A484" s="81"/>
    </row>
    <row r="485" spans="1:1" x14ac:dyDescent="0.3">
      <c r="A485" s="60"/>
    </row>
    <row r="486" spans="1:1" x14ac:dyDescent="0.3">
      <c r="A486" s="59" t="s">
        <v>1878</v>
      </c>
    </row>
    <row r="487" spans="1:1" x14ac:dyDescent="0.3">
      <c r="A487" s="81"/>
    </row>
    <row r="488" spans="1:1" x14ac:dyDescent="0.3">
      <c r="A488" s="60"/>
    </row>
    <row r="489" spans="1:1" x14ac:dyDescent="0.3">
      <c r="A489" s="59" t="s">
        <v>1881</v>
      </c>
    </row>
    <row r="490" spans="1:1" x14ac:dyDescent="0.3">
      <c r="A490" s="81"/>
    </row>
    <row r="491" spans="1:1" x14ac:dyDescent="0.3">
      <c r="A491" s="60"/>
    </row>
    <row r="492" spans="1:1" x14ac:dyDescent="0.3">
      <c r="A492" s="61" t="s">
        <v>1886</v>
      </c>
    </row>
    <row r="493" spans="1:1" x14ac:dyDescent="0.3">
      <c r="A493" s="82"/>
    </row>
    <row r="494" spans="1:1" x14ac:dyDescent="0.3">
      <c r="A494" s="62"/>
    </row>
    <row r="495" spans="1:1" x14ac:dyDescent="0.3">
      <c r="A495" s="61" t="s">
        <v>1892</v>
      </c>
    </row>
    <row r="496" spans="1:1" x14ac:dyDescent="0.3">
      <c r="A496" s="82"/>
    </row>
    <row r="497" spans="1:1" x14ac:dyDescent="0.3">
      <c r="A497" s="62"/>
    </row>
    <row r="498" spans="1:1" x14ac:dyDescent="0.3">
      <c r="A498" s="61" t="s">
        <v>1893</v>
      </c>
    </row>
    <row r="499" spans="1:1" x14ac:dyDescent="0.3">
      <c r="A499" s="82"/>
    </row>
    <row r="500" spans="1:1" x14ac:dyDescent="0.3">
      <c r="A500" s="62"/>
    </row>
    <row r="501" spans="1:1" x14ac:dyDescent="0.3">
      <c r="A501" s="61" t="s">
        <v>1894</v>
      </c>
    </row>
    <row r="502" spans="1:1" x14ac:dyDescent="0.3">
      <c r="A502" s="82"/>
    </row>
    <row r="503" spans="1:1" x14ac:dyDescent="0.3">
      <c r="A503" s="62"/>
    </row>
    <row r="504" spans="1:1" x14ac:dyDescent="0.3">
      <c r="A504" s="61" t="s">
        <v>1895</v>
      </c>
    </row>
    <row r="505" spans="1:1" x14ac:dyDescent="0.3">
      <c r="A505" s="82"/>
    </row>
    <row r="506" spans="1:1" x14ac:dyDescent="0.3">
      <c r="A506" s="62"/>
    </row>
    <row r="507" spans="1:1" x14ac:dyDescent="0.3">
      <c r="A507" s="61" t="s">
        <v>1896</v>
      </c>
    </row>
    <row r="508" spans="1:1" x14ac:dyDescent="0.3">
      <c r="A508" s="82"/>
    </row>
    <row r="509" spans="1:1" x14ac:dyDescent="0.3">
      <c r="A509" s="62"/>
    </row>
    <row r="510" spans="1:1" x14ac:dyDescent="0.3">
      <c r="A510" s="61" t="s">
        <v>1897</v>
      </c>
    </row>
    <row r="511" spans="1:1" x14ac:dyDescent="0.3">
      <c r="A511" s="82"/>
    </row>
    <row r="512" spans="1:1" x14ac:dyDescent="0.3">
      <c r="A512" s="62"/>
    </row>
    <row r="513" spans="1:1" x14ac:dyDescent="0.3">
      <c r="A513" s="61" t="s">
        <v>1898</v>
      </c>
    </row>
    <row r="514" spans="1:1" x14ac:dyDescent="0.3">
      <c r="A514" s="82"/>
    </row>
    <row r="515" spans="1:1" x14ac:dyDescent="0.3">
      <c r="A515" s="62"/>
    </row>
    <row r="516" spans="1:1" x14ac:dyDescent="0.3">
      <c r="A516" s="61" t="s">
        <v>1899</v>
      </c>
    </row>
    <row r="517" spans="1:1" x14ac:dyDescent="0.3">
      <c r="A517" s="82"/>
    </row>
    <row r="518" spans="1:1" x14ac:dyDescent="0.3">
      <c r="A518" s="62"/>
    </row>
    <row r="519" spans="1:1" x14ac:dyDescent="0.3">
      <c r="A519" s="64" t="s">
        <v>6453</v>
      </c>
    </row>
    <row r="520" spans="1:1" x14ac:dyDescent="0.3">
      <c r="A520" s="63"/>
    </row>
    <row r="521" spans="1:1" x14ac:dyDescent="0.3">
      <c r="A521" s="65"/>
    </row>
    <row r="522" spans="1:1" x14ac:dyDescent="0.3">
      <c r="A522" s="64" t="s">
        <v>6454</v>
      </c>
    </row>
    <row r="523" spans="1:1" x14ac:dyDescent="0.3">
      <c r="A523" s="63"/>
    </row>
    <row r="524" spans="1:1" x14ac:dyDescent="0.3">
      <c r="A524" s="65"/>
    </row>
    <row r="525" spans="1:1" x14ac:dyDescent="0.3">
      <c r="A525" s="64" t="s">
        <v>1907</v>
      </c>
    </row>
    <row r="526" spans="1:1" x14ac:dyDescent="0.3">
      <c r="A526" s="65"/>
    </row>
    <row r="527" spans="1:1" x14ac:dyDescent="0.3">
      <c r="A527" s="64" t="s">
        <v>1908</v>
      </c>
    </row>
    <row r="528" spans="1:1" x14ac:dyDescent="0.3">
      <c r="A528" s="65"/>
    </row>
    <row r="529" spans="1:1" x14ac:dyDescent="0.3">
      <c r="A529" s="64" t="s">
        <v>1909</v>
      </c>
    </row>
    <row r="530" spans="1:1" x14ac:dyDescent="0.3">
      <c r="A530" s="63"/>
    </row>
    <row r="531" spans="1:1" x14ac:dyDescent="0.3">
      <c r="A531" s="65"/>
    </row>
    <row r="532" spans="1:1" x14ac:dyDescent="0.3">
      <c r="A532" s="64" t="s">
        <v>1910</v>
      </c>
    </row>
    <row r="533" spans="1:1" x14ac:dyDescent="0.3">
      <c r="A533" s="63"/>
    </row>
    <row r="534" spans="1:1" x14ac:dyDescent="0.3">
      <c r="A534" s="65"/>
    </row>
    <row r="535" spans="1:1" x14ac:dyDescent="0.3">
      <c r="A535" s="66" t="s">
        <v>1911</v>
      </c>
    </row>
    <row r="536" spans="1:1" x14ac:dyDescent="0.3">
      <c r="A536" s="74"/>
    </row>
    <row r="537" spans="1:1" x14ac:dyDescent="0.3">
      <c r="A537" s="67"/>
    </row>
    <row r="538" spans="1:1" x14ac:dyDescent="0.3">
      <c r="A538" s="64" t="s">
        <v>6455</v>
      </c>
    </row>
    <row r="539" spans="1:1" x14ac:dyDescent="0.3">
      <c r="A539" s="63"/>
    </row>
    <row r="540" spans="1:1" x14ac:dyDescent="0.3">
      <c r="A540" s="65"/>
    </row>
    <row r="541" spans="1:1" x14ac:dyDescent="0.3">
      <c r="A541" s="64" t="s">
        <v>1919</v>
      </c>
    </row>
    <row r="542" spans="1:1" x14ac:dyDescent="0.3">
      <c r="A542" s="65"/>
    </row>
    <row r="543" spans="1:1" x14ac:dyDescent="0.3">
      <c r="A543" s="64" t="s">
        <v>1920</v>
      </c>
    </row>
    <row r="544" spans="1:1" x14ac:dyDescent="0.3">
      <c r="A544" s="65"/>
    </row>
    <row r="545" spans="1:1" x14ac:dyDescent="0.3">
      <c r="A545" s="64" t="s">
        <v>1921</v>
      </c>
    </row>
    <row r="546" spans="1:1" x14ac:dyDescent="0.3">
      <c r="A546" s="65"/>
    </row>
    <row r="547" spans="1:1" x14ac:dyDescent="0.3">
      <c r="A547" s="64" t="s">
        <v>1922</v>
      </c>
    </row>
    <row r="548" spans="1:1" x14ac:dyDescent="0.3">
      <c r="A548" s="65"/>
    </row>
    <row r="549" spans="1:1" x14ac:dyDescent="0.3">
      <c r="A549" s="64" t="s">
        <v>1923</v>
      </c>
    </row>
    <row r="550" spans="1:1" x14ac:dyDescent="0.3">
      <c r="A550" s="63"/>
    </row>
    <row r="551" spans="1:1" x14ac:dyDescent="0.3">
      <c r="A551" s="65"/>
    </row>
    <row r="552" spans="1:1" x14ac:dyDescent="0.3">
      <c r="A552" s="64" t="s">
        <v>1924</v>
      </c>
    </row>
    <row r="553" spans="1:1" x14ac:dyDescent="0.3">
      <c r="A553" s="63"/>
    </row>
    <row r="554" spans="1:1" x14ac:dyDescent="0.3">
      <c r="A554" s="65"/>
    </row>
    <row r="555" spans="1:1" x14ac:dyDescent="0.3">
      <c r="A555" s="68" t="s">
        <v>1926</v>
      </c>
    </row>
    <row r="556" spans="1:1" x14ac:dyDescent="0.3">
      <c r="A556" s="69"/>
    </row>
    <row r="557" spans="1:1" x14ac:dyDescent="0.3">
      <c r="A557" s="70"/>
    </row>
    <row r="558" spans="1:1" x14ac:dyDescent="0.3">
      <c r="A558" s="68" t="s">
        <v>1933</v>
      </c>
    </row>
    <row r="559" spans="1:1" x14ac:dyDescent="0.3">
      <c r="A559" s="69"/>
    </row>
    <row r="560" spans="1:1" x14ac:dyDescent="0.3">
      <c r="A560" s="70"/>
    </row>
    <row r="561" spans="1:1" x14ac:dyDescent="0.3">
      <c r="A561" s="59" t="s">
        <v>1935</v>
      </c>
    </row>
    <row r="562" spans="1:1" x14ac:dyDescent="0.3">
      <c r="A562" s="81"/>
    </row>
    <row r="563" spans="1:1" x14ac:dyDescent="0.3">
      <c r="A563" s="60"/>
    </row>
    <row r="564" spans="1:1" x14ac:dyDescent="0.3">
      <c r="A564" s="59" t="s">
        <v>1944</v>
      </c>
    </row>
    <row r="565" spans="1:1" x14ac:dyDescent="0.3">
      <c r="A565" s="81"/>
    </row>
    <row r="566" spans="1:1" x14ac:dyDescent="0.3">
      <c r="A566" s="60"/>
    </row>
    <row r="567" spans="1:1" x14ac:dyDescent="0.3">
      <c r="A567" s="61" t="s">
        <v>1945</v>
      </c>
    </row>
    <row r="568" spans="1:1" x14ac:dyDescent="0.3">
      <c r="A568" s="82"/>
    </row>
    <row r="569" spans="1:1" x14ac:dyDescent="0.3">
      <c r="A569" s="62"/>
    </row>
    <row r="570" spans="1:1" x14ac:dyDescent="0.3">
      <c r="A570" s="64" t="s">
        <v>1946</v>
      </c>
    </row>
    <row r="571" spans="1:1" x14ac:dyDescent="0.3">
      <c r="A571" s="63"/>
    </row>
    <row r="572" spans="1:1" x14ac:dyDescent="0.3">
      <c r="A572" s="65"/>
    </row>
    <row r="573" spans="1:1" x14ac:dyDescent="0.3">
      <c r="A573" s="68" t="s">
        <v>1948</v>
      </c>
    </row>
    <row r="574" spans="1:1" x14ac:dyDescent="0.3">
      <c r="A574" s="69"/>
    </row>
    <row r="575" spans="1:1" x14ac:dyDescent="0.3">
      <c r="A575" s="70"/>
    </row>
    <row r="576" spans="1:1" x14ac:dyDescent="0.3">
      <c r="A576" s="64" t="s">
        <v>1957</v>
      </c>
    </row>
    <row r="577" spans="1:1" x14ac:dyDescent="0.3">
      <c r="A577" s="63"/>
    </row>
    <row r="578" spans="1:1" x14ac:dyDescent="0.3">
      <c r="A578" s="65"/>
    </row>
    <row r="579" spans="1:1" x14ac:dyDescent="0.3">
      <c r="A579" s="64" t="s">
        <v>1961</v>
      </c>
    </row>
    <row r="580" spans="1:1" x14ac:dyDescent="0.3">
      <c r="A580" s="63"/>
    </row>
    <row r="581" spans="1:1" x14ac:dyDescent="0.3">
      <c r="A581" s="65"/>
    </row>
    <row r="582" spans="1:1" x14ac:dyDescent="0.3">
      <c r="A582" s="64" t="s">
        <v>1962</v>
      </c>
    </row>
    <row r="583" spans="1:1" x14ac:dyDescent="0.3">
      <c r="A583" s="65"/>
    </row>
    <row r="584" spans="1:1" ht="60" x14ac:dyDescent="0.3">
      <c r="A584" s="28" t="s">
        <v>1964</v>
      </c>
    </row>
    <row r="585" spans="1:1" ht="60" x14ac:dyDescent="0.3">
      <c r="A585" s="28" t="s">
        <v>1965</v>
      </c>
    </row>
    <row r="586" spans="1:1" x14ac:dyDescent="0.3">
      <c r="A586" s="64" t="s">
        <v>1966</v>
      </c>
    </row>
    <row r="587" spans="1:1" x14ac:dyDescent="0.3">
      <c r="A587" s="65"/>
    </row>
    <row r="588" spans="1:1" x14ac:dyDescent="0.3">
      <c r="A588" s="64" t="s">
        <v>1967</v>
      </c>
    </row>
    <row r="589" spans="1:1" x14ac:dyDescent="0.3">
      <c r="A589" s="63"/>
    </row>
    <row r="590" spans="1:1" x14ac:dyDescent="0.3">
      <c r="A590" s="65"/>
    </row>
    <row r="591" spans="1:1" x14ac:dyDescent="0.3">
      <c r="A591" s="64" t="s">
        <v>1968</v>
      </c>
    </row>
    <row r="592" spans="1:1" x14ac:dyDescent="0.3">
      <c r="A592" s="63"/>
    </row>
    <row r="593" spans="1:1" x14ac:dyDescent="0.3">
      <c r="A593" s="65"/>
    </row>
    <row r="594" spans="1:1" x14ac:dyDescent="0.3">
      <c r="A594" s="61" t="s">
        <v>1969</v>
      </c>
    </row>
    <row r="595" spans="1:1" x14ac:dyDescent="0.3">
      <c r="A595" s="82"/>
    </row>
    <row r="596" spans="1:1" x14ac:dyDescent="0.3">
      <c r="A596" s="62"/>
    </row>
    <row r="597" spans="1:1" x14ac:dyDescent="0.3">
      <c r="A597" s="64" t="s">
        <v>1970</v>
      </c>
    </row>
    <row r="598" spans="1:1" x14ac:dyDescent="0.3">
      <c r="A598" s="63"/>
    </row>
    <row r="599" spans="1:1" x14ac:dyDescent="0.3">
      <c r="A599" s="65"/>
    </row>
    <row r="600" spans="1:1" x14ac:dyDescent="0.3">
      <c r="A600" s="64" t="s">
        <v>1971</v>
      </c>
    </row>
    <row r="601" spans="1:1" x14ac:dyDescent="0.3">
      <c r="A601" s="63"/>
    </row>
    <row r="602" spans="1:1" x14ac:dyDescent="0.3">
      <c r="A602" s="65"/>
    </row>
    <row r="603" spans="1:1" x14ac:dyDescent="0.3">
      <c r="A603" s="59" t="s">
        <v>1975</v>
      </c>
    </row>
    <row r="604" spans="1:1" x14ac:dyDescent="0.3">
      <c r="A604" s="81"/>
    </row>
    <row r="605" spans="1:1" x14ac:dyDescent="0.3">
      <c r="A605" s="81"/>
    </row>
    <row r="606" spans="1:1" x14ac:dyDescent="0.3">
      <c r="A606" s="60"/>
    </row>
    <row r="607" spans="1:1" x14ac:dyDescent="0.3">
      <c r="A607" s="64" t="s">
        <v>1981</v>
      </c>
    </row>
    <row r="608" spans="1:1" x14ac:dyDescent="0.3">
      <c r="A608" s="63"/>
    </row>
    <row r="609" spans="1:1" x14ac:dyDescent="0.3">
      <c r="A609" s="63"/>
    </row>
    <row r="610" spans="1:1" x14ac:dyDescent="0.3">
      <c r="A610" s="65"/>
    </row>
    <row r="611" spans="1:1" x14ac:dyDescent="0.3">
      <c r="A611" s="59" t="s">
        <v>1983</v>
      </c>
    </row>
    <row r="612" spans="1:1" x14ac:dyDescent="0.3">
      <c r="A612" s="81"/>
    </row>
    <row r="613" spans="1:1" x14ac:dyDescent="0.3">
      <c r="A613" s="81"/>
    </row>
    <row r="614" spans="1:1" x14ac:dyDescent="0.3">
      <c r="A614" s="60"/>
    </row>
    <row r="615" spans="1:1" x14ac:dyDescent="0.3">
      <c r="A615" s="59" t="s">
        <v>1986</v>
      </c>
    </row>
    <row r="616" spans="1:1" x14ac:dyDescent="0.3">
      <c r="A616" s="81"/>
    </row>
    <row r="617" spans="1:1" x14ac:dyDescent="0.3">
      <c r="A617" s="60"/>
    </row>
    <row r="618" spans="1:1" ht="90" x14ac:dyDescent="0.3">
      <c r="A618" s="28" t="s">
        <v>1989</v>
      </c>
    </row>
    <row r="619" spans="1:1" ht="105" x14ac:dyDescent="0.3">
      <c r="A619" s="28" t="s">
        <v>2000</v>
      </c>
    </row>
    <row r="620" spans="1:1" ht="105" x14ac:dyDescent="0.3">
      <c r="A620" s="28" t="s">
        <v>2004</v>
      </c>
    </row>
    <row r="621" spans="1:1" ht="105" x14ac:dyDescent="0.3">
      <c r="A621" s="28" t="s">
        <v>2005</v>
      </c>
    </row>
    <row r="622" spans="1:1" x14ac:dyDescent="0.3">
      <c r="A622" s="64" t="s">
        <v>2007</v>
      </c>
    </row>
    <row r="623" spans="1:1" x14ac:dyDescent="0.3">
      <c r="A623" s="65"/>
    </row>
    <row r="624" spans="1:1" ht="90" x14ac:dyDescent="0.3">
      <c r="A624" s="28" t="s">
        <v>2013</v>
      </c>
    </row>
    <row r="625" spans="1:1" ht="105" x14ac:dyDescent="0.3">
      <c r="A625" s="28" t="s">
        <v>2019</v>
      </c>
    </row>
    <row r="626" spans="1:1" ht="105" x14ac:dyDescent="0.3">
      <c r="A626" s="28" t="s">
        <v>2022</v>
      </c>
    </row>
    <row r="627" spans="1:1" ht="105" x14ac:dyDescent="0.3">
      <c r="A627" s="28" t="s">
        <v>2023</v>
      </c>
    </row>
    <row r="628" spans="1:1" ht="105" x14ac:dyDescent="0.3">
      <c r="A628" s="28" t="s">
        <v>2025</v>
      </c>
    </row>
    <row r="629" spans="1:1" ht="75" x14ac:dyDescent="0.3">
      <c r="A629" s="28" t="s">
        <v>2027</v>
      </c>
    </row>
    <row r="630" spans="1:1" ht="75" x14ac:dyDescent="0.3">
      <c r="A630" s="28" t="s">
        <v>2032</v>
      </c>
    </row>
    <row r="631" spans="1:1" ht="90" x14ac:dyDescent="0.3">
      <c r="A631" s="28" t="s">
        <v>2035</v>
      </c>
    </row>
    <row r="632" spans="1:1" ht="90" x14ac:dyDescent="0.3">
      <c r="A632" s="28" t="s">
        <v>2038</v>
      </c>
    </row>
    <row r="633" spans="1:1" ht="90" x14ac:dyDescent="0.3">
      <c r="A633" s="28" t="s">
        <v>2040</v>
      </c>
    </row>
    <row r="634" spans="1:1" ht="90" x14ac:dyDescent="0.3">
      <c r="A634" s="28" t="s">
        <v>2047</v>
      </c>
    </row>
    <row r="635" spans="1:1" ht="75" x14ac:dyDescent="0.3">
      <c r="A635" s="28" t="s">
        <v>2050</v>
      </c>
    </row>
    <row r="636" spans="1:1" ht="75" x14ac:dyDescent="0.3">
      <c r="A636" s="28" t="s">
        <v>2055</v>
      </c>
    </row>
    <row r="637" spans="1:1" x14ac:dyDescent="0.3">
      <c r="A637" s="64" t="s">
        <v>2057</v>
      </c>
    </row>
    <row r="638" spans="1:1" x14ac:dyDescent="0.3">
      <c r="A638" s="65"/>
    </row>
    <row r="639" spans="1:1" ht="90" x14ac:dyDescent="0.3">
      <c r="A639" s="28" t="s">
        <v>2062</v>
      </c>
    </row>
    <row r="640" spans="1:1" ht="90" x14ac:dyDescent="0.3">
      <c r="A640" s="28" t="s">
        <v>2063</v>
      </c>
    </row>
    <row r="641" spans="1:1" ht="90" x14ac:dyDescent="0.3">
      <c r="A641" s="28" t="s">
        <v>2065</v>
      </c>
    </row>
    <row r="642" spans="1:1" ht="75" x14ac:dyDescent="0.3">
      <c r="A642" s="28" t="s">
        <v>2067</v>
      </c>
    </row>
    <row r="643" spans="1:1" ht="75" x14ac:dyDescent="0.3">
      <c r="A643" s="28" t="s">
        <v>2072</v>
      </c>
    </row>
    <row r="644" spans="1:1" ht="90" x14ac:dyDescent="0.3">
      <c r="A644" s="28" t="s">
        <v>2076</v>
      </c>
    </row>
    <row r="645" spans="1:1" ht="90" x14ac:dyDescent="0.3">
      <c r="A645" s="28" t="s">
        <v>2079</v>
      </c>
    </row>
    <row r="646" spans="1:1" ht="90" x14ac:dyDescent="0.3">
      <c r="A646" s="28" t="s">
        <v>2080</v>
      </c>
    </row>
    <row r="647" spans="1:1" ht="90" x14ac:dyDescent="0.3">
      <c r="A647" s="28" t="s">
        <v>2082</v>
      </c>
    </row>
    <row r="648" spans="1:1" ht="90" x14ac:dyDescent="0.3">
      <c r="A648" s="28" t="s">
        <v>2086</v>
      </c>
    </row>
    <row r="649" spans="1:1" ht="90" x14ac:dyDescent="0.3">
      <c r="A649" s="28" t="s">
        <v>2098</v>
      </c>
    </row>
    <row r="650" spans="1:1" ht="90" x14ac:dyDescent="0.3">
      <c r="A650" s="28" t="s">
        <v>2102</v>
      </c>
    </row>
    <row r="651" spans="1:1" ht="90" x14ac:dyDescent="0.3">
      <c r="A651" s="28" t="s">
        <v>2105</v>
      </c>
    </row>
    <row r="652" spans="1:1" ht="90" x14ac:dyDescent="0.3">
      <c r="A652" s="28" t="s">
        <v>2106</v>
      </c>
    </row>
    <row r="653" spans="1:1" ht="90" x14ac:dyDescent="0.3">
      <c r="A653" s="28" t="s">
        <v>2109</v>
      </c>
    </row>
    <row r="654" spans="1:1" ht="90" x14ac:dyDescent="0.3">
      <c r="A654" s="28" t="s">
        <v>2111</v>
      </c>
    </row>
    <row r="655" spans="1:1" ht="90" x14ac:dyDescent="0.3">
      <c r="A655" s="28" t="s">
        <v>2117</v>
      </c>
    </row>
    <row r="656" spans="1:1" x14ac:dyDescent="0.3">
      <c r="A656" s="64" t="s">
        <v>2122</v>
      </c>
    </row>
    <row r="657" spans="1:1" x14ac:dyDescent="0.3">
      <c r="A657" s="65"/>
    </row>
    <row r="658" spans="1:1" ht="90" x14ac:dyDescent="0.3">
      <c r="A658" s="28" t="s">
        <v>2126</v>
      </c>
    </row>
    <row r="659" spans="1:1" ht="90" x14ac:dyDescent="0.3">
      <c r="A659" s="28" t="s">
        <v>2127</v>
      </c>
    </row>
    <row r="660" spans="1:1" ht="90" x14ac:dyDescent="0.3">
      <c r="A660" s="28" t="s">
        <v>2130</v>
      </c>
    </row>
    <row r="661" spans="1:1" ht="90" x14ac:dyDescent="0.3">
      <c r="A661" s="28" t="s">
        <v>2132</v>
      </c>
    </row>
    <row r="662" spans="1:1" ht="90" x14ac:dyDescent="0.3">
      <c r="A662" s="28" t="s">
        <v>2136</v>
      </c>
    </row>
    <row r="663" spans="1:1" ht="90" x14ac:dyDescent="0.3">
      <c r="A663" s="28" t="s">
        <v>2139</v>
      </c>
    </row>
    <row r="664" spans="1:1" ht="90" x14ac:dyDescent="0.3">
      <c r="A664" s="28" t="s">
        <v>2143</v>
      </c>
    </row>
    <row r="665" spans="1:1" ht="90" x14ac:dyDescent="0.3">
      <c r="A665" s="28" t="s">
        <v>2144</v>
      </c>
    </row>
    <row r="666" spans="1:1" ht="90" x14ac:dyDescent="0.3">
      <c r="A666" s="28" t="s">
        <v>2147</v>
      </c>
    </row>
    <row r="667" spans="1:1" ht="90" x14ac:dyDescent="0.3">
      <c r="A667" s="28" t="s">
        <v>2150</v>
      </c>
    </row>
    <row r="668" spans="1:1" ht="90" x14ac:dyDescent="0.3">
      <c r="A668" s="28" t="s">
        <v>2161</v>
      </c>
    </row>
    <row r="669" spans="1:1" ht="90" x14ac:dyDescent="0.3">
      <c r="A669" s="28" t="s">
        <v>2165</v>
      </c>
    </row>
    <row r="670" spans="1:1" ht="90" x14ac:dyDescent="0.3">
      <c r="A670" s="28" t="s">
        <v>2166</v>
      </c>
    </row>
    <row r="671" spans="1:1" ht="90" x14ac:dyDescent="0.3">
      <c r="A671" s="28" t="s">
        <v>2168</v>
      </c>
    </row>
    <row r="672" spans="1:1" ht="90" x14ac:dyDescent="0.3">
      <c r="A672" s="28" t="s">
        <v>2171</v>
      </c>
    </row>
    <row r="673" spans="1:1" ht="90" x14ac:dyDescent="0.3">
      <c r="A673" s="28" t="s">
        <v>2177</v>
      </c>
    </row>
    <row r="674" spans="1:1" ht="90" x14ac:dyDescent="0.3">
      <c r="A674" s="28" t="s">
        <v>2181</v>
      </c>
    </row>
    <row r="675" spans="1:1" ht="90" x14ac:dyDescent="0.3">
      <c r="A675" s="28" t="s">
        <v>2182</v>
      </c>
    </row>
    <row r="676" spans="1:1" ht="90" x14ac:dyDescent="0.3">
      <c r="A676" s="28" t="s">
        <v>2185</v>
      </c>
    </row>
    <row r="677" spans="1:1" x14ac:dyDescent="0.3">
      <c r="A677" s="64" t="s">
        <v>2188</v>
      </c>
    </row>
    <row r="678" spans="1:1" x14ac:dyDescent="0.3">
      <c r="A678" s="65"/>
    </row>
    <row r="679" spans="1:1" x14ac:dyDescent="0.3">
      <c r="A679" s="64" t="s">
        <v>2196</v>
      </c>
    </row>
    <row r="680" spans="1:1" x14ac:dyDescent="0.3">
      <c r="A680" s="65"/>
    </row>
    <row r="681" spans="1:1" x14ac:dyDescent="0.3">
      <c r="A681" s="79" t="s">
        <v>2197</v>
      </c>
    </row>
    <row r="682" spans="1:1" x14ac:dyDescent="0.3">
      <c r="A682" s="80"/>
    </row>
    <row r="683" spans="1:1" x14ac:dyDescent="0.3">
      <c r="A683" s="79" t="s">
        <v>2200</v>
      </c>
    </row>
    <row r="684" spans="1:1" x14ac:dyDescent="0.3">
      <c r="A684" s="80"/>
    </row>
    <row r="685" spans="1:1" x14ac:dyDescent="0.3">
      <c r="A685" s="64" t="s">
        <v>2201</v>
      </c>
    </row>
    <row r="686" spans="1:1" x14ac:dyDescent="0.3">
      <c r="A686" s="65"/>
    </row>
    <row r="687" spans="1:1" x14ac:dyDescent="0.3">
      <c r="A687" s="64" t="s">
        <v>2205</v>
      </c>
    </row>
    <row r="688" spans="1:1" x14ac:dyDescent="0.3">
      <c r="A688" s="65"/>
    </row>
    <row r="689" spans="1:1" x14ac:dyDescent="0.3">
      <c r="A689" s="64" t="s">
        <v>2207</v>
      </c>
    </row>
    <row r="690" spans="1:1" x14ac:dyDescent="0.3">
      <c r="A690" s="63"/>
    </row>
    <row r="691" spans="1:1" x14ac:dyDescent="0.3">
      <c r="A691" s="65"/>
    </row>
    <row r="692" spans="1:1" x14ac:dyDescent="0.3">
      <c r="A692" s="64" t="s">
        <v>2215</v>
      </c>
    </row>
    <row r="693" spans="1:1" x14ac:dyDescent="0.3">
      <c r="A693" s="63"/>
    </row>
    <row r="694" spans="1:1" x14ac:dyDescent="0.3">
      <c r="A694" s="65"/>
    </row>
    <row r="695" spans="1:1" ht="105" x14ac:dyDescent="0.3">
      <c r="A695" s="28" t="s">
        <v>2216</v>
      </c>
    </row>
    <row r="696" spans="1:1" ht="120" x14ac:dyDescent="0.3">
      <c r="A696" s="28" t="s">
        <v>2222</v>
      </c>
    </row>
    <row r="697" spans="1:1" ht="105" x14ac:dyDescent="0.3">
      <c r="A697" s="28" t="s">
        <v>2223</v>
      </c>
    </row>
    <row r="698" spans="1:1" ht="120" x14ac:dyDescent="0.3">
      <c r="A698" s="28" t="s">
        <v>2229</v>
      </c>
    </row>
    <row r="699" spans="1:1" ht="105" x14ac:dyDescent="0.3">
      <c r="A699" s="28" t="s">
        <v>2230</v>
      </c>
    </row>
    <row r="700" spans="1:1" ht="120" x14ac:dyDescent="0.3">
      <c r="A700" s="28" t="s">
        <v>2236</v>
      </c>
    </row>
    <row r="701" spans="1:1" ht="105" x14ac:dyDescent="0.3">
      <c r="A701" s="28" t="s">
        <v>2237</v>
      </c>
    </row>
    <row r="702" spans="1:1" ht="120" x14ac:dyDescent="0.3">
      <c r="A702" s="28" t="s">
        <v>2242</v>
      </c>
    </row>
    <row r="703" spans="1:1" ht="60" x14ac:dyDescent="0.3">
      <c r="A703" s="28" t="s">
        <v>2244</v>
      </c>
    </row>
    <row r="704" spans="1:1" ht="60" x14ac:dyDescent="0.3">
      <c r="A704" s="28" t="s">
        <v>2253</v>
      </c>
    </row>
    <row r="705" spans="1:1" ht="60" x14ac:dyDescent="0.3">
      <c r="A705" s="28" t="s">
        <v>2257</v>
      </c>
    </row>
    <row r="706" spans="1:1" x14ac:dyDescent="0.3">
      <c r="A706" s="64" t="s">
        <v>2259</v>
      </c>
    </row>
    <row r="707" spans="1:1" x14ac:dyDescent="0.3">
      <c r="A707" s="63"/>
    </row>
    <row r="708" spans="1:1" x14ac:dyDescent="0.3">
      <c r="A708" s="65"/>
    </row>
    <row r="709" spans="1:1" x14ac:dyDescent="0.3">
      <c r="A709" s="59" t="s">
        <v>2264</v>
      </c>
    </row>
    <row r="710" spans="1:1" x14ac:dyDescent="0.3">
      <c r="A710" s="60"/>
    </row>
    <row r="711" spans="1:1" ht="90" x14ac:dyDescent="0.3">
      <c r="A711" s="28" t="s">
        <v>2269</v>
      </c>
    </row>
    <row r="712" spans="1:1" ht="90" x14ac:dyDescent="0.3">
      <c r="A712" s="28" t="s">
        <v>2275</v>
      </c>
    </row>
    <row r="713" spans="1:1" ht="90" x14ac:dyDescent="0.3">
      <c r="A713" s="28" t="s">
        <v>2278</v>
      </c>
    </row>
    <row r="714" spans="1:1" x14ac:dyDescent="0.3">
      <c r="A714" s="66" t="s">
        <v>2282</v>
      </c>
    </row>
    <row r="715" spans="1:1" x14ac:dyDescent="0.3">
      <c r="A715" s="67"/>
    </row>
    <row r="716" spans="1:1" x14ac:dyDescent="0.3">
      <c r="A716" s="66" t="s">
        <v>2291</v>
      </c>
    </row>
    <row r="717" spans="1:1" x14ac:dyDescent="0.3">
      <c r="A717" s="67"/>
    </row>
    <row r="718" spans="1:1" ht="45" x14ac:dyDescent="0.3">
      <c r="A718" s="19" t="s">
        <v>2298</v>
      </c>
    </row>
    <row r="719" spans="1:1" x14ac:dyDescent="0.3">
      <c r="A719" s="66" t="s">
        <v>2308</v>
      </c>
    </row>
    <row r="720" spans="1:1" x14ac:dyDescent="0.3">
      <c r="A720" s="74"/>
    </row>
    <row r="721" spans="1:1" x14ac:dyDescent="0.3">
      <c r="A721" s="74"/>
    </row>
    <row r="722" spans="1:1" x14ac:dyDescent="0.3">
      <c r="A722" s="67"/>
    </row>
    <row r="723" spans="1:1" ht="45" x14ac:dyDescent="0.3">
      <c r="A723" s="19" t="s">
        <v>2315</v>
      </c>
    </row>
    <row r="724" spans="1:1" x14ac:dyDescent="0.3">
      <c r="A724" s="68" t="s">
        <v>2321</v>
      </c>
    </row>
    <row r="725" spans="1:1" x14ac:dyDescent="0.3">
      <c r="A725" s="70"/>
    </row>
    <row r="726" spans="1:1" x14ac:dyDescent="0.3">
      <c r="A726" s="68" t="s">
        <v>2331</v>
      </c>
    </row>
    <row r="727" spans="1:1" x14ac:dyDescent="0.3">
      <c r="A727" s="70"/>
    </row>
    <row r="728" spans="1:1" ht="60" x14ac:dyDescent="0.3">
      <c r="A728" s="19" t="s">
        <v>2335</v>
      </c>
    </row>
    <row r="729" spans="1:1" x14ac:dyDescent="0.3">
      <c r="A729" s="77" t="s">
        <v>2343</v>
      </c>
    </row>
    <row r="730" spans="1:1" x14ac:dyDescent="0.3">
      <c r="A730" s="78"/>
    </row>
    <row r="731" spans="1:1" x14ac:dyDescent="0.3">
      <c r="A731" s="68" t="s">
        <v>2346</v>
      </c>
    </row>
    <row r="732" spans="1:1" x14ac:dyDescent="0.3">
      <c r="A732" s="70"/>
    </row>
    <row r="733" spans="1:1" ht="60" x14ac:dyDescent="0.3">
      <c r="A733" s="19" t="s">
        <v>2347</v>
      </c>
    </row>
    <row r="734" spans="1:1" x14ac:dyDescent="0.3">
      <c r="A734" s="64" t="s">
        <v>2349</v>
      </c>
    </row>
    <row r="735" spans="1:1" x14ac:dyDescent="0.3">
      <c r="A735" s="65"/>
    </row>
    <row r="736" spans="1:1" x14ac:dyDescent="0.3">
      <c r="A736" s="64" t="s">
        <v>2359</v>
      </c>
    </row>
    <row r="737" spans="1:1" x14ac:dyDescent="0.3">
      <c r="A737" s="65"/>
    </row>
    <row r="738" spans="1:1" x14ac:dyDescent="0.3">
      <c r="A738" s="64" t="s">
        <v>2360</v>
      </c>
    </row>
    <row r="739" spans="1:1" x14ac:dyDescent="0.3">
      <c r="A739" s="65"/>
    </row>
    <row r="740" spans="1:1" x14ac:dyDescent="0.3">
      <c r="A740" s="68" t="s">
        <v>2364</v>
      </c>
    </row>
    <row r="741" spans="1:1" x14ac:dyDescent="0.3">
      <c r="A741" s="70"/>
    </row>
    <row r="742" spans="1:1" x14ac:dyDescent="0.3">
      <c r="A742" s="66" t="s">
        <v>2365</v>
      </c>
    </row>
    <row r="743" spans="1:1" x14ac:dyDescent="0.3">
      <c r="A743" s="67"/>
    </row>
    <row r="744" spans="1:1" x14ac:dyDescent="0.3">
      <c r="A744" s="64" t="s">
        <v>2368</v>
      </c>
    </row>
    <row r="745" spans="1:1" x14ac:dyDescent="0.3">
      <c r="A745" s="65"/>
    </row>
    <row r="746" spans="1:1" ht="75" x14ac:dyDescent="0.3">
      <c r="A746" s="19" t="s">
        <v>2370</v>
      </c>
    </row>
    <row r="747" spans="1:1" x14ac:dyDescent="0.3">
      <c r="A747" s="68" t="s">
        <v>2378</v>
      </c>
    </row>
    <row r="748" spans="1:1" x14ac:dyDescent="0.3">
      <c r="A748" s="69"/>
    </row>
    <row r="749" spans="1:1" x14ac:dyDescent="0.3">
      <c r="A749" s="69"/>
    </row>
    <row r="750" spans="1:1" x14ac:dyDescent="0.3">
      <c r="A750" s="70"/>
    </row>
    <row r="751" spans="1:1" ht="75" x14ac:dyDescent="0.3">
      <c r="A751" s="19" t="s">
        <v>2381</v>
      </c>
    </row>
    <row r="752" spans="1:1" ht="75" x14ac:dyDescent="0.3">
      <c r="A752" s="19" t="s">
        <v>2383</v>
      </c>
    </row>
    <row r="753" spans="1:1" x14ac:dyDescent="0.3">
      <c r="A753" s="68" t="s">
        <v>2390</v>
      </c>
    </row>
    <row r="754" spans="1:1" x14ac:dyDescent="0.3">
      <c r="A754" s="69"/>
    </row>
    <row r="755" spans="1:1" x14ac:dyDescent="0.3">
      <c r="A755" s="69"/>
    </row>
    <row r="756" spans="1:1" x14ac:dyDescent="0.3">
      <c r="A756" s="70"/>
    </row>
    <row r="757" spans="1:1" ht="75" x14ac:dyDescent="0.3">
      <c r="A757" s="19" t="s">
        <v>2391</v>
      </c>
    </row>
    <row r="758" spans="1:1" x14ac:dyDescent="0.3">
      <c r="A758" s="66" t="s">
        <v>2393</v>
      </c>
    </row>
    <row r="759" spans="1:1" x14ac:dyDescent="0.3">
      <c r="A759" s="67"/>
    </row>
    <row r="760" spans="1:1" x14ac:dyDescent="0.3">
      <c r="A760" s="71" t="s">
        <v>2404</v>
      </c>
    </row>
    <row r="761" spans="1:1" x14ac:dyDescent="0.3">
      <c r="A761" s="73"/>
    </row>
    <row r="762" spans="1:1" ht="90" x14ac:dyDescent="0.3">
      <c r="A762" s="19" t="s">
        <v>2407</v>
      </c>
    </row>
    <row r="763" spans="1:1" x14ac:dyDescent="0.3">
      <c r="A763" s="75" t="s">
        <v>2415</v>
      </c>
    </row>
    <row r="764" spans="1:1" x14ac:dyDescent="0.3">
      <c r="A764" s="76"/>
    </row>
    <row r="765" spans="1:1" x14ac:dyDescent="0.3">
      <c r="A765" s="75" t="s">
        <v>2416</v>
      </c>
    </row>
    <row r="766" spans="1:1" x14ac:dyDescent="0.3">
      <c r="A766" s="76"/>
    </row>
    <row r="767" spans="1:1" ht="90" x14ac:dyDescent="0.3">
      <c r="A767" s="19" t="s">
        <v>2417</v>
      </c>
    </row>
    <row r="768" spans="1:1" ht="45" x14ac:dyDescent="0.3">
      <c r="A768" s="19" t="s">
        <v>2419</v>
      </c>
    </row>
    <row r="769" spans="1:1" x14ac:dyDescent="0.3">
      <c r="A769" s="66" t="s">
        <v>2428</v>
      </c>
    </row>
    <row r="770" spans="1:1" x14ac:dyDescent="0.3">
      <c r="A770" s="67"/>
    </row>
    <row r="771" spans="1:1" ht="75" x14ac:dyDescent="0.3">
      <c r="A771" s="19" t="s">
        <v>2431</v>
      </c>
    </row>
    <row r="772" spans="1:1" ht="75" x14ac:dyDescent="0.3">
      <c r="A772" s="19" t="s">
        <v>2438</v>
      </c>
    </row>
    <row r="773" spans="1:1" ht="75" x14ac:dyDescent="0.3">
      <c r="A773" s="19" t="s">
        <v>2439</v>
      </c>
    </row>
    <row r="774" spans="1:1" ht="75" x14ac:dyDescent="0.3">
      <c r="A774" s="19" t="s">
        <v>2440</v>
      </c>
    </row>
    <row r="775" spans="1:1" ht="45" x14ac:dyDescent="0.3">
      <c r="A775" s="19" t="s">
        <v>2442</v>
      </c>
    </row>
    <row r="776" spans="1:1" ht="45" x14ac:dyDescent="0.3">
      <c r="A776" s="19" t="s">
        <v>2455</v>
      </c>
    </row>
    <row r="777" spans="1:1" ht="45" x14ac:dyDescent="0.3">
      <c r="A777" s="19" t="s">
        <v>2458</v>
      </c>
    </row>
    <row r="778" spans="1:1" ht="45" x14ac:dyDescent="0.3">
      <c r="A778" s="19" t="s">
        <v>2468</v>
      </c>
    </row>
    <row r="779" spans="1:1" ht="60" x14ac:dyDescent="0.3">
      <c r="A779" s="28" t="s">
        <v>2472</v>
      </c>
    </row>
    <row r="780" spans="1:1" ht="60" x14ac:dyDescent="0.3">
      <c r="A780" s="28" t="s">
        <v>2480</v>
      </c>
    </row>
    <row r="781" spans="1:1" ht="60" x14ac:dyDescent="0.3">
      <c r="A781" s="28" t="s">
        <v>2481</v>
      </c>
    </row>
    <row r="782" spans="1:1" ht="60" x14ac:dyDescent="0.3">
      <c r="A782" s="28" t="s">
        <v>2485</v>
      </c>
    </row>
    <row r="783" spans="1:1" ht="15.5" x14ac:dyDescent="0.35">
      <c r="A783" s="39"/>
    </row>
    <row r="784" spans="1:1" ht="105" x14ac:dyDescent="0.3">
      <c r="A784" s="28" t="s">
        <v>2486</v>
      </c>
    </row>
    <row r="785" spans="1:1" ht="105" x14ac:dyDescent="0.3">
      <c r="A785" s="28" t="s">
        <v>2491</v>
      </c>
    </row>
    <row r="786" spans="1:1" ht="105" x14ac:dyDescent="0.3">
      <c r="A786" s="28" t="s">
        <v>2492</v>
      </c>
    </row>
    <row r="787" spans="1:1" ht="105" x14ac:dyDescent="0.3">
      <c r="A787" s="28" t="s">
        <v>2493</v>
      </c>
    </row>
    <row r="788" spans="1:1" ht="90" x14ac:dyDescent="0.3">
      <c r="A788" s="19" t="s">
        <v>2495</v>
      </c>
    </row>
    <row r="789" spans="1:1" ht="90" x14ac:dyDescent="0.3">
      <c r="A789" s="19" t="s">
        <v>2504</v>
      </c>
    </row>
    <row r="790" spans="1:1" ht="90" x14ac:dyDescent="0.3">
      <c r="A790" s="19" t="s">
        <v>2505</v>
      </c>
    </row>
    <row r="791" spans="1:1" ht="90" x14ac:dyDescent="0.3">
      <c r="A791" s="19" t="s">
        <v>2506</v>
      </c>
    </row>
    <row r="792" spans="1:1" ht="45" x14ac:dyDescent="0.3">
      <c r="A792" s="19" t="s">
        <v>2508</v>
      </c>
    </row>
    <row r="793" spans="1:1" ht="45" x14ac:dyDescent="0.3">
      <c r="A793" s="19" t="s">
        <v>2517</v>
      </c>
    </row>
    <row r="794" spans="1:1" ht="45" x14ac:dyDescent="0.3">
      <c r="A794" s="19" t="s">
        <v>2518</v>
      </c>
    </row>
    <row r="795" spans="1:1" ht="45" x14ac:dyDescent="0.3">
      <c r="A795" s="19" t="s">
        <v>2520</v>
      </c>
    </row>
    <row r="796" spans="1:1" ht="45" x14ac:dyDescent="0.3">
      <c r="A796" s="19" t="s">
        <v>2528</v>
      </c>
    </row>
    <row r="797" spans="1:1" ht="45" x14ac:dyDescent="0.3">
      <c r="A797" s="19" t="s">
        <v>2529</v>
      </c>
    </row>
    <row r="798" spans="1:1" ht="60" x14ac:dyDescent="0.3">
      <c r="A798" s="19" t="s">
        <v>2531</v>
      </c>
    </row>
    <row r="799" spans="1:1" ht="60" x14ac:dyDescent="0.3">
      <c r="A799" s="28" t="s">
        <v>2542</v>
      </c>
    </row>
    <row r="800" spans="1:1" ht="60" x14ac:dyDescent="0.3">
      <c r="A800" s="28" t="s">
        <v>2546</v>
      </c>
    </row>
    <row r="801" spans="1:1" ht="60" x14ac:dyDescent="0.3">
      <c r="A801" s="28" t="s">
        <v>2550</v>
      </c>
    </row>
    <row r="802" spans="1:1" ht="60" x14ac:dyDescent="0.3">
      <c r="A802" s="19" t="s">
        <v>2553</v>
      </c>
    </row>
    <row r="803" spans="1:1" ht="60" x14ac:dyDescent="0.3">
      <c r="A803" s="28" t="s">
        <v>2557</v>
      </c>
    </row>
    <row r="804" spans="1:1" ht="75" x14ac:dyDescent="0.3">
      <c r="A804" s="19" t="s">
        <v>2560</v>
      </c>
    </row>
    <row r="805" spans="1:1" ht="75" x14ac:dyDescent="0.3">
      <c r="A805" s="19" t="s">
        <v>2567</v>
      </c>
    </row>
    <row r="806" spans="1:1" ht="75" x14ac:dyDescent="0.3">
      <c r="A806" s="19" t="s">
        <v>2568</v>
      </c>
    </row>
    <row r="807" spans="1:1" ht="75" x14ac:dyDescent="0.3">
      <c r="A807" s="19" t="s">
        <v>2569</v>
      </c>
    </row>
    <row r="808" spans="1:1" ht="90" x14ac:dyDescent="0.3">
      <c r="A808" s="19" t="s">
        <v>2571</v>
      </c>
    </row>
    <row r="809" spans="1:1" ht="90" x14ac:dyDescent="0.3">
      <c r="A809" s="19" t="s">
        <v>2580</v>
      </c>
    </row>
    <row r="810" spans="1:1" ht="90" x14ac:dyDescent="0.3">
      <c r="A810" s="19" t="s">
        <v>2582</v>
      </c>
    </row>
    <row r="811" spans="1:1" ht="90" x14ac:dyDescent="0.3">
      <c r="A811" s="19" t="s">
        <v>2583</v>
      </c>
    </row>
    <row r="812" spans="1:1" x14ac:dyDescent="0.3">
      <c r="A812" s="66" t="s">
        <v>2585</v>
      </c>
    </row>
    <row r="813" spans="1:1" x14ac:dyDescent="0.3">
      <c r="A813" s="67"/>
    </row>
    <row r="814" spans="1:1" ht="45" x14ac:dyDescent="0.3">
      <c r="A814" s="19" t="s">
        <v>2595</v>
      </c>
    </row>
    <row r="815" spans="1:1" ht="45" x14ac:dyDescent="0.3">
      <c r="A815" s="19" t="s">
        <v>2596</v>
      </c>
    </row>
    <row r="816" spans="1:1" ht="75" x14ac:dyDescent="0.3">
      <c r="A816" s="28" t="s">
        <v>2598</v>
      </c>
    </row>
    <row r="817" spans="1:1" ht="75" x14ac:dyDescent="0.3">
      <c r="A817" s="28" t="s">
        <v>2607</v>
      </c>
    </row>
    <row r="818" spans="1:1" ht="75" x14ac:dyDescent="0.3">
      <c r="A818" s="28" t="s">
        <v>2608</v>
      </c>
    </row>
    <row r="819" spans="1:1" ht="75" x14ac:dyDescent="0.3">
      <c r="A819" s="28" t="s">
        <v>2613</v>
      </c>
    </row>
    <row r="820" spans="1:1" ht="75" x14ac:dyDescent="0.3">
      <c r="A820" s="28" t="s">
        <v>2614</v>
      </c>
    </row>
    <row r="821" spans="1:1" ht="75" x14ac:dyDescent="0.3">
      <c r="A821" s="19" t="s">
        <v>2619</v>
      </c>
    </row>
    <row r="822" spans="1:1" x14ac:dyDescent="0.3">
      <c r="A822" s="66" t="s">
        <v>2621</v>
      </c>
    </row>
    <row r="823" spans="1:1" x14ac:dyDescent="0.3">
      <c r="A823" s="67"/>
    </row>
    <row r="824" spans="1:1" ht="60" x14ac:dyDescent="0.3">
      <c r="A824" s="19" t="s">
        <v>2629</v>
      </c>
    </row>
    <row r="825" spans="1:1" ht="90" x14ac:dyDescent="0.3">
      <c r="A825" s="28" t="s">
        <v>2630</v>
      </c>
    </row>
    <row r="826" spans="1:1" ht="90" x14ac:dyDescent="0.3">
      <c r="A826" s="28" t="s">
        <v>2635</v>
      </c>
    </row>
    <row r="827" spans="1:1" ht="90" x14ac:dyDescent="0.3">
      <c r="A827" s="28" t="s">
        <v>2636</v>
      </c>
    </row>
    <row r="828" spans="1:1" ht="90" x14ac:dyDescent="0.3">
      <c r="A828" s="28" t="s">
        <v>2637</v>
      </c>
    </row>
    <row r="829" spans="1:1" ht="90" x14ac:dyDescent="0.3">
      <c r="A829" s="28" t="s">
        <v>2638</v>
      </c>
    </row>
    <row r="830" spans="1:1" ht="90" x14ac:dyDescent="0.3">
      <c r="A830" s="28" t="s">
        <v>2639</v>
      </c>
    </row>
    <row r="831" spans="1:1" ht="15.5" x14ac:dyDescent="0.35">
      <c r="A831" s="39"/>
    </row>
    <row r="832" spans="1:1" ht="90" x14ac:dyDescent="0.3">
      <c r="A832" s="28" t="s">
        <v>2645</v>
      </c>
    </row>
    <row r="833" spans="1:1" ht="90" x14ac:dyDescent="0.3">
      <c r="A833" s="28" t="s">
        <v>2650</v>
      </c>
    </row>
    <row r="834" spans="1:1" ht="135" x14ac:dyDescent="0.3">
      <c r="A834" s="28" t="s">
        <v>2651</v>
      </c>
    </row>
    <row r="835" spans="1:1" ht="135" x14ac:dyDescent="0.3">
      <c r="A835" s="28" t="s">
        <v>2656</v>
      </c>
    </row>
    <row r="836" spans="1:1" ht="135" x14ac:dyDescent="0.3">
      <c r="A836" s="28" t="s">
        <v>2657</v>
      </c>
    </row>
    <row r="837" spans="1:1" ht="135" x14ac:dyDescent="0.3">
      <c r="A837" s="28" t="s">
        <v>2658</v>
      </c>
    </row>
    <row r="838" spans="1:1" ht="135" x14ac:dyDescent="0.3">
      <c r="A838" s="28" t="s">
        <v>2659</v>
      </c>
    </row>
    <row r="839" spans="1:1" ht="135" x14ac:dyDescent="0.3">
      <c r="A839" s="28" t="s">
        <v>2665</v>
      </c>
    </row>
    <row r="840" spans="1:1" ht="135" x14ac:dyDescent="0.3">
      <c r="A840" s="28" t="s">
        <v>2666</v>
      </c>
    </row>
    <row r="841" spans="1:1" ht="135" x14ac:dyDescent="0.3">
      <c r="A841" s="28" t="s">
        <v>2667</v>
      </c>
    </row>
    <row r="842" spans="1:1" ht="75" x14ac:dyDescent="0.3">
      <c r="A842" s="19" t="s">
        <v>2669</v>
      </c>
    </row>
    <row r="843" spans="1:1" ht="75" x14ac:dyDescent="0.3">
      <c r="A843" s="19" t="s">
        <v>2677</v>
      </c>
    </row>
    <row r="844" spans="1:1" ht="75" x14ac:dyDescent="0.3">
      <c r="A844" s="19" t="s">
        <v>2678</v>
      </c>
    </row>
    <row r="845" spans="1:1" ht="75" x14ac:dyDescent="0.3">
      <c r="A845" s="19" t="s">
        <v>2680</v>
      </c>
    </row>
    <row r="846" spans="1:1" ht="45" x14ac:dyDescent="0.3">
      <c r="A846" s="19" t="s">
        <v>2682</v>
      </c>
    </row>
    <row r="847" spans="1:1" ht="45" x14ac:dyDescent="0.3">
      <c r="A847" s="19" t="s">
        <v>2692</v>
      </c>
    </row>
    <row r="848" spans="1:1" ht="45" x14ac:dyDescent="0.3">
      <c r="A848" s="19" t="s">
        <v>2694</v>
      </c>
    </row>
    <row r="849" spans="1:1" x14ac:dyDescent="0.3">
      <c r="A849" s="66" t="s">
        <v>2698</v>
      </c>
    </row>
    <row r="850" spans="1:1" x14ac:dyDescent="0.3">
      <c r="A850" s="67"/>
    </row>
    <row r="851" spans="1:1" ht="75" x14ac:dyDescent="0.3">
      <c r="A851" s="19" t="s">
        <v>2708</v>
      </c>
    </row>
    <row r="852" spans="1:1" ht="75" x14ac:dyDescent="0.3">
      <c r="A852" s="19" t="s">
        <v>2710</v>
      </c>
    </row>
    <row r="853" spans="1:1" x14ac:dyDescent="0.3">
      <c r="A853" s="66" t="s">
        <v>2714</v>
      </c>
    </row>
    <row r="854" spans="1:1" x14ac:dyDescent="0.3">
      <c r="A854" s="67"/>
    </row>
    <row r="855" spans="1:1" ht="30" x14ac:dyDescent="0.3">
      <c r="A855" s="19" t="s">
        <v>2722</v>
      </c>
    </row>
    <row r="856" spans="1:1" ht="30" x14ac:dyDescent="0.3">
      <c r="A856" s="19" t="s">
        <v>2723</v>
      </c>
    </row>
    <row r="857" spans="1:1" x14ac:dyDescent="0.3">
      <c r="A857" s="71" t="s">
        <v>2725</v>
      </c>
    </row>
    <row r="858" spans="1:1" x14ac:dyDescent="0.3">
      <c r="A858" s="72"/>
    </row>
    <row r="859" spans="1:1" x14ac:dyDescent="0.3">
      <c r="A859" s="73"/>
    </row>
    <row r="860" spans="1:1" ht="45" x14ac:dyDescent="0.3">
      <c r="A860" s="19" t="s">
        <v>2736</v>
      </c>
    </row>
    <row r="861" spans="1:1" x14ac:dyDescent="0.3">
      <c r="A861" s="66" t="s">
        <v>2741</v>
      </c>
    </row>
    <row r="862" spans="1:1" x14ac:dyDescent="0.3">
      <c r="A862" s="74"/>
    </row>
    <row r="863" spans="1:1" x14ac:dyDescent="0.3">
      <c r="A863" s="67"/>
    </row>
    <row r="864" spans="1:1" ht="60" x14ac:dyDescent="0.3">
      <c r="A864" s="19" t="s">
        <v>2751</v>
      </c>
    </row>
    <row r="865" spans="1:1" x14ac:dyDescent="0.3">
      <c r="A865" s="66" t="s">
        <v>2753</v>
      </c>
    </row>
    <row r="866" spans="1:1" x14ac:dyDescent="0.3">
      <c r="A866" s="67"/>
    </row>
    <row r="867" spans="1:1" ht="45" x14ac:dyDescent="0.3">
      <c r="A867" s="19" t="s">
        <v>2762</v>
      </c>
    </row>
    <row r="868" spans="1:1" ht="45" x14ac:dyDescent="0.25">
      <c r="A868" s="49" t="s">
        <v>2763</v>
      </c>
    </row>
    <row r="869" spans="1:1" x14ac:dyDescent="0.3">
      <c r="A869" s="66" t="s">
        <v>2765</v>
      </c>
    </row>
    <row r="870" spans="1:1" x14ac:dyDescent="0.3">
      <c r="A870" s="67"/>
    </row>
    <row r="871" spans="1:1" ht="60" x14ac:dyDescent="0.3">
      <c r="A871" s="19" t="s">
        <v>2774</v>
      </c>
    </row>
    <row r="872" spans="1:1" ht="60" x14ac:dyDescent="0.3">
      <c r="A872" s="19" t="s">
        <v>2777</v>
      </c>
    </row>
    <row r="873" spans="1:1" x14ac:dyDescent="0.3">
      <c r="A873" s="71" t="s">
        <v>2781</v>
      </c>
    </row>
    <row r="874" spans="1:1" x14ac:dyDescent="0.3">
      <c r="A874" s="72"/>
    </row>
    <row r="875" spans="1:1" x14ac:dyDescent="0.3">
      <c r="A875" s="72"/>
    </row>
    <row r="876" spans="1:1" x14ac:dyDescent="0.3">
      <c r="A876" s="72"/>
    </row>
    <row r="877" spans="1:1" x14ac:dyDescent="0.3">
      <c r="A877" s="72"/>
    </row>
    <row r="878" spans="1:1" x14ac:dyDescent="0.3">
      <c r="A878" s="73"/>
    </row>
    <row r="879" spans="1:1" x14ac:dyDescent="0.3">
      <c r="A879" s="66" t="s">
        <v>2791</v>
      </c>
    </row>
    <row r="880" spans="1:1" x14ac:dyDescent="0.3">
      <c r="A880" s="74"/>
    </row>
    <row r="881" spans="1:1" x14ac:dyDescent="0.3">
      <c r="A881" s="74"/>
    </row>
    <row r="882" spans="1:1" x14ac:dyDescent="0.3">
      <c r="A882" s="67"/>
    </row>
    <row r="883" spans="1:1" ht="45" x14ac:dyDescent="0.25">
      <c r="A883" s="49" t="s">
        <v>2800</v>
      </c>
    </row>
    <row r="884" spans="1:1" x14ac:dyDescent="0.3">
      <c r="A884" s="71" t="s">
        <v>2802</v>
      </c>
    </row>
    <row r="885" spans="1:1" x14ac:dyDescent="0.3">
      <c r="A885" s="72"/>
    </row>
    <row r="886" spans="1:1" x14ac:dyDescent="0.3">
      <c r="A886" s="72"/>
    </row>
    <row r="887" spans="1:1" x14ac:dyDescent="0.3">
      <c r="A887" s="73"/>
    </row>
    <row r="888" spans="1:1" x14ac:dyDescent="0.3">
      <c r="A888" s="66" t="s">
        <v>2813</v>
      </c>
    </row>
    <row r="889" spans="1:1" x14ac:dyDescent="0.3">
      <c r="A889" s="74"/>
    </row>
    <row r="890" spans="1:1" x14ac:dyDescent="0.3">
      <c r="A890" s="67"/>
    </row>
    <row r="891" spans="1:1" ht="75" x14ac:dyDescent="0.3">
      <c r="A891" s="19" t="s">
        <v>2823</v>
      </c>
    </row>
    <row r="892" spans="1:1" ht="75" x14ac:dyDescent="0.3">
      <c r="A892" s="19" t="s">
        <v>2827</v>
      </c>
    </row>
    <row r="893" spans="1:1" ht="75" x14ac:dyDescent="0.3">
      <c r="A893" s="28" t="s">
        <v>2837</v>
      </c>
    </row>
    <row r="894" spans="1:1" ht="90" x14ac:dyDescent="0.3">
      <c r="A894" s="28" t="s">
        <v>2838</v>
      </c>
    </row>
    <row r="895" spans="1:1" ht="90" x14ac:dyDescent="0.3">
      <c r="A895" s="19" t="s">
        <v>2845</v>
      </c>
    </row>
    <row r="896" spans="1:1" ht="90" x14ac:dyDescent="0.3">
      <c r="A896" s="19" t="s">
        <v>2846</v>
      </c>
    </row>
    <row r="897" spans="1:1" ht="90" x14ac:dyDescent="0.3">
      <c r="A897" s="28" t="s">
        <v>2853</v>
      </c>
    </row>
    <row r="898" spans="1:1" ht="90" x14ac:dyDescent="0.3">
      <c r="A898" s="28" t="s">
        <v>2854</v>
      </c>
    </row>
    <row r="899" spans="1:1" ht="90" x14ac:dyDescent="0.3">
      <c r="A899" s="28" t="s">
        <v>2860</v>
      </c>
    </row>
    <row r="900" spans="1:1" x14ac:dyDescent="0.3">
      <c r="A900" s="71" t="s">
        <v>104</v>
      </c>
    </row>
    <row r="901" spans="1:1" x14ac:dyDescent="0.3">
      <c r="A901" s="72"/>
    </row>
    <row r="902" spans="1:1" x14ac:dyDescent="0.3">
      <c r="A902" s="72"/>
    </row>
    <row r="903" spans="1:1" x14ac:dyDescent="0.3">
      <c r="A903" s="73"/>
    </row>
    <row r="904" spans="1:1" ht="45" x14ac:dyDescent="0.3">
      <c r="A904" s="19" t="s">
        <v>2870</v>
      </c>
    </row>
    <row r="905" spans="1:1" ht="45" x14ac:dyDescent="0.3">
      <c r="A905" s="28" t="s">
        <v>2876</v>
      </c>
    </row>
    <row r="906" spans="1:1" ht="45" x14ac:dyDescent="0.3">
      <c r="A906" s="19" t="s">
        <v>2884</v>
      </c>
    </row>
    <row r="907" spans="1:1" x14ac:dyDescent="0.3">
      <c r="A907" s="66" t="s">
        <v>2895</v>
      </c>
    </row>
    <row r="908" spans="1:1" x14ac:dyDescent="0.3">
      <c r="A908" s="74"/>
    </row>
    <row r="909" spans="1:1" x14ac:dyDescent="0.3">
      <c r="A909" s="67"/>
    </row>
    <row r="910" spans="1:1" x14ac:dyDescent="0.3">
      <c r="A910" s="66" t="s">
        <v>2903</v>
      </c>
    </row>
    <row r="911" spans="1:1" x14ac:dyDescent="0.3">
      <c r="A911" s="74"/>
    </row>
    <row r="912" spans="1:1" x14ac:dyDescent="0.3">
      <c r="A912" s="67"/>
    </row>
    <row r="913" spans="1:1" x14ac:dyDescent="0.3">
      <c r="A913" s="66" t="s">
        <v>2909</v>
      </c>
    </row>
    <row r="914" spans="1:1" x14ac:dyDescent="0.3">
      <c r="A914" s="74"/>
    </row>
    <row r="915" spans="1:1" x14ac:dyDescent="0.3">
      <c r="A915" s="67"/>
    </row>
    <row r="916" spans="1:1" x14ac:dyDescent="0.3">
      <c r="A916" s="64" t="s">
        <v>2915</v>
      </c>
    </row>
    <row r="917" spans="1:1" x14ac:dyDescent="0.3">
      <c r="A917" s="63"/>
    </row>
    <row r="918" spans="1:1" x14ac:dyDescent="0.3">
      <c r="A918" s="65"/>
    </row>
    <row r="919" spans="1:1" x14ac:dyDescent="0.3">
      <c r="A919" s="66" t="s">
        <v>2923</v>
      </c>
    </row>
    <row r="920" spans="1:1" x14ac:dyDescent="0.3">
      <c r="A920" s="74"/>
    </row>
    <row r="921" spans="1:1" x14ac:dyDescent="0.3">
      <c r="A921" s="67"/>
    </row>
    <row r="922" spans="1:1" x14ac:dyDescent="0.3">
      <c r="A922" s="64" t="s">
        <v>2928</v>
      </c>
    </row>
    <row r="923" spans="1:1" x14ac:dyDescent="0.3">
      <c r="A923" s="63"/>
    </row>
    <row r="924" spans="1:1" x14ac:dyDescent="0.3">
      <c r="A924" s="65"/>
    </row>
    <row r="925" spans="1:1" x14ac:dyDescent="0.3">
      <c r="A925" s="66" t="s">
        <v>2932</v>
      </c>
    </row>
    <row r="926" spans="1:1" x14ac:dyDescent="0.3">
      <c r="A926" s="67"/>
    </row>
    <row r="927" spans="1:1" x14ac:dyDescent="0.3">
      <c r="A927" s="64" t="s">
        <v>2938</v>
      </c>
    </row>
    <row r="928" spans="1:1" x14ac:dyDescent="0.3">
      <c r="A928" s="65"/>
    </row>
    <row r="929" spans="1:1" x14ac:dyDescent="0.3">
      <c r="A929" s="66" t="s">
        <v>2943</v>
      </c>
    </row>
    <row r="930" spans="1:1" x14ac:dyDescent="0.3">
      <c r="A930" s="67"/>
    </row>
    <row r="931" spans="1:1" ht="90" x14ac:dyDescent="0.3">
      <c r="A931" s="28" t="s">
        <v>2949</v>
      </c>
    </row>
    <row r="932" spans="1:1" ht="90" x14ac:dyDescent="0.3">
      <c r="A932" s="28" t="s">
        <v>2958</v>
      </c>
    </row>
    <row r="933" spans="1:1" ht="150" x14ac:dyDescent="0.3">
      <c r="A933" s="28" t="s">
        <v>2959</v>
      </c>
    </row>
    <row r="934" spans="1:1" ht="90" x14ac:dyDescent="0.3">
      <c r="A934" s="28" t="s">
        <v>2960</v>
      </c>
    </row>
    <row r="935" spans="1:1" ht="90" x14ac:dyDescent="0.3">
      <c r="A935" s="28" t="s">
        <v>2964</v>
      </c>
    </row>
    <row r="936" spans="1:1" ht="150" x14ac:dyDescent="0.3">
      <c r="A936" s="28" t="s">
        <v>2965</v>
      </c>
    </row>
    <row r="937" spans="1:1" ht="90" x14ac:dyDescent="0.3">
      <c r="A937" s="28" t="s">
        <v>2966</v>
      </c>
    </row>
    <row r="938" spans="1:1" ht="90" x14ac:dyDescent="0.3">
      <c r="A938" s="28" t="s">
        <v>2972</v>
      </c>
    </row>
    <row r="939" spans="1:1" ht="150" x14ac:dyDescent="0.3">
      <c r="A939" s="28" t="s">
        <v>2973</v>
      </c>
    </row>
    <row r="940" spans="1:1" ht="120" x14ac:dyDescent="0.3">
      <c r="A940" s="28" t="s">
        <v>2975</v>
      </c>
    </row>
    <row r="941" spans="1:1" ht="120" x14ac:dyDescent="0.3">
      <c r="A941" s="28" t="s">
        <v>2980</v>
      </c>
    </row>
    <row r="942" spans="1:1" ht="120" x14ac:dyDescent="0.3">
      <c r="A942" s="28" t="s">
        <v>2981</v>
      </c>
    </row>
    <row r="943" spans="1:1" ht="120" x14ac:dyDescent="0.3">
      <c r="A943" s="28" t="s">
        <v>2986</v>
      </c>
    </row>
    <row r="944" spans="1:1" ht="120" x14ac:dyDescent="0.3">
      <c r="A944" s="28" t="s">
        <v>2987</v>
      </c>
    </row>
    <row r="945" spans="1:1" ht="120" x14ac:dyDescent="0.3">
      <c r="A945" s="19" t="s">
        <v>2992</v>
      </c>
    </row>
    <row r="946" spans="1:1" x14ac:dyDescent="0.3">
      <c r="A946" s="66" t="s">
        <v>2994</v>
      </c>
    </row>
    <row r="947" spans="1:1" x14ac:dyDescent="0.3">
      <c r="A947" s="67"/>
    </row>
    <row r="948" spans="1:1" ht="75" x14ac:dyDescent="0.3">
      <c r="A948" s="19" t="s">
        <v>3003</v>
      </c>
    </row>
    <row r="949" spans="1:1" ht="75" x14ac:dyDescent="0.3">
      <c r="A949" s="19" t="s">
        <v>3004</v>
      </c>
    </row>
    <row r="950" spans="1:1" x14ac:dyDescent="0.3">
      <c r="A950" s="66" t="s">
        <v>3006</v>
      </c>
    </row>
    <row r="951" spans="1:1" x14ac:dyDescent="0.3">
      <c r="A951" s="67"/>
    </row>
    <row r="952" spans="1:1" ht="45" x14ac:dyDescent="0.3">
      <c r="A952" s="19" t="s">
        <v>3016</v>
      </c>
    </row>
    <row r="953" spans="1:1" ht="45" x14ac:dyDescent="0.3">
      <c r="A953" s="19" t="s">
        <v>3017</v>
      </c>
    </row>
    <row r="954" spans="1:1" ht="105" x14ac:dyDescent="0.3">
      <c r="A954" s="28" t="s">
        <v>3020</v>
      </c>
    </row>
    <row r="955" spans="1:1" ht="105" x14ac:dyDescent="0.3">
      <c r="A955" s="28" t="s">
        <v>3026</v>
      </c>
    </row>
    <row r="956" spans="1:1" ht="90" x14ac:dyDescent="0.3">
      <c r="A956" s="28" t="s">
        <v>3027</v>
      </c>
    </row>
    <row r="957" spans="1:1" ht="105" x14ac:dyDescent="0.3">
      <c r="A957" s="28" t="s">
        <v>3028</v>
      </c>
    </row>
    <row r="958" spans="1:1" ht="105" x14ac:dyDescent="0.3">
      <c r="A958" s="28" t="s">
        <v>3031</v>
      </c>
    </row>
    <row r="959" spans="1:1" ht="105" x14ac:dyDescent="0.3">
      <c r="A959" s="19" t="s">
        <v>3032</v>
      </c>
    </row>
    <row r="960" spans="1:1" ht="90" x14ac:dyDescent="0.3">
      <c r="A960" s="28" t="s">
        <v>3033</v>
      </c>
    </row>
    <row r="961" spans="1:1" ht="90" x14ac:dyDescent="0.3">
      <c r="A961" s="28" t="s">
        <v>3035</v>
      </c>
    </row>
    <row r="962" spans="1:1" ht="90" x14ac:dyDescent="0.3">
      <c r="A962" s="28" t="s">
        <v>3036</v>
      </c>
    </row>
    <row r="963" spans="1:1" ht="105" x14ac:dyDescent="0.3">
      <c r="A963" s="19" t="s">
        <v>3038</v>
      </c>
    </row>
    <row r="964" spans="1:1" ht="105" x14ac:dyDescent="0.3">
      <c r="A964" s="19" t="s">
        <v>3045</v>
      </c>
    </row>
    <row r="965" spans="1:1" ht="105" x14ac:dyDescent="0.3">
      <c r="A965" s="19" t="s">
        <v>3046</v>
      </c>
    </row>
    <row r="966" spans="1:1" ht="105" x14ac:dyDescent="0.3">
      <c r="A966" s="19" t="s">
        <v>3048</v>
      </c>
    </row>
    <row r="967" spans="1:1" ht="90" x14ac:dyDescent="0.3">
      <c r="A967" s="19" t="s">
        <v>3050</v>
      </c>
    </row>
    <row r="968" spans="1:1" ht="90" x14ac:dyDescent="0.3">
      <c r="A968" s="19" t="s">
        <v>3059</v>
      </c>
    </row>
    <row r="969" spans="1:1" ht="90" x14ac:dyDescent="0.3">
      <c r="A969" s="19" t="s">
        <v>3060</v>
      </c>
    </row>
    <row r="970" spans="1:1" ht="105" x14ac:dyDescent="0.3">
      <c r="A970" s="19" t="s">
        <v>3065</v>
      </c>
    </row>
    <row r="971" spans="1:1" ht="90" x14ac:dyDescent="0.3">
      <c r="A971" s="19" t="s">
        <v>3066</v>
      </c>
    </row>
    <row r="972" spans="1:1" ht="105" x14ac:dyDescent="0.3">
      <c r="A972" s="19" t="s">
        <v>3069</v>
      </c>
    </row>
    <row r="973" spans="1:1" ht="90" x14ac:dyDescent="0.3">
      <c r="A973" s="19" t="s">
        <v>3070</v>
      </c>
    </row>
    <row r="974" spans="1:1" ht="90" x14ac:dyDescent="0.3">
      <c r="A974" s="19" t="s">
        <v>3074</v>
      </c>
    </row>
    <row r="975" spans="1:1" ht="105" x14ac:dyDescent="0.3">
      <c r="A975" s="19" t="s">
        <v>3075</v>
      </c>
    </row>
    <row r="976" spans="1:1" ht="120" x14ac:dyDescent="0.3">
      <c r="A976" s="19" t="s">
        <v>3078</v>
      </c>
    </row>
    <row r="977" spans="1:1" ht="105" x14ac:dyDescent="0.3">
      <c r="A977" s="19" t="s">
        <v>3079</v>
      </c>
    </row>
    <row r="978" spans="1:1" ht="120" x14ac:dyDescent="0.3">
      <c r="A978" s="19" t="s">
        <v>3082</v>
      </c>
    </row>
    <row r="979" spans="1:1" ht="90" x14ac:dyDescent="0.3">
      <c r="A979" s="28" t="s">
        <v>3084</v>
      </c>
    </row>
    <row r="980" spans="1:1" ht="90" x14ac:dyDescent="0.3">
      <c r="A980" s="19" t="s">
        <v>3093</v>
      </c>
    </row>
    <row r="981" spans="1:1" ht="90" x14ac:dyDescent="0.3">
      <c r="A981" s="19" t="s">
        <v>3094</v>
      </c>
    </row>
    <row r="982" spans="1:1" ht="105" x14ac:dyDescent="0.3">
      <c r="A982" s="28" t="s">
        <v>3095</v>
      </c>
    </row>
    <row r="983" spans="1:1" ht="90" x14ac:dyDescent="0.3">
      <c r="A983" s="28" t="s">
        <v>3100</v>
      </c>
    </row>
    <row r="984" spans="1:1" ht="90" x14ac:dyDescent="0.3">
      <c r="A984" s="19" t="s">
        <v>3101</v>
      </c>
    </row>
    <row r="985" spans="1:1" ht="90" x14ac:dyDescent="0.3">
      <c r="A985" s="19" t="s">
        <v>3102</v>
      </c>
    </row>
    <row r="986" spans="1:1" ht="90" x14ac:dyDescent="0.3">
      <c r="A986" s="28" t="s">
        <v>3107</v>
      </c>
    </row>
    <row r="987" spans="1:1" ht="90" x14ac:dyDescent="0.3">
      <c r="A987" s="28" t="s">
        <v>3108</v>
      </c>
    </row>
    <row r="988" spans="1:1" ht="105" x14ac:dyDescent="0.3">
      <c r="A988" s="28" t="s">
        <v>3110</v>
      </c>
    </row>
    <row r="989" spans="1:1" ht="90" x14ac:dyDescent="0.3">
      <c r="A989" s="19" t="s">
        <v>3116</v>
      </c>
    </row>
    <row r="990" spans="1:1" ht="105" x14ac:dyDescent="0.3">
      <c r="A990" s="28" t="s">
        <v>3117</v>
      </c>
    </row>
    <row r="991" spans="1:1" ht="90" x14ac:dyDescent="0.3">
      <c r="A991" s="28" t="s">
        <v>3120</v>
      </c>
    </row>
    <row r="992" spans="1:1" ht="105" x14ac:dyDescent="0.3">
      <c r="A992" s="28" t="s">
        <v>3121</v>
      </c>
    </row>
    <row r="993" spans="1:1" ht="90" x14ac:dyDescent="0.3">
      <c r="A993" s="28" t="s">
        <v>3124</v>
      </c>
    </row>
    <row r="994" spans="1:1" ht="90" x14ac:dyDescent="0.3">
      <c r="A994" s="19" t="s">
        <v>3126</v>
      </c>
    </row>
    <row r="995" spans="1:1" ht="90" x14ac:dyDescent="0.3">
      <c r="A995" s="19" t="s">
        <v>3136</v>
      </c>
    </row>
    <row r="996" spans="1:1" ht="90" x14ac:dyDescent="0.3">
      <c r="A996" s="19" t="s">
        <v>3137</v>
      </c>
    </row>
    <row r="997" spans="1:1" ht="90" x14ac:dyDescent="0.3">
      <c r="A997" s="19" t="s">
        <v>3138</v>
      </c>
    </row>
    <row r="998" spans="1:1" ht="90" x14ac:dyDescent="0.3">
      <c r="A998" s="19" t="s">
        <v>3139</v>
      </c>
    </row>
    <row r="999" spans="1:1" ht="105" x14ac:dyDescent="0.3">
      <c r="A999" s="19" t="s">
        <v>3140</v>
      </c>
    </row>
    <row r="1000" spans="1:1" ht="105" x14ac:dyDescent="0.3">
      <c r="A1000" s="19" t="s">
        <v>3145</v>
      </c>
    </row>
    <row r="1001" spans="1:1" ht="105" x14ac:dyDescent="0.3">
      <c r="A1001" s="19" t="s">
        <v>3146</v>
      </c>
    </row>
    <row r="1002" spans="1:1" ht="105" x14ac:dyDescent="0.3">
      <c r="A1002" s="19" t="s">
        <v>3147</v>
      </c>
    </row>
    <row r="1003" spans="1:1" ht="105" x14ac:dyDescent="0.3">
      <c r="A1003" s="28" t="s">
        <v>3148</v>
      </c>
    </row>
    <row r="1004" spans="1:1" ht="75" x14ac:dyDescent="0.3">
      <c r="A1004" s="19" t="s">
        <v>3149</v>
      </c>
    </row>
    <row r="1005" spans="1:1" ht="75" x14ac:dyDescent="0.3">
      <c r="A1005" s="19" t="s">
        <v>3155</v>
      </c>
    </row>
    <row r="1006" spans="1:1" ht="75" x14ac:dyDescent="0.3">
      <c r="A1006" s="19" t="s">
        <v>3156</v>
      </c>
    </row>
    <row r="1007" spans="1:1" x14ac:dyDescent="0.3">
      <c r="A1007" s="71" t="s">
        <v>3158</v>
      </c>
    </row>
    <row r="1008" spans="1:1" x14ac:dyDescent="0.3">
      <c r="A1008" s="72"/>
    </row>
    <row r="1009" spans="1:1" x14ac:dyDescent="0.3">
      <c r="A1009" s="72"/>
    </row>
    <row r="1010" spans="1:1" x14ac:dyDescent="0.3">
      <c r="A1010" s="73"/>
    </row>
    <row r="1011" spans="1:1" ht="90" x14ac:dyDescent="0.25">
      <c r="A1011" s="49" t="s">
        <v>3168</v>
      </c>
    </row>
    <row r="1012" spans="1:1" ht="60" x14ac:dyDescent="0.3">
      <c r="A1012" s="19" t="s">
        <v>3170</v>
      </c>
    </row>
    <row r="1013" spans="1:1" ht="60" x14ac:dyDescent="0.3">
      <c r="A1013" s="19" t="s">
        <v>3180</v>
      </c>
    </row>
    <row r="1014" spans="1:1" ht="60" x14ac:dyDescent="0.3">
      <c r="A1014" s="19" t="s">
        <v>3183</v>
      </c>
    </row>
    <row r="1015" spans="1:1" ht="75" x14ac:dyDescent="0.3">
      <c r="A1015" s="19" t="s">
        <v>3187</v>
      </c>
    </row>
    <row r="1016" spans="1:1" ht="75" x14ac:dyDescent="0.3">
      <c r="A1016" s="19" t="s">
        <v>3199</v>
      </c>
    </row>
    <row r="1017" spans="1:1" ht="75" x14ac:dyDescent="0.3">
      <c r="A1017" s="19" t="s">
        <v>3200</v>
      </c>
    </row>
    <row r="1018" spans="1:1" ht="75" x14ac:dyDescent="0.3">
      <c r="A1018" s="19" t="s">
        <v>3201</v>
      </c>
    </row>
    <row r="1019" spans="1:1" ht="120" x14ac:dyDescent="0.3">
      <c r="A1019" s="28" t="s">
        <v>6456</v>
      </c>
    </row>
    <row r="1020" spans="1:1" ht="90" x14ac:dyDescent="0.3">
      <c r="A1020" s="28" t="s">
        <v>6457</v>
      </c>
    </row>
    <row r="1021" spans="1:1" ht="90" x14ac:dyDescent="0.3">
      <c r="A1021" s="28" t="s">
        <v>6458</v>
      </c>
    </row>
    <row r="1022" spans="1:1" ht="120" x14ac:dyDescent="0.3">
      <c r="A1022" s="28" t="s">
        <v>6459</v>
      </c>
    </row>
    <row r="1023" spans="1:1" ht="120" x14ac:dyDescent="0.3">
      <c r="A1023" s="28" t="s">
        <v>6460</v>
      </c>
    </row>
    <row r="1024" spans="1:1" ht="120" x14ac:dyDescent="0.3">
      <c r="A1024" s="28" t="s">
        <v>6461</v>
      </c>
    </row>
    <row r="1025" spans="1:1" ht="120" x14ac:dyDescent="0.3">
      <c r="A1025" s="28" t="s">
        <v>6462</v>
      </c>
    </row>
    <row r="1026" spans="1:1" ht="120" x14ac:dyDescent="0.3">
      <c r="A1026" s="28" t="s">
        <v>6463</v>
      </c>
    </row>
    <row r="1027" spans="1:1" ht="90" x14ac:dyDescent="0.3">
      <c r="A1027" s="28" t="s">
        <v>6464</v>
      </c>
    </row>
    <row r="1028" spans="1:1" ht="90" x14ac:dyDescent="0.3">
      <c r="A1028" s="28" t="s">
        <v>6465</v>
      </c>
    </row>
    <row r="1029" spans="1:1" ht="120" x14ac:dyDescent="0.3">
      <c r="A1029" s="28" t="s">
        <v>6466</v>
      </c>
    </row>
    <row r="1030" spans="1:1" ht="120" x14ac:dyDescent="0.3">
      <c r="A1030" s="28" t="s">
        <v>6467</v>
      </c>
    </row>
    <row r="1031" spans="1:1" ht="120" x14ac:dyDescent="0.3">
      <c r="A1031" s="28" t="s">
        <v>6468</v>
      </c>
    </row>
    <row r="1032" spans="1:1" ht="120" x14ac:dyDescent="0.3">
      <c r="A1032" s="28" t="s">
        <v>6469</v>
      </c>
    </row>
    <row r="1033" spans="1:1" ht="120" x14ac:dyDescent="0.3">
      <c r="A1033" s="28" t="s">
        <v>6470</v>
      </c>
    </row>
    <row r="1034" spans="1:1" ht="120" x14ac:dyDescent="0.3">
      <c r="A1034" s="28" t="s">
        <v>6471</v>
      </c>
    </row>
    <row r="1035" spans="1:1" ht="120" x14ac:dyDescent="0.3">
      <c r="A1035" s="28" t="s">
        <v>6472</v>
      </c>
    </row>
    <row r="1036" spans="1:1" ht="120" x14ac:dyDescent="0.3">
      <c r="A1036" s="28" t="s">
        <v>6473</v>
      </c>
    </row>
    <row r="1037" spans="1:1" ht="135" x14ac:dyDescent="0.3">
      <c r="A1037" s="28" t="s">
        <v>6474</v>
      </c>
    </row>
    <row r="1038" spans="1:1" ht="135" x14ac:dyDescent="0.3">
      <c r="A1038" s="28" t="s">
        <v>6475</v>
      </c>
    </row>
    <row r="1039" spans="1:1" ht="120" x14ac:dyDescent="0.3">
      <c r="A1039" s="28" t="s">
        <v>6476</v>
      </c>
    </row>
    <row r="1040" spans="1:1" x14ac:dyDescent="0.3">
      <c r="A1040" s="66" t="s">
        <v>3224</v>
      </c>
    </row>
    <row r="1041" spans="1:1" x14ac:dyDescent="0.3">
      <c r="A1041" s="74"/>
    </row>
    <row r="1042" spans="1:1" x14ac:dyDescent="0.3">
      <c r="A1042" s="74"/>
    </row>
    <row r="1043" spans="1:1" x14ac:dyDescent="0.3">
      <c r="A1043" s="74"/>
    </row>
    <row r="1044" spans="1:1" x14ac:dyDescent="0.3">
      <c r="A1044" s="67"/>
    </row>
    <row r="1045" spans="1:1" ht="75" x14ac:dyDescent="0.3">
      <c r="A1045" s="19" t="s">
        <v>3236</v>
      </c>
    </row>
    <row r="1046" spans="1:1" ht="75" x14ac:dyDescent="0.3">
      <c r="A1046" s="19" t="s">
        <v>3237</v>
      </c>
    </row>
    <row r="1047" spans="1:1" ht="75" x14ac:dyDescent="0.3">
      <c r="A1047" s="19" t="s">
        <v>3238</v>
      </c>
    </row>
    <row r="1048" spans="1:1" ht="60" x14ac:dyDescent="0.3">
      <c r="A1048" s="19" t="s">
        <v>3242</v>
      </c>
    </row>
    <row r="1049" spans="1:1" ht="60" x14ac:dyDescent="0.3">
      <c r="A1049" s="28" t="s">
        <v>3248</v>
      </c>
    </row>
    <row r="1050" spans="1:1" ht="60" x14ac:dyDescent="0.3">
      <c r="A1050" s="19" t="s">
        <v>3250</v>
      </c>
    </row>
    <row r="1051" spans="1:1" ht="60" x14ac:dyDescent="0.3">
      <c r="A1051" s="28" t="s">
        <v>3257</v>
      </c>
    </row>
    <row r="1052" spans="1:1" ht="60" x14ac:dyDescent="0.3">
      <c r="A1052" s="19" t="s">
        <v>3258</v>
      </c>
    </row>
    <row r="1053" spans="1:1" ht="60" x14ac:dyDescent="0.3">
      <c r="A1053" s="28" t="s">
        <v>3259</v>
      </c>
    </row>
    <row r="1054" spans="1:1" ht="105" x14ac:dyDescent="0.3">
      <c r="A1054" s="28" t="s">
        <v>3260</v>
      </c>
    </row>
    <row r="1055" spans="1:1" ht="105" x14ac:dyDescent="0.3">
      <c r="A1055" s="28" t="s">
        <v>3265</v>
      </c>
    </row>
    <row r="1056" spans="1:1" ht="105" x14ac:dyDescent="0.3">
      <c r="A1056" s="28" t="s">
        <v>3266</v>
      </c>
    </row>
    <row r="1057" spans="1:1" ht="105" x14ac:dyDescent="0.3">
      <c r="A1057" s="28" t="s">
        <v>3267</v>
      </c>
    </row>
    <row r="1058" spans="1:1" ht="45" x14ac:dyDescent="0.3">
      <c r="A1058" s="28" t="s">
        <v>3269</v>
      </c>
    </row>
    <row r="1059" spans="1:1" ht="45" x14ac:dyDescent="0.3">
      <c r="A1059" s="19" t="s">
        <v>3276</v>
      </c>
    </row>
    <row r="1060" spans="1:1" ht="45" x14ac:dyDescent="0.3">
      <c r="A1060" s="28" t="s">
        <v>3280</v>
      </c>
    </row>
    <row r="1061" spans="1:1" ht="75" x14ac:dyDescent="0.3">
      <c r="A1061" s="28" t="s">
        <v>3285</v>
      </c>
    </row>
    <row r="1062" spans="1:1" ht="75" x14ac:dyDescent="0.3">
      <c r="A1062" s="28" t="s">
        <v>3292</v>
      </c>
    </row>
    <row r="1063" spans="1:1" ht="75" x14ac:dyDescent="0.3">
      <c r="A1063" s="28" t="s">
        <v>3296</v>
      </c>
    </row>
    <row r="1064" spans="1:1" ht="75" x14ac:dyDescent="0.3">
      <c r="A1064" s="19" t="s">
        <v>3300</v>
      </c>
    </row>
    <row r="1065" spans="1:1" ht="75" x14ac:dyDescent="0.3">
      <c r="A1065" s="28" t="s">
        <v>3304</v>
      </c>
    </row>
    <row r="1066" spans="1:1" ht="75" x14ac:dyDescent="0.3">
      <c r="A1066" s="28" t="s">
        <v>3308</v>
      </c>
    </row>
    <row r="1067" spans="1:1" x14ac:dyDescent="0.3">
      <c r="A1067" s="66" t="s">
        <v>3312</v>
      </c>
    </row>
    <row r="1068" spans="1:1" x14ac:dyDescent="0.3">
      <c r="A1068" s="67"/>
    </row>
    <row r="1069" spans="1:1" x14ac:dyDescent="0.3">
      <c r="A1069" s="64" t="s">
        <v>3318</v>
      </c>
    </row>
    <row r="1070" spans="1:1" x14ac:dyDescent="0.3">
      <c r="A1070" s="65"/>
    </row>
    <row r="1071" spans="1:1" x14ac:dyDescent="0.3">
      <c r="A1071" s="64" t="s">
        <v>3324</v>
      </c>
    </row>
    <row r="1072" spans="1:1" x14ac:dyDescent="0.3">
      <c r="A1072" s="65"/>
    </row>
    <row r="1073" spans="1:1" ht="75" x14ac:dyDescent="0.3">
      <c r="A1073" s="28" t="s">
        <v>3331</v>
      </c>
    </row>
    <row r="1074" spans="1:1" ht="75" x14ac:dyDescent="0.3">
      <c r="A1074" s="28" t="s">
        <v>3339</v>
      </c>
    </row>
    <row r="1075" spans="1:1" ht="90" x14ac:dyDescent="0.3">
      <c r="A1075" s="28" t="s">
        <v>3340</v>
      </c>
    </row>
    <row r="1076" spans="1:1" ht="90" x14ac:dyDescent="0.3">
      <c r="A1076" s="44" t="s">
        <v>3341</v>
      </c>
    </row>
    <row r="1077" spans="1:1" ht="120" x14ac:dyDescent="0.3">
      <c r="A1077" s="41" t="s">
        <v>3342</v>
      </c>
    </row>
    <row r="1078" spans="1:1" ht="75" x14ac:dyDescent="0.3">
      <c r="A1078" s="19" t="s">
        <v>3343</v>
      </c>
    </row>
    <row r="1079" spans="1:1" ht="90" x14ac:dyDescent="0.3">
      <c r="A1079" s="44" t="s">
        <v>3344</v>
      </c>
    </row>
    <row r="1080" spans="1:1" ht="120" x14ac:dyDescent="0.3">
      <c r="A1080" s="41" t="s">
        <v>3345</v>
      </c>
    </row>
    <row r="1081" spans="1:1" ht="75" x14ac:dyDescent="0.3">
      <c r="A1081" s="28" t="s">
        <v>3346</v>
      </c>
    </row>
    <row r="1082" spans="1:1" ht="90" x14ac:dyDescent="0.3">
      <c r="A1082" s="44" t="s">
        <v>3347</v>
      </c>
    </row>
    <row r="1083" spans="1:1" ht="120" x14ac:dyDescent="0.3">
      <c r="A1083" s="41" t="s">
        <v>3348</v>
      </c>
    </row>
    <row r="1084" spans="1:1" ht="90" x14ac:dyDescent="0.3">
      <c r="A1084" s="19" t="s">
        <v>3350</v>
      </c>
    </row>
    <row r="1085" spans="1:1" ht="90" x14ac:dyDescent="0.3">
      <c r="A1085" s="19" t="s">
        <v>3360</v>
      </c>
    </row>
    <row r="1086" spans="1:1" ht="90" x14ac:dyDescent="0.3">
      <c r="A1086" s="19" t="s">
        <v>3361</v>
      </c>
    </row>
    <row r="1087" spans="1:1" ht="90" x14ac:dyDescent="0.3">
      <c r="A1087" s="19" t="s">
        <v>3364</v>
      </c>
    </row>
    <row r="1088" spans="1:1" x14ac:dyDescent="0.3">
      <c r="A1088" s="66" t="s">
        <v>3368</v>
      </c>
    </row>
    <row r="1089" spans="1:1" x14ac:dyDescent="0.3">
      <c r="A1089" s="74"/>
    </row>
    <row r="1090" spans="1:1" x14ac:dyDescent="0.3">
      <c r="A1090" s="74"/>
    </row>
    <row r="1091" spans="1:1" x14ac:dyDescent="0.3">
      <c r="A1091" s="74"/>
    </row>
    <row r="1092" spans="1:1" x14ac:dyDescent="0.3">
      <c r="A1092" s="74"/>
    </row>
    <row r="1093" spans="1:1" x14ac:dyDescent="0.3">
      <c r="A1093" s="74"/>
    </row>
    <row r="1094" spans="1:1" x14ac:dyDescent="0.3">
      <c r="A1094" s="74"/>
    </row>
    <row r="1095" spans="1:1" x14ac:dyDescent="0.3">
      <c r="A1095" s="67"/>
    </row>
    <row r="1096" spans="1:1" ht="60" x14ac:dyDescent="0.3">
      <c r="A1096" s="19" t="s">
        <v>3381</v>
      </c>
    </row>
    <row r="1097" spans="1:1" ht="60" x14ac:dyDescent="0.3">
      <c r="A1097" s="28" t="s">
        <v>3382</v>
      </c>
    </row>
    <row r="1098" spans="1:1" ht="60" x14ac:dyDescent="0.3">
      <c r="A1098" s="28" t="s">
        <v>3385</v>
      </c>
    </row>
    <row r="1099" spans="1:1" ht="105" x14ac:dyDescent="0.3">
      <c r="A1099" s="19" t="s">
        <v>3386</v>
      </c>
    </row>
    <row r="1100" spans="1:1" ht="105" x14ac:dyDescent="0.3">
      <c r="A1100" s="19" t="s">
        <v>3389</v>
      </c>
    </row>
    <row r="1101" spans="1:1" ht="105" x14ac:dyDescent="0.3">
      <c r="A1101" s="28" t="s">
        <v>3390</v>
      </c>
    </row>
    <row r="1102" spans="1:1" ht="75" x14ac:dyDescent="0.3">
      <c r="A1102" s="19" t="s">
        <v>3392</v>
      </c>
    </row>
    <row r="1103" spans="1:1" ht="75" x14ac:dyDescent="0.3">
      <c r="A1103" s="19" t="s">
        <v>3402</v>
      </c>
    </row>
    <row r="1104" spans="1:1" ht="90" x14ac:dyDescent="0.3">
      <c r="A1104" s="19" t="s">
        <v>3404</v>
      </c>
    </row>
    <row r="1105" spans="1:1" ht="75" x14ac:dyDescent="0.3">
      <c r="A1105" s="19" t="s">
        <v>3405</v>
      </c>
    </row>
    <row r="1106" spans="1:1" ht="75" x14ac:dyDescent="0.3">
      <c r="A1106" s="19" t="s">
        <v>3407</v>
      </c>
    </row>
    <row r="1107" spans="1:1" ht="150" x14ac:dyDescent="0.3">
      <c r="A1107" s="28" t="s">
        <v>3409</v>
      </c>
    </row>
    <row r="1108" spans="1:1" ht="150" x14ac:dyDescent="0.3">
      <c r="A1108" s="28" t="s">
        <v>3418</v>
      </c>
    </row>
    <row r="1109" spans="1:1" ht="150" x14ac:dyDescent="0.3">
      <c r="A1109" s="28" t="s">
        <v>3421</v>
      </c>
    </row>
    <row r="1110" spans="1:1" ht="150" x14ac:dyDescent="0.3">
      <c r="A1110" s="28" t="s">
        <v>3424</v>
      </c>
    </row>
    <row r="1111" spans="1:1" ht="150" x14ac:dyDescent="0.3">
      <c r="A1111" s="28" t="s">
        <v>3425</v>
      </c>
    </row>
    <row r="1112" spans="1:1" ht="150" x14ac:dyDescent="0.3">
      <c r="A1112" s="28" t="s">
        <v>3429</v>
      </c>
    </row>
    <row r="1113" spans="1:1" ht="150" x14ac:dyDescent="0.3">
      <c r="A1113" s="28" t="s">
        <v>3431</v>
      </c>
    </row>
    <row r="1114" spans="1:1" ht="150" x14ac:dyDescent="0.3">
      <c r="A1114" s="28" t="s">
        <v>3434</v>
      </c>
    </row>
    <row r="1115" spans="1:1" ht="60" x14ac:dyDescent="0.3">
      <c r="A1115" s="28" t="s">
        <v>3436</v>
      </c>
    </row>
    <row r="1116" spans="1:1" ht="75" x14ac:dyDescent="0.3">
      <c r="A1116" s="28" t="s">
        <v>3446</v>
      </c>
    </row>
    <row r="1117" spans="1:1" ht="75" x14ac:dyDescent="0.3">
      <c r="A1117" s="28" t="s">
        <v>3448</v>
      </c>
    </row>
    <row r="1118" spans="1:1" ht="60" x14ac:dyDescent="0.3">
      <c r="A1118" s="28" t="s">
        <v>3452</v>
      </c>
    </row>
    <row r="1119" spans="1:1" ht="60" x14ac:dyDescent="0.3">
      <c r="A1119" s="28" t="s">
        <v>3457</v>
      </c>
    </row>
    <row r="1120" spans="1:1" ht="60" x14ac:dyDescent="0.3">
      <c r="A1120" s="28" t="s">
        <v>3460</v>
      </c>
    </row>
    <row r="1121" spans="1:1" ht="60" x14ac:dyDescent="0.3">
      <c r="A1121" s="28" t="s">
        <v>3463</v>
      </c>
    </row>
    <row r="1122" spans="1:1" ht="60" x14ac:dyDescent="0.3">
      <c r="A1122" s="28" t="s">
        <v>3468</v>
      </c>
    </row>
    <row r="1123" spans="1:1" ht="60" x14ac:dyDescent="0.3">
      <c r="A1123" s="28" t="s">
        <v>3471</v>
      </c>
    </row>
    <row r="1124" spans="1:1" ht="60" x14ac:dyDescent="0.3">
      <c r="A1124" s="28" t="s">
        <v>3474</v>
      </c>
    </row>
    <row r="1125" spans="1:1" ht="60" x14ac:dyDescent="0.3">
      <c r="A1125" s="28" t="s">
        <v>3480</v>
      </c>
    </row>
    <row r="1126" spans="1:1" ht="60" x14ac:dyDescent="0.3">
      <c r="A1126" s="28" t="s">
        <v>3482</v>
      </c>
    </row>
    <row r="1127" spans="1:1" ht="60" x14ac:dyDescent="0.3">
      <c r="A1127" s="28" t="s">
        <v>3485</v>
      </c>
    </row>
    <row r="1128" spans="1:1" ht="60" x14ac:dyDescent="0.3">
      <c r="A1128" s="28" t="s">
        <v>3491</v>
      </c>
    </row>
    <row r="1129" spans="1:1" ht="60" x14ac:dyDescent="0.3">
      <c r="A1129" s="28" t="s">
        <v>3494</v>
      </c>
    </row>
    <row r="1130" spans="1:1" ht="60" x14ac:dyDescent="0.3">
      <c r="A1130" s="28" t="s">
        <v>3497</v>
      </c>
    </row>
    <row r="1131" spans="1:1" ht="60" x14ac:dyDescent="0.3">
      <c r="A1131" s="28" t="s">
        <v>3501</v>
      </c>
    </row>
    <row r="1132" spans="1:1" ht="60" x14ac:dyDescent="0.3">
      <c r="A1132" s="28" t="s">
        <v>3504</v>
      </c>
    </row>
    <row r="1133" spans="1:1" ht="60" x14ac:dyDescent="0.3">
      <c r="A1133" s="28" t="s">
        <v>3506</v>
      </c>
    </row>
    <row r="1134" spans="1:1" ht="60" x14ac:dyDescent="0.3">
      <c r="A1134" s="28" t="s">
        <v>3510</v>
      </c>
    </row>
    <row r="1135" spans="1:1" ht="60" x14ac:dyDescent="0.3">
      <c r="A1135" s="28" t="s">
        <v>3513</v>
      </c>
    </row>
    <row r="1136" spans="1:1" ht="60" x14ac:dyDescent="0.3">
      <c r="A1136" s="28" t="s">
        <v>3516</v>
      </c>
    </row>
    <row r="1137" spans="1:1" ht="60" x14ac:dyDescent="0.3">
      <c r="A1137" s="28" t="s">
        <v>3521</v>
      </c>
    </row>
    <row r="1138" spans="1:1" ht="60" x14ac:dyDescent="0.3">
      <c r="A1138" s="28" t="s">
        <v>3524</v>
      </c>
    </row>
    <row r="1139" spans="1:1" ht="105" x14ac:dyDescent="0.3">
      <c r="A1139" s="28" t="s">
        <v>3527</v>
      </c>
    </row>
    <row r="1140" spans="1:1" ht="105" x14ac:dyDescent="0.3">
      <c r="A1140" s="28" t="s">
        <v>3539</v>
      </c>
    </row>
    <row r="1141" spans="1:1" ht="105" x14ac:dyDescent="0.3">
      <c r="A1141" s="28" t="s">
        <v>3540</v>
      </c>
    </row>
    <row r="1142" spans="1:1" ht="105" x14ac:dyDescent="0.3">
      <c r="A1142" s="19" t="s">
        <v>3543</v>
      </c>
    </row>
    <row r="1143" spans="1:1" ht="105" x14ac:dyDescent="0.3">
      <c r="A1143" s="28" t="s">
        <v>3544</v>
      </c>
    </row>
    <row r="1144" spans="1:1" ht="105" x14ac:dyDescent="0.3">
      <c r="A1144" s="28" t="s">
        <v>3546</v>
      </c>
    </row>
    <row r="1145" spans="1:1" ht="75" x14ac:dyDescent="0.3">
      <c r="A1145" s="28" t="s">
        <v>3548</v>
      </c>
    </row>
    <row r="1146" spans="1:1" ht="75" x14ac:dyDescent="0.3">
      <c r="A1146" s="28" t="s">
        <v>3557</v>
      </c>
    </row>
    <row r="1147" spans="1:1" ht="60" x14ac:dyDescent="0.3">
      <c r="A1147" s="28" t="s">
        <v>3560</v>
      </c>
    </row>
    <row r="1148" spans="1:1" ht="75" x14ac:dyDescent="0.3">
      <c r="A1148" s="28" t="s">
        <v>3563</v>
      </c>
    </row>
    <row r="1149" spans="1:1" ht="60" x14ac:dyDescent="0.3">
      <c r="A1149" s="28" t="s">
        <v>3568</v>
      </c>
    </row>
    <row r="1150" spans="1:1" ht="75" x14ac:dyDescent="0.3">
      <c r="A1150" s="28" t="s">
        <v>3569</v>
      </c>
    </row>
    <row r="1151" spans="1:1" ht="60" x14ac:dyDescent="0.3">
      <c r="A1151" s="28" t="s">
        <v>3570</v>
      </c>
    </row>
    <row r="1152" spans="1:1" ht="60" x14ac:dyDescent="0.3">
      <c r="A1152" s="28" t="s">
        <v>3576</v>
      </c>
    </row>
    <row r="1153" spans="1:1" ht="75" x14ac:dyDescent="0.3">
      <c r="A1153" s="28" t="s">
        <v>3579</v>
      </c>
    </row>
    <row r="1154" spans="1:1" ht="75" x14ac:dyDescent="0.3">
      <c r="A1154" s="28" t="s">
        <v>3581</v>
      </c>
    </row>
    <row r="1155" spans="1:1" ht="60" x14ac:dyDescent="0.3">
      <c r="A1155" s="28" t="s">
        <v>3587</v>
      </c>
    </row>
    <row r="1156" spans="1:1" ht="75" x14ac:dyDescent="0.3">
      <c r="A1156" s="28" t="s">
        <v>3590</v>
      </c>
    </row>
    <row r="1157" spans="1:1" ht="60" x14ac:dyDescent="0.3">
      <c r="A1157" s="28" t="s">
        <v>3591</v>
      </c>
    </row>
    <row r="1158" spans="1:1" ht="60" x14ac:dyDescent="0.3">
      <c r="A1158" s="28" t="s">
        <v>3597</v>
      </c>
    </row>
    <row r="1159" spans="1:1" ht="60" x14ac:dyDescent="0.3">
      <c r="A1159" s="28" t="s">
        <v>3599</v>
      </c>
    </row>
    <row r="1160" spans="1:1" ht="60" x14ac:dyDescent="0.3">
      <c r="A1160" s="28" t="s">
        <v>3602</v>
      </c>
    </row>
    <row r="1161" spans="1:1" ht="60" x14ac:dyDescent="0.3">
      <c r="A1161" s="28" t="s">
        <v>3608</v>
      </c>
    </row>
    <row r="1162" spans="1:1" ht="60" x14ac:dyDescent="0.3">
      <c r="A1162" s="28" t="s">
        <v>3611</v>
      </c>
    </row>
    <row r="1163" spans="1:1" ht="90" x14ac:dyDescent="0.3">
      <c r="A1163" s="28" t="s">
        <v>3615</v>
      </c>
    </row>
    <row r="1164" spans="1:1" ht="90" x14ac:dyDescent="0.3">
      <c r="A1164" s="28" t="s">
        <v>3625</v>
      </c>
    </row>
    <row r="1165" spans="1:1" ht="90" x14ac:dyDescent="0.3">
      <c r="A1165" s="28" t="s">
        <v>3626</v>
      </c>
    </row>
    <row r="1166" spans="1:1" ht="90" x14ac:dyDescent="0.3">
      <c r="A1166" s="28" t="s">
        <v>3629</v>
      </c>
    </row>
    <row r="1167" spans="1:1" ht="90" x14ac:dyDescent="0.3">
      <c r="A1167" s="28" t="s">
        <v>3632</v>
      </c>
    </row>
    <row r="1168" spans="1:1" ht="90" x14ac:dyDescent="0.3">
      <c r="A1168" s="28" t="s">
        <v>3638</v>
      </c>
    </row>
    <row r="1169" spans="1:1" ht="90" x14ac:dyDescent="0.3">
      <c r="A1169" s="28" t="s">
        <v>3639</v>
      </c>
    </row>
    <row r="1170" spans="1:1" ht="90" x14ac:dyDescent="0.3">
      <c r="A1170" s="28" t="s">
        <v>3642</v>
      </c>
    </row>
    <row r="1171" spans="1:1" ht="90" x14ac:dyDescent="0.3">
      <c r="A1171" s="28" t="s">
        <v>3644</v>
      </c>
    </row>
    <row r="1172" spans="1:1" ht="90" x14ac:dyDescent="0.3">
      <c r="A1172" s="28" t="s">
        <v>3649</v>
      </c>
    </row>
    <row r="1173" spans="1:1" ht="90" x14ac:dyDescent="0.3">
      <c r="A1173" s="28" t="s">
        <v>3650</v>
      </c>
    </row>
    <row r="1174" spans="1:1" ht="90" x14ac:dyDescent="0.3">
      <c r="A1174" s="28" t="s">
        <v>3653</v>
      </c>
    </row>
    <row r="1175" spans="1:1" ht="60" x14ac:dyDescent="0.3">
      <c r="A1175" s="28" t="s">
        <v>3242</v>
      </c>
    </row>
    <row r="1176" spans="1:1" ht="60" x14ac:dyDescent="0.3">
      <c r="A1176" s="28" t="s">
        <v>3660</v>
      </c>
    </row>
    <row r="1177" spans="1:1" ht="60" x14ac:dyDescent="0.3">
      <c r="A1177" s="28" t="s">
        <v>3248</v>
      </c>
    </row>
    <row r="1178" spans="1:1" ht="75" x14ac:dyDescent="0.3">
      <c r="A1178" s="28" t="s">
        <v>3663</v>
      </c>
    </row>
    <row r="1179" spans="1:1" ht="75" x14ac:dyDescent="0.3">
      <c r="A1179" s="19" t="s">
        <v>3666</v>
      </c>
    </row>
    <row r="1180" spans="1:1" ht="75" x14ac:dyDescent="0.3">
      <c r="A1180" s="28" t="s">
        <v>3669</v>
      </c>
    </row>
    <row r="1181" spans="1:1" ht="120" x14ac:dyDescent="0.3">
      <c r="A1181" s="28" t="s">
        <v>3672</v>
      </c>
    </row>
    <row r="1182" spans="1:1" ht="120" x14ac:dyDescent="0.3">
      <c r="A1182" s="28" t="s">
        <v>3683</v>
      </c>
    </row>
    <row r="1183" spans="1:1" ht="120" x14ac:dyDescent="0.3">
      <c r="A1183" s="28" t="s">
        <v>3685</v>
      </c>
    </row>
    <row r="1184" spans="1:1" ht="120" x14ac:dyDescent="0.3">
      <c r="A1184" s="28" t="s">
        <v>3688</v>
      </c>
    </row>
    <row r="1185" spans="1:1" ht="120" x14ac:dyDescent="0.3">
      <c r="A1185" s="28" t="s">
        <v>3694</v>
      </c>
    </row>
    <row r="1186" spans="1:1" ht="120" x14ac:dyDescent="0.3">
      <c r="A1186" s="28" t="s">
        <v>3697</v>
      </c>
    </row>
    <row r="1187" spans="1:1" x14ac:dyDescent="0.3">
      <c r="A1187" s="66" t="s">
        <v>3701</v>
      </c>
    </row>
    <row r="1188" spans="1:1" x14ac:dyDescent="0.3">
      <c r="A1188" s="67"/>
    </row>
    <row r="1189" spans="1:1" ht="60" x14ac:dyDescent="0.3">
      <c r="A1189" s="19" t="s">
        <v>3710</v>
      </c>
    </row>
    <row r="1190" spans="1:1" ht="105" x14ac:dyDescent="0.3">
      <c r="A1190" s="19" t="s">
        <v>3712</v>
      </c>
    </row>
    <row r="1191" spans="1:1" ht="75" x14ac:dyDescent="0.3">
      <c r="A1191" s="19" t="s">
        <v>3722</v>
      </c>
    </row>
    <row r="1192" spans="1:1" ht="90" x14ac:dyDescent="0.3">
      <c r="A1192" s="19" t="s">
        <v>3725</v>
      </c>
    </row>
    <row r="1193" spans="1:1" ht="90" x14ac:dyDescent="0.3">
      <c r="A1193" s="19" t="s">
        <v>3726</v>
      </c>
    </row>
    <row r="1194" spans="1:1" ht="75" x14ac:dyDescent="0.3">
      <c r="A1194" s="28" t="s">
        <v>3728</v>
      </c>
    </row>
    <row r="1195" spans="1:1" ht="75" x14ac:dyDescent="0.3">
      <c r="A1195" s="28" t="s">
        <v>3739</v>
      </c>
    </row>
    <row r="1196" spans="1:1" ht="75" x14ac:dyDescent="0.3">
      <c r="A1196" s="28" t="s">
        <v>3741</v>
      </c>
    </row>
    <row r="1197" spans="1:1" ht="75" x14ac:dyDescent="0.3">
      <c r="A1197" s="28" t="s">
        <v>3744</v>
      </c>
    </row>
    <row r="1198" spans="1:1" ht="75" x14ac:dyDescent="0.3">
      <c r="A1198" s="28" t="s">
        <v>3750</v>
      </c>
    </row>
    <row r="1199" spans="1:1" ht="90" x14ac:dyDescent="0.3">
      <c r="A1199" s="28" t="s">
        <v>3751</v>
      </c>
    </row>
    <row r="1200" spans="1:1" ht="75" x14ac:dyDescent="0.3">
      <c r="A1200" s="28" t="s">
        <v>3754</v>
      </c>
    </row>
    <row r="1201" spans="1:1" ht="75" x14ac:dyDescent="0.3">
      <c r="A1201" s="28" t="s">
        <v>3760</v>
      </c>
    </row>
    <row r="1202" spans="1:1" ht="75" x14ac:dyDescent="0.3">
      <c r="A1202" s="28" t="s">
        <v>3762</v>
      </c>
    </row>
    <row r="1203" spans="1:1" ht="75" x14ac:dyDescent="0.3">
      <c r="A1203" s="28" t="s">
        <v>3765</v>
      </c>
    </row>
    <row r="1204" spans="1:1" ht="75" x14ac:dyDescent="0.3">
      <c r="A1204" s="28" t="s">
        <v>3771</v>
      </c>
    </row>
    <row r="1205" spans="1:1" ht="75" x14ac:dyDescent="0.3">
      <c r="A1205" s="28" t="s">
        <v>3773</v>
      </c>
    </row>
    <row r="1206" spans="1:1" ht="90" x14ac:dyDescent="0.3">
      <c r="A1206" s="19" t="s">
        <v>3777</v>
      </c>
    </row>
    <row r="1207" spans="1:1" ht="90" x14ac:dyDescent="0.3">
      <c r="A1207" s="28" t="s">
        <v>3786</v>
      </c>
    </row>
    <row r="1208" spans="1:1" ht="90" x14ac:dyDescent="0.3">
      <c r="A1208" s="28" t="s">
        <v>3787</v>
      </c>
    </row>
    <row r="1209" spans="1:1" ht="90" x14ac:dyDescent="0.3">
      <c r="A1209" s="28" t="s">
        <v>3789</v>
      </c>
    </row>
    <row r="1210" spans="1:1" ht="90" x14ac:dyDescent="0.3">
      <c r="A1210" s="28" t="s">
        <v>3790</v>
      </c>
    </row>
    <row r="1211" spans="1:1" ht="90" x14ac:dyDescent="0.3">
      <c r="A1211" s="28" t="s">
        <v>3791</v>
      </c>
    </row>
    <row r="1212" spans="1:1" ht="105" x14ac:dyDescent="0.3">
      <c r="A1212" s="28" t="s">
        <v>3792</v>
      </c>
    </row>
    <row r="1213" spans="1:1" ht="90" x14ac:dyDescent="0.3">
      <c r="A1213" s="28" t="s">
        <v>3795</v>
      </c>
    </row>
    <row r="1214" spans="1:1" ht="90" x14ac:dyDescent="0.3">
      <c r="A1214" s="28" t="s">
        <v>3796</v>
      </c>
    </row>
    <row r="1215" spans="1:1" ht="15.5" x14ac:dyDescent="0.35">
      <c r="A1215" s="39"/>
    </row>
    <row r="1216" spans="1:1" ht="90" x14ac:dyDescent="0.3">
      <c r="A1216" s="28" t="s">
        <v>3802</v>
      </c>
    </row>
    <row r="1217" spans="1:1" ht="90" x14ac:dyDescent="0.3">
      <c r="A1217" s="28" t="s">
        <v>3805</v>
      </c>
    </row>
    <row r="1218" spans="1:1" ht="105" x14ac:dyDescent="0.3">
      <c r="A1218" s="28" t="s">
        <v>3806</v>
      </c>
    </row>
    <row r="1219" spans="1:1" ht="105" x14ac:dyDescent="0.3">
      <c r="A1219" s="28" t="s">
        <v>3808</v>
      </c>
    </row>
    <row r="1220" spans="1:1" ht="90" x14ac:dyDescent="0.3">
      <c r="A1220" s="19" t="s">
        <v>3815</v>
      </c>
    </row>
    <row r="1221" spans="1:1" ht="90" x14ac:dyDescent="0.3">
      <c r="A1221" s="28" t="s">
        <v>3816</v>
      </c>
    </row>
    <row r="1222" spans="1:1" ht="90" x14ac:dyDescent="0.3">
      <c r="A1222" s="28" t="s">
        <v>3818</v>
      </c>
    </row>
    <row r="1223" spans="1:1" ht="90" x14ac:dyDescent="0.3">
      <c r="A1223" s="28" t="s">
        <v>3819</v>
      </c>
    </row>
    <row r="1224" spans="1:1" ht="105" x14ac:dyDescent="0.3">
      <c r="A1224" s="28" t="s">
        <v>3820</v>
      </c>
    </row>
    <row r="1225" spans="1:1" ht="90" x14ac:dyDescent="0.3">
      <c r="A1225" s="19" t="s">
        <v>3821</v>
      </c>
    </row>
    <row r="1226" spans="1:1" ht="90" x14ac:dyDescent="0.3">
      <c r="A1226" s="28" t="s">
        <v>3822</v>
      </c>
    </row>
    <row r="1227" spans="1:1" ht="90" x14ac:dyDescent="0.3">
      <c r="A1227" s="28" t="s">
        <v>3823</v>
      </c>
    </row>
    <row r="1228" spans="1:1" ht="75" x14ac:dyDescent="0.3">
      <c r="A1228" s="28" t="s">
        <v>3825</v>
      </c>
    </row>
    <row r="1229" spans="1:1" ht="75" x14ac:dyDescent="0.3">
      <c r="A1229" s="28" t="s">
        <v>3834</v>
      </c>
    </row>
    <row r="1230" spans="1:1" ht="75" x14ac:dyDescent="0.3">
      <c r="A1230" s="28" t="s">
        <v>3835</v>
      </c>
    </row>
    <row r="1231" spans="1:1" ht="60" x14ac:dyDescent="0.3">
      <c r="A1231" s="19" t="s">
        <v>3836</v>
      </c>
    </row>
    <row r="1232" spans="1:1" ht="75" x14ac:dyDescent="0.3">
      <c r="A1232" s="28" t="s">
        <v>3841</v>
      </c>
    </row>
    <row r="1233" spans="1:1" ht="75" x14ac:dyDescent="0.3">
      <c r="A1233" s="28" t="s">
        <v>3842</v>
      </c>
    </row>
    <row r="1234" spans="1:1" ht="75" x14ac:dyDescent="0.3">
      <c r="A1234" s="28" t="s">
        <v>3846</v>
      </c>
    </row>
    <row r="1235" spans="1:1" ht="120" x14ac:dyDescent="0.3">
      <c r="A1235" s="28" t="s">
        <v>3853</v>
      </c>
    </row>
    <row r="1236" spans="1:1" ht="120" x14ac:dyDescent="0.3">
      <c r="A1236" s="28" t="s">
        <v>3860</v>
      </c>
    </row>
    <row r="1237" spans="1:1" ht="135" x14ac:dyDescent="0.3">
      <c r="A1237" s="28" t="s">
        <v>3861</v>
      </c>
    </row>
    <row r="1238" spans="1:1" ht="135" x14ac:dyDescent="0.3">
      <c r="A1238" s="28" t="s">
        <v>3862</v>
      </c>
    </row>
    <row r="1239" spans="1:1" ht="135" x14ac:dyDescent="0.3">
      <c r="A1239" s="28" t="s">
        <v>3865</v>
      </c>
    </row>
    <row r="1240" spans="1:1" ht="135" x14ac:dyDescent="0.3">
      <c r="A1240" s="28" t="s">
        <v>3866</v>
      </c>
    </row>
    <row r="1241" spans="1:1" ht="135" x14ac:dyDescent="0.3">
      <c r="A1241" s="28" t="s">
        <v>3870</v>
      </c>
    </row>
    <row r="1242" spans="1:1" ht="150" x14ac:dyDescent="0.3">
      <c r="A1242" s="28" t="s">
        <v>3871</v>
      </c>
    </row>
    <row r="1243" spans="1:1" ht="120" x14ac:dyDescent="0.3">
      <c r="A1243" s="28" t="s">
        <v>3872</v>
      </c>
    </row>
    <row r="1244" spans="1:1" ht="135" x14ac:dyDescent="0.3">
      <c r="A1244" s="28" t="s">
        <v>3875</v>
      </c>
    </row>
    <row r="1245" spans="1:1" ht="135" x14ac:dyDescent="0.3">
      <c r="A1245" s="28" t="s">
        <v>3876</v>
      </c>
    </row>
    <row r="1246" spans="1:1" ht="120" x14ac:dyDescent="0.3">
      <c r="A1246" s="28" t="s">
        <v>3879</v>
      </c>
    </row>
    <row r="1247" spans="1:1" ht="135" x14ac:dyDescent="0.3">
      <c r="A1247" s="28" t="s">
        <v>3880</v>
      </c>
    </row>
    <row r="1248" spans="1:1" ht="120" x14ac:dyDescent="0.3">
      <c r="A1248" s="28" t="s">
        <v>3881</v>
      </c>
    </row>
    <row r="1249" spans="1:1" ht="135" x14ac:dyDescent="0.3">
      <c r="A1249" s="28" t="s">
        <v>3884</v>
      </c>
    </row>
    <row r="1250" spans="1:1" ht="75" x14ac:dyDescent="0.3">
      <c r="A1250" s="28" t="s">
        <v>3886</v>
      </c>
    </row>
    <row r="1251" spans="1:1" ht="90" x14ac:dyDescent="0.3">
      <c r="A1251" s="28" t="s">
        <v>3893</v>
      </c>
    </row>
    <row r="1252" spans="1:1" ht="90" x14ac:dyDescent="0.3">
      <c r="A1252" s="28" t="s">
        <v>3894</v>
      </c>
    </row>
    <row r="1253" spans="1:1" ht="90" x14ac:dyDescent="0.3">
      <c r="A1253" s="28" t="s">
        <v>3895</v>
      </c>
    </row>
    <row r="1254" spans="1:1" ht="90" x14ac:dyDescent="0.3">
      <c r="A1254" s="28" t="s">
        <v>3900</v>
      </c>
    </row>
    <row r="1255" spans="1:1" ht="90" x14ac:dyDescent="0.3">
      <c r="A1255" s="28" t="s">
        <v>3901</v>
      </c>
    </row>
    <row r="1256" spans="1:1" ht="90" x14ac:dyDescent="0.3">
      <c r="A1256" s="28" t="s">
        <v>3902</v>
      </c>
    </row>
    <row r="1257" spans="1:1" ht="90" x14ac:dyDescent="0.3">
      <c r="A1257" s="28" t="s">
        <v>3905</v>
      </c>
    </row>
    <row r="1258" spans="1:1" ht="90" x14ac:dyDescent="0.3">
      <c r="A1258" s="28" t="s">
        <v>3906</v>
      </c>
    </row>
    <row r="1259" spans="1:1" ht="75" x14ac:dyDescent="0.3">
      <c r="A1259" s="28" t="s">
        <v>3907</v>
      </c>
    </row>
    <row r="1260" spans="1:1" ht="75" x14ac:dyDescent="0.3">
      <c r="A1260" s="28" t="s">
        <v>3909</v>
      </c>
    </row>
    <row r="1261" spans="1:1" ht="75" x14ac:dyDescent="0.3">
      <c r="A1261" s="28" t="s">
        <v>3910</v>
      </c>
    </row>
    <row r="1262" spans="1:1" ht="75" x14ac:dyDescent="0.3">
      <c r="A1262" s="28" t="s">
        <v>3911</v>
      </c>
    </row>
    <row r="1263" spans="1:1" ht="75" x14ac:dyDescent="0.3">
      <c r="A1263" s="28" t="s">
        <v>3912</v>
      </c>
    </row>
    <row r="1264" spans="1:1" ht="75" x14ac:dyDescent="0.3">
      <c r="A1264" s="28" t="s">
        <v>3913</v>
      </c>
    </row>
    <row r="1265" spans="1:1" ht="75" x14ac:dyDescent="0.3">
      <c r="A1265" s="28" t="s">
        <v>3914</v>
      </c>
    </row>
    <row r="1266" spans="1:1" ht="75" x14ac:dyDescent="0.3">
      <c r="A1266" s="28" t="s">
        <v>3916</v>
      </c>
    </row>
    <row r="1267" spans="1:1" ht="75" x14ac:dyDescent="0.3">
      <c r="A1267" s="28" t="s">
        <v>3917</v>
      </c>
    </row>
    <row r="1268" spans="1:1" ht="90" x14ac:dyDescent="0.3">
      <c r="A1268" s="28" t="s">
        <v>3919</v>
      </c>
    </row>
    <row r="1269" spans="1:1" ht="90" x14ac:dyDescent="0.3">
      <c r="A1269" s="28" t="s">
        <v>3927</v>
      </c>
    </row>
    <row r="1270" spans="1:1" ht="90" x14ac:dyDescent="0.3">
      <c r="A1270" s="28" t="s">
        <v>3928</v>
      </c>
    </row>
    <row r="1271" spans="1:1" ht="90" x14ac:dyDescent="0.3">
      <c r="A1271" s="28" t="s">
        <v>3929</v>
      </c>
    </row>
    <row r="1272" spans="1:1" ht="90" x14ac:dyDescent="0.3">
      <c r="A1272" s="28" t="s">
        <v>3930</v>
      </c>
    </row>
    <row r="1273" spans="1:1" ht="90" x14ac:dyDescent="0.3">
      <c r="A1273" s="28" t="s">
        <v>3931</v>
      </c>
    </row>
    <row r="1274" spans="1:1" ht="90" x14ac:dyDescent="0.3">
      <c r="A1274" s="28" t="s">
        <v>3932</v>
      </c>
    </row>
    <row r="1275" spans="1:1" ht="90" x14ac:dyDescent="0.3">
      <c r="A1275" s="28" t="s">
        <v>3935</v>
      </c>
    </row>
    <row r="1276" spans="1:1" ht="90" x14ac:dyDescent="0.3">
      <c r="A1276" s="28" t="s">
        <v>3936</v>
      </c>
    </row>
    <row r="1277" spans="1:1" ht="90" x14ac:dyDescent="0.3">
      <c r="A1277" s="28" t="s">
        <v>3938</v>
      </c>
    </row>
    <row r="1278" spans="1:1" ht="105" x14ac:dyDescent="0.3">
      <c r="A1278" s="28" t="s">
        <v>3943</v>
      </c>
    </row>
    <row r="1279" spans="1:1" ht="105" x14ac:dyDescent="0.3">
      <c r="A1279" s="28" t="s">
        <v>3944</v>
      </c>
    </row>
    <row r="1280" spans="1:1" ht="90" x14ac:dyDescent="0.3">
      <c r="A1280" s="28" t="s">
        <v>3945</v>
      </c>
    </row>
    <row r="1281" spans="1:1" ht="90" x14ac:dyDescent="0.3">
      <c r="A1281" s="28" t="s">
        <v>3946</v>
      </c>
    </row>
    <row r="1282" spans="1:1" ht="105" x14ac:dyDescent="0.3">
      <c r="A1282" s="28" t="s">
        <v>3947</v>
      </c>
    </row>
    <row r="1283" spans="1:1" ht="90" x14ac:dyDescent="0.3">
      <c r="A1283" s="28" t="s">
        <v>3948</v>
      </c>
    </row>
    <row r="1284" spans="1:1" ht="105" x14ac:dyDescent="0.3">
      <c r="A1284" s="28" t="s">
        <v>3949</v>
      </c>
    </row>
    <row r="1285" spans="1:1" ht="105" x14ac:dyDescent="0.3">
      <c r="A1285" s="28" t="s">
        <v>3950</v>
      </c>
    </row>
    <row r="1286" spans="1:1" ht="120" x14ac:dyDescent="0.3">
      <c r="A1286" s="28" t="s">
        <v>3952</v>
      </c>
    </row>
    <row r="1287" spans="1:1" ht="120" x14ac:dyDescent="0.3">
      <c r="A1287" s="28" t="s">
        <v>3961</v>
      </c>
    </row>
    <row r="1288" spans="1:1" ht="120" x14ac:dyDescent="0.3">
      <c r="A1288" s="28" t="s">
        <v>3962</v>
      </c>
    </row>
    <row r="1289" spans="1:1" ht="120" x14ac:dyDescent="0.3">
      <c r="A1289" s="28" t="s">
        <v>3963</v>
      </c>
    </row>
    <row r="1290" spans="1:1" ht="120" x14ac:dyDescent="0.3">
      <c r="A1290" s="28" t="s">
        <v>3967</v>
      </c>
    </row>
    <row r="1291" spans="1:1" ht="120" x14ac:dyDescent="0.3">
      <c r="A1291" s="28" t="s">
        <v>3968</v>
      </c>
    </row>
    <row r="1292" spans="1:1" ht="120" x14ac:dyDescent="0.3">
      <c r="A1292" s="28" t="s">
        <v>3969</v>
      </c>
    </row>
    <row r="1293" spans="1:1" ht="120" x14ac:dyDescent="0.3">
      <c r="A1293" s="28" t="s">
        <v>3975</v>
      </c>
    </row>
    <row r="1294" spans="1:1" ht="120" x14ac:dyDescent="0.3">
      <c r="A1294" s="28" t="s">
        <v>3976</v>
      </c>
    </row>
    <row r="1295" spans="1:1" x14ac:dyDescent="0.3">
      <c r="A1295" s="66" t="s">
        <v>3978</v>
      </c>
    </row>
    <row r="1296" spans="1:1" x14ac:dyDescent="0.3">
      <c r="A1296" s="67"/>
    </row>
    <row r="1297" spans="1:1" ht="120" x14ac:dyDescent="0.25">
      <c r="A1297" s="49" t="s">
        <v>3988</v>
      </c>
    </row>
    <row r="1298" spans="1:1" ht="120" x14ac:dyDescent="0.3">
      <c r="A1298" s="19" t="s">
        <v>3989</v>
      </c>
    </row>
    <row r="1299" spans="1:1" ht="105" x14ac:dyDescent="0.3">
      <c r="A1299" s="28" t="s">
        <v>3991</v>
      </c>
    </row>
    <row r="1300" spans="1:1" ht="90" x14ac:dyDescent="0.3">
      <c r="A1300" s="28" t="s">
        <v>4004</v>
      </c>
    </row>
    <row r="1301" spans="1:1" ht="90" x14ac:dyDescent="0.3">
      <c r="A1301" s="28" t="s">
        <v>4005</v>
      </c>
    </row>
    <row r="1302" spans="1:1" ht="90" x14ac:dyDescent="0.3">
      <c r="A1302" s="28" t="s">
        <v>4006</v>
      </c>
    </row>
    <row r="1303" spans="1:1" ht="90" x14ac:dyDescent="0.3">
      <c r="A1303" s="28" t="s">
        <v>4007</v>
      </c>
    </row>
    <row r="1304" spans="1:1" ht="90" x14ac:dyDescent="0.3">
      <c r="A1304" s="28" t="s">
        <v>4008</v>
      </c>
    </row>
    <row r="1305" spans="1:1" ht="90" x14ac:dyDescent="0.3">
      <c r="A1305" s="28" t="s">
        <v>4009</v>
      </c>
    </row>
    <row r="1306" spans="1:1" ht="90" x14ac:dyDescent="0.3">
      <c r="A1306" s="28" t="s">
        <v>4010</v>
      </c>
    </row>
    <row r="1307" spans="1:1" ht="90" x14ac:dyDescent="0.3">
      <c r="A1307" s="28" t="s">
        <v>4011</v>
      </c>
    </row>
    <row r="1308" spans="1:1" ht="90" x14ac:dyDescent="0.3">
      <c r="A1308" s="28" t="s">
        <v>4012</v>
      </c>
    </row>
    <row r="1309" spans="1:1" ht="90" x14ac:dyDescent="0.3">
      <c r="A1309" s="28" t="s">
        <v>4013</v>
      </c>
    </row>
    <row r="1310" spans="1:1" ht="90" x14ac:dyDescent="0.3">
      <c r="A1310" s="28" t="s">
        <v>4014</v>
      </c>
    </row>
    <row r="1311" spans="1:1" ht="105" x14ac:dyDescent="0.3">
      <c r="A1311" s="28" t="s">
        <v>4016</v>
      </c>
    </row>
    <row r="1312" spans="1:1" ht="105" x14ac:dyDescent="0.3">
      <c r="A1312" s="28" t="s">
        <v>4025</v>
      </c>
    </row>
    <row r="1313" spans="1:1" ht="90" x14ac:dyDescent="0.3">
      <c r="A1313" s="28" t="s">
        <v>4026</v>
      </c>
    </row>
    <row r="1314" spans="1:1" ht="90" x14ac:dyDescent="0.3">
      <c r="A1314" s="28" t="s">
        <v>4028</v>
      </c>
    </row>
    <row r="1315" spans="1:1" ht="105" x14ac:dyDescent="0.3">
      <c r="A1315" s="28" t="s">
        <v>4029</v>
      </c>
    </row>
    <row r="1316" spans="1:1" ht="105" x14ac:dyDescent="0.3">
      <c r="A1316" s="28" t="s">
        <v>4030</v>
      </c>
    </row>
    <row r="1317" spans="1:1" ht="105" x14ac:dyDescent="0.3">
      <c r="A1317" s="28" t="s">
        <v>4031</v>
      </c>
    </row>
    <row r="1318" spans="1:1" ht="105" x14ac:dyDescent="0.3">
      <c r="A1318" s="28" t="s">
        <v>4037</v>
      </c>
    </row>
    <row r="1319" spans="1:1" ht="105" x14ac:dyDescent="0.3">
      <c r="A1319" s="28" t="s">
        <v>4038</v>
      </c>
    </row>
    <row r="1320" spans="1:1" ht="105" x14ac:dyDescent="0.3">
      <c r="A1320" s="28" t="s">
        <v>4040</v>
      </c>
    </row>
    <row r="1321" spans="1:1" ht="105" x14ac:dyDescent="0.3">
      <c r="A1321" s="28" t="s">
        <v>4041</v>
      </c>
    </row>
    <row r="1322" spans="1:1" ht="105" x14ac:dyDescent="0.3">
      <c r="A1322" s="28" t="s">
        <v>4042</v>
      </c>
    </row>
    <row r="1323" spans="1:1" ht="105" x14ac:dyDescent="0.3">
      <c r="A1323" s="28" t="s">
        <v>4043</v>
      </c>
    </row>
    <row r="1324" spans="1:1" ht="105" x14ac:dyDescent="0.3">
      <c r="A1324" s="28" t="s">
        <v>4048</v>
      </c>
    </row>
    <row r="1325" spans="1:1" ht="105" x14ac:dyDescent="0.3">
      <c r="A1325" s="28" t="s">
        <v>4049</v>
      </c>
    </row>
    <row r="1326" spans="1:1" ht="105" x14ac:dyDescent="0.3">
      <c r="A1326" s="28" t="s">
        <v>4052</v>
      </c>
    </row>
    <row r="1327" spans="1:1" ht="105" x14ac:dyDescent="0.3">
      <c r="A1327" s="28" t="s">
        <v>4053</v>
      </c>
    </row>
    <row r="1328" spans="1:1" ht="105" x14ac:dyDescent="0.3">
      <c r="A1328" s="28" t="s">
        <v>4054</v>
      </c>
    </row>
    <row r="1329" spans="1:1" ht="105" x14ac:dyDescent="0.3">
      <c r="A1329" s="28" t="s">
        <v>4055</v>
      </c>
    </row>
    <row r="1330" spans="1:1" ht="105" x14ac:dyDescent="0.3">
      <c r="A1330" s="28" t="s">
        <v>4060</v>
      </c>
    </row>
    <row r="1331" spans="1:1" ht="90" x14ac:dyDescent="0.3">
      <c r="A1331" s="28" t="s">
        <v>4061</v>
      </c>
    </row>
    <row r="1332" spans="1:1" ht="90" x14ac:dyDescent="0.3">
      <c r="A1332" s="28" t="s">
        <v>4064</v>
      </c>
    </row>
    <row r="1333" spans="1:1" ht="105" x14ac:dyDescent="0.3">
      <c r="A1333" s="28" t="s">
        <v>4065</v>
      </c>
    </row>
    <row r="1334" spans="1:1" ht="105" x14ac:dyDescent="0.3">
      <c r="A1334" s="28" t="s">
        <v>4066</v>
      </c>
    </row>
    <row r="1335" spans="1:1" ht="45" x14ac:dyDescent="0.3">
      <c r="A1335" s="28" t="s">
        <v>4067</v>
      </c>
    </row>
    <row r="1336" spans="1:1" x14ac:dyDescent="0.3">
      <c r="A1336" s="71" t="s">
        <v>4074</v>
      </c>
    </row>
    <row r="1337" spans="1:1" x14ac:dyDescent="0.3">
      <c r="A1337" s="72"/>
    </row>
    <row r="1338" spans="1:1" x14ac:dyDescent="0.3">
      <c r="A1338" s="73"/>
    </row>
    <row r="1339" spans="1:1" ht="45" x14ac:dyDescent="0.3">
      <c r="A1339" s="19" t="s">
        <v>4084</v>
      </c>
    </row>
    <row r="1340" spans="1:1" ht="60" x14ac:dyDescent="0.25">
      <c r="A1340" s="49" t="s">
        <v>4091</v>
      </c>
    </row>
    <row r="1341" spans="1:1" ht="60" x14ac:dyDescent="0.3">
      <c r="A1341" s="19" t="s">
        <v>4100</v>
      </c>
    </row>
    <row r="1342" spans="1:1" ht="60" x14ac:dyDescent="0.3">
      <c r="A1342" s="19" t="s">
        <v>4104</v>
      </c>
    </row>
    <row r="1343" spans="1:1" ht="60" x14ac:dyDescent="0.3">
      <c r="A1343" s="28" t="s">
        <v>4106</v>
      </c>
    </row>
    <row r="1344" spans="1:1" ht="75" x14ac:dyDescent="0.3">
      <c r="A1344" s="28" t="s">
        <v>4117</v>
      </c>
    </row>
    <row r="1345" spans="1:1" ht="60" x14ac:dyDescent="0.3">
      <c r="A1345" s="28" t="s">
        <v>4120</v>
      </c>
    </row>
    <row r="1346" spans="1:1" ht="60" x14ac:dyDescent="0.3">
      <c r="A1346" s="28" t="s">
        <v>4121</v>
      </c>
    </row>
    <row r="1347" spans="1:1" ht="75" x14ac:dyDescent="0.3">
      <c r="A1347" s="19" t="s">
        <v>4123</v>
      </c>
    </row>
    <row r="1348" spans="1:1" ht="60" x14ac:dyDescent="0.3">
      <c r="A1348" s="28" t="s">
        <v>4125</v>
      </c>
    </row>
    <row r="1349" spans="1:1" ht="60" x14ac:dyDescent="0.3">
      <c r="A1349" s="28" t="s">
        <v>4126</v>
      </c>
    </row>
    <row r="1350" spans="1:1" ht="75" x14ac:dyDescent="0.3">
      <c r="A1350" s="19" t="s">
        <v>4127</v>
      </c>
    </row>
    <row r="1351" spans="1:1" ht="60" x14ac:dyDescent="0.3">
      <c r="A1351" s="28" t="s">
        <v>4128</v>
      </c>
    </row>
    <row r="1352" spans="1:1" ht="120" x14ac:dyDescent="0.3">
      <c r="A1352" s="28" t="s">
        <v>4130</v>
      </c>
    </row>
    <row r="1353" spans="1:1" ht="120" x14ac:dyDescent="0.3">
      <c r="A1353" s="51" t="s">
        <v>4137</v>
      </c>
    </row>
    <row r="1354" spans="1:1" ht="135" x14ac:dyDescent="0.3">
      <c r="A1354" s="28" t="s">
        <v>4138</v>
      </c>
    </row>
    <row r="1355" spans="1:1" ht="135" x14ac:dyDescent="0.3">
      <c r="A1355" s="28" t="s">
        <v>4139</v>
      </c>
    </row>
    <row r="1356" spans="1:1" ht="120" x14ac:dyDescent="0.3">
      <c r="A1356" s="51" t="s">
        <v>4140</v>
      </c>
    </row>
    <row r="1357" spans="1:1" ht="135" x14ac:dyDescent="0.3">
      <c r="A1357" s="28" t="s">
        <v>4141</v>
      </c>
    </row>
    <row r="1358" spans="1:1" ht="135" x14ac:dyDescent="0.3">
      <c r="A1358" s="28" t="s">
        <v>4142</v>
      </c>
    </row>
    <row r="1359" spans="1:1" ht="120" x14ac:dyDescent="0.3">
      <c r="A1359" s="28" t="s">
        <v>4148</v>
      </c>
    </row>
    <row r="1360" spans="1:1" ht="120" x14ac:dyDescent="0.3">
      <c r="A1360" s="28" t="s">
        <v>4149</v>
      </c>
    </row>
    <row r="1361" spans="1:1" ht="135" x14ac:dyDescent="0.3">
      <c r="A1361" s="28" t="s">
        <v>4150</v>
      </c>
    </row>
    <row r="1362" spans="1:1" ht="120" x14ac:dyDescent="0.3">
      <c r="A1362" s="28" t="s">
        <v>4151</v>
      </c>
    </row>
    <row r="1363" spans="1:1" ht="120" x14ac:dyDescent="0.3">
      <c r="A1363" s="28" t="s">
        <v>4152</v>
      </c>
    </row>
    <row r="1364" spans="1:1" ht="120" x14ac:dyDescent="0.3">
      <c r="A1364" s="28" t="s">
        <v>4153</v>
      </c>
    </row>
    <row r="1365" spans="1:1" ht="120" x14ac:dyDescent="0.3">
      <c r="A1365" s="28" t="s">
        <v>4158</v>
      </c>
    </row>
    <row r="1366" spans="1:1" ht="120" x14ac:dyDescent="0.3">
      <c r="A1366" s="28" t="s">
        <v>4159</v>
      </c>
    </row>
    <row r="1367" spans="1:1" ht="120" x14ac:dyDescent="0.3">
      <c r="A1367" s="28" t="s">
        <v>4160</v>
      </c>
    </row>
    <row r="1368" spans="1:1" ht="120" x14ac:dyDescent="0.3">
      <c r="A1368" s="28" t="s">
        <v>4161</v>
      </c>
    </row>
    <row r="1369" spans="1:1" ht="120" x14ac:dyDescent="0.3">
      <c r="A1369" s="28" t="s">
        <v>4162</v>
      </c>
    </row>
    <row r="1370" spans="1:1" ht="60" x14ac:dyDescent="0.3">
      <c r="A1370" s="19" t="s">
        <v>4164</v>
      </c>
    </row>
    <row r="1371" spans="1:1" ht="60" x14ac:dyDescent="0.3">
      <c r="A1371" s="19" t="s">
        <v>4170</v>
      </c>
    </row>
    <row r="1372" spans="1:1" ht="60" x14ac:dyDescent="0.3">
      <c r="A1372" s="19" t="s">
        <v>4171</v>
      </c>
    </row>
    <row r="1373" spans="1:1" ht="60" x14ac:dyDescent="0.3">
      <c r="A1373" s="19" t="s">
        <v>4172</v>
      </c>
    </row>
    <row r="1374" spans="1:1" ht="60" x14ac:dyDescent="0.3">
      <c r="A1374" s="19" t="s">
        <v>4177</v>
      </c>
    </row>
    <row r="1375" spans="1:1" ht="60" x14ac:dyDescent="0.3">
      <c r="A1375" s="19" t="s">
        <v>4178</v>
      </c>
    </row>
    <row r="1376" spans="1:1" ht="75" x14ac:dyDescent="0.3">
      <c r="A1376" s="28" t="s">
        <v>4180</v>
      </c>
    </row>
    <row r="1377" spans="1:1" ht="75" x14ac:dyDescent="0.3">
      <c r="A1377" s="28" t="s">
        <v>4190</v>
      </c>
    </row>
    <row r="1378" spans="1:1" ht="75" x14ac:dyDescent="0.3">
      <c r="A1378" s="28" t="s">
        <v>4191</v>
      </c>
    </row>
    <row r="1379" spans="1:1" ht="75" x14ac:dyDescent="0.3">
      <c r="A1379" s="28" t="s">
        <v>4194</v>
      </c>
    </row>
    <row r="1380" spans="1:1" ht="90" x14ac:dyDescent="0.3">
      <c r="A1380" s="28" t="s">
        <v>4195</v>
      </c>
    </row>
    <row r="1381" spans="1:1" ht="90" x14ac:dyDescent="0.3">
      <c r="A1381" s="28" t="s">
        <v>4198</v>
      </c>
    </row>
    <row r="1382" spans="1:1" ht="120" x14ac:dyDescent="0.3">
      <c r="A1382" s="28" t="s">
        <v>4200</v>
      </c>
    </row>
    <row r="1383" spans="1:1" ht="120" x14ac:dyDescent="0.3">
      <c r="A1383" s="28" t="s">
        <v>4208</v>
      </c>
    </row>
    <row r="1384" spans="1:1" ht="120" x14ac:dyDescent="0.3">
      <c r="A1384" s="28" t="s">
        <v>4209</v>
      </c>
    </row>
    <row r="1385" spans="1:1" ht="120" x14ac:dyDescent="0.3">
      <c r="A1385" s="28" t="s">
        <v>4210</v>
      </c>
    </row>
    <row r="1386" spans="1:1" ht="120" x14ac:dyDescent="0.3">
      <c r="A1386" s="28" t="s">
        <v>4211</v>
      </c>
    </row>
    <row r="1387" spans="1:1" ht="120" x14ac:dyDescent="0.3">
      <c r="A1387" s="28" t="s">
        <v>4212</v>
      </c>
    </row>
    <row r="1388" spans="1:1" ht="135" x14ac:dyDescent="0.3">
      <c r="A1388" s="28" t="s">
        <v>4213</v>
      </c>
    </row>
    <row r="1389" spans="1:1" ht="135" x14ac:dyDescent="0.3">
      <c r="A1389" s="28" t="s">
        <v>4217</v>
      </c>
    </row>
    <row r="1390" spans="1:1" ht="120" x14ac:dyDescent="0.3">
      <c r="A1390" s="28" t="s">
        <v>4218</v>
      </c>
    </row>
    <row r="1391" spans="1:1" ht="120" x14ac:dyDescent="0.3">
      <c r="A1391" s="28" t="s">
        <v>4219</v>
      </c>
    </row>
    <row r="1392" spans="1:1" ht="135" x14ac:dyDescent="0.3">
      <c r="A1392" s="28" t="s">
        <v>4220</v>
      </c>
    </row>
    <row r="1393" spans="1:1" ht="120" x14ac:dyDescent="0.3">
      <c r="A1393" s="28" t="s">
        <v>4221</v>
      </c>
    </row>
    <row r="1394" spans="1:1" ht="75" x14ac:dyDescent="0.3">
      <c r="A1394" s="19" t="s">
        <v>4223</v>
      </c>
    </row>
    <row r="1395" spans="1:1" ht="75" x14ac:dyDescent="0.3">
      <c r="A1395" s="19" t="s">
        <v>4236</v>
      </c>
    </row>
    <row r="1396" spans="1:1" ht="15" x14ac:dyDescent="0.3">
      <c r="A1396" s="19" t="s">
        <v>70</v>
      </c>
    </row>
    <row r="1397" spans="1:1" ht="105" x14ac:dyDescent="0.3">
      <c r="A1397" s="19" t="s">
        <v>4240</v>
      </c>
    </row>
    <row r="1398" spans="1:1" ht="105" x14ac:dyDescent="0.3">
      <c r="A1398" s="19" t="s">
        <v>4245</v>
      </c>
    </row>
    <row r="1399" spans="1:1" ht="75" x14ac:dyDescent="0.3">
      <c r="A1399" s="28" t="s">
        <v>4248</v>
      </c>
    </row>
    <row r="1400" spans="1:1" ht="75" x14ac:dyDescent="0.3">
      <c r="A1400" s="28" t="s">
        <v>4256</v>
      </c>
    </row>
    <row r="1401" spans="1:1" ht="75" x14ac:dyDescent="0.3">
      <c r="A1401" s="28" t="s">
        <v>4258</v>
      </c>
    </row>
    <row r="1402" spans="1:1" ht="75" x14ac:dyDescent="0.3">
      <c r="A1402" s="28" t="s">
        <v>4259</v>
      </c>
    </row>
    <row r="1403" spans="1:1" ht="75" x14ac:dyDescent="0.3">
      <c r="A1403" s="28" t="s">
        <v>4260</v>
      </c>
    </row>
    <row r="1404" spans="1:1" ht="75" x14ac:dyDescent="0.3">
      <c r="A1404" s="28" t="s">
        <v>4261</v>
      </c>
    </row>
    <row r="1405" spans="1:1" ht="75" x14ac:dyDescent="0.3">
      <c r="A1405" s="28" t="s">
        <v>4262</v>
      </c>
    </row>
    <row r="1406" spans="1:1" ht="75" x14ac:dyDescent="0.3">
      <c r="A1406" s="28" t="s">
        <v>4263</v>
      </c>
    </row>
    <row r="1407" spans="1:1" ht="75" x14ac:dyDescent="0.3">
      <c r="A1407" s="28" t="s">
        <v>4264</v>
      </c>
    </row>
    <row r="1408" spans="1:1" ht="75" x14ac:dyDescent="0.3">
      <c r="A1408" s="28" t="s">
        <v>4265</v>
      </c>
    </row>
    <row r="1409" spans="1:1" ht="75" x14ac:dyDescent="0.3">
      <c r="A1409" s="28" t="s">
        <v>4266</v>
      </c>
    </row>
    <row r="1410" spans="1:1" ht="75" x14ac:dyDescent="0.3">
      <c r="A1410" s="28" t="s">
        <v>4267</v>
      </c>
    </row>
    <row r="1411" spans="1:1" ht="90" x14ac:dyDescent="0.3">
      <c r="A1411" s="28" t="s">
        <v>4269</v>
      </c>
    </row>
    <row r="1412" spans="1:1" ht="90" x14ac:dyDescent="0.3">
      <c r="A1412" s="28" t="s">
        <v>4278</v>
      </c>
    </row>
    <row r="1413" spans="1:1" ht="90" x14ac:dyDescent="0.3">
      <c r="A1413" s="28" t="s">
        <v>4280</v>
      </c>
    </row>
    <row r="1414" spans="1:1" ht="90" x14ac:dyDescent="0.3">
      <c r="A1414" s="28" t="s">
        <v>4281</v>
      </c>
    </row>
    <row r="1415" spans="1:1" ht="90" x14ac:dyDescent="0.3">
      <c r="A1415" s="28" t="s">
        <v>4282</v>
      </c>
    </row>
    <row r="1416" spans="1:1" ht="90" x14ac:dyDescent="0.3">
      <c r="A1416" s="28" t="s">
        <v>4283</v>
      </c>
    </row>
    <row r="1417" spans="1:1" ht="90" x14ac:dyDescent="0.3">
      <c r="A1417" s="28" t="s">
        <v>4284</v>
      </c>
    </row>
    <row r="1418" spans="1:1" ht="90" x14ac:dyDescent="0.3">
      <c r="A1418" s="28" t="s">
        <v>4288</v>
      </c>
    </row>
    <row r="1419" spans="1:1" ht="90" x14ac:dyDescent="0.3">
      <c r="A1419" s="28" t="s">
        <v>4290</v>
      </c>
    </row>
    <row r="1420" spans="1:1" ht="90" x14ac:dyDescent="0.3">
      <c r="A1420" s="28" t="s">
        <v>4291</v>
      </c>
    </row>
    <row r="1421" spans="1:1" ht="90" x14ac:dyDescent="0.3">
      <c r="A1421" s="28" t="s">
        <v>4292</v>
      </c>
    </row>
    <row r="1422" spans="1:1" ht="90" x14ac:dyDescent="0.3">
      <c r="A1422" s="28" t="s">
        <v>4293</v>
      </c>
    </row>
    <row r="1423" spans="1:1" ht="45" x14ac:dyDescent="0.3">
      <c r="A1423" s="28" t="s">
        <v>4295</v>
      </c>
    </row>
    <row r="1424" spans="1:1" ht="45" x14ac:dyDescent="0.3">
      <c r="A1424" s="28" t="s">
        <v>4306</v>
      </c>
    </row>
    <row r="1425" spans="1:1" ht="45" x14ac:dyDescent="0.3">
      <c r="A1425" s="28" t="s">
        <v>4311</v>
      </c>
    </row>
    <row r="1426" spans="1:1" ht="45" x14ac:dyDescent="0.3">
      <c r="A1426" s="28" t="s">
        <v>4312</v>
      </c>
    </row>
    <row r="1427" spans="1:1" ht="60" x14ac:dyDescent="0.3">
      <c r="A1427" s="28" t="s">
        <v>4313</v>
      </c>
    </row>
    <row r="1428" spans="1:1" ht="45" x14ac:dyDescent="0.3">
      <c r="A1428" s="28" t="s">
        <v>4314</v>
      </c>
    </row>
    <row r="1429" spans="1:1" ht="75" x14ac:dyDescent="0.3">
      <c r="A1429" s="28" t="s">
        <v>4316</v>
      </c>
    </row>
    <row r="1430" spans="1:1" ht="75" x14ac:dyDescent="0.3">
      <c r="A1430" s="28" t="s">
        <v>4325</v>
      </c>
    </row>
    <row r="1431" spans="1:1" ht="75" x14ac:dyDescent="0.3">
      <c r="A1431" s="28" t="s">
        <v>4329</v>
      </c>
    </row>
    <row r="1432" spans="1:1" ht="75" x14ac:dyDescent="0.3">
      <c r="A1432" s="28" t="s">
        <v>4333</v>
      </c>
    </row>
    <row r="1433" spans="1:1" ht="75" x14ac:dyDescent="0.3">
      <c r="A1433" s="28" t="s">
        <v>4336</v>
      </c>
    </row>
    <row r="1434" spans="1:1" ht="75" x14ac:dyDescent="0.3">
      <c r="A1434" s="28" t="s">
        <v>4341</v>
      </c>
    </row>
    <row r="1435" spans="1:1" ht="75" x14ac:dyDescent="0.3">
      <c r="A1435" s="28" t="s">
        <v>4342</v>
      </c>
    </row>
    <row r="1436" spans="1:1" ht="75" x14ac:dyDescent="0.3">
      <c r="A1436" s="28" t="s">
        <v>4343</v>
      </c>
    </row>
    <row r="1437" spans="1:1" ht="75" x14ac:dyDescent="0.3">
      <c r="A1437" s="28" t="s">
        <v>4344</v>
      </c>
    </row>
    <row r="1438" spans="1:1" ht="75" x14ac:dyDescent="0.3">
      <c r="A1438" s="28" t="s">
        <v>4345</v>
      </c>
    </row>
    <row r="1439" spans="1:1" ht="75" x14ac:dyDescent="0.3">
      <c r="A1439" s="28" t="s">
        <v>4346</v>
      </c>
    </row>
    <row r="1440" spans="1:1" ht="75" x14ac:dyDescent="0.3">
      <c r="A1440" s="28" t="s">
        <v>4347</v>
      </c>
    </row>
    <row r="1441" spans="1:1" ht="75" x14ac:dyDescent="0.3">
      <c r="A1441" s="28" t="s">
        <v>4349</v>
      </c>
    </row>
    <row r="1442" spans="1:1" ht="75" x14ac:dyDescent="0.3">
      <c r="A1442" s="28" t="s">
        <v>4350</v>
      </c>
    </row>
    <row r="1443" spans="1:1" ht="75" x14ac:dyDescent="0.3">
      <c r="A1443" s="28" t="s">
        <v>4352</v>
      </c>
    </row>
    <row r="1444" spans="1:1" ht="75" x14ac:dyDescent="0.3">
      <c r="A1444" s="19" t="s">
        <v>4355</v>
      </c>
    </row>
    <row r="1445" spans="1:1" ht="75" x14ac:dyDescent="0.3">
      <c r="A1445" s="19" t="s">
        <v>4365</v>
      </c>
    </row>
    <row r="1446" spans="1:1" ht="75" x14ac:dyDescent="0.3">
      <c r="A1446" s="19" t="s">
        <v>4366</v>
      </c>
    </row>
    <row r="1447" spans="1:1" ht="75" x14ac:dyDescent="0.3">
      <c r="A1447" s="19" t="s">
        <v>4369</v>
      </c>
    </row>
    <row r="1448" spans="1:1" ht="75" x14ac:dyDescent="0.3">
      <c r="A1448" s="19" t="s">
        <v>4370</v>
      </c>
    </row>
    <row r="1449" spans="1:1" ht="75" x14ac:dyDescent="0.3">
      <c r="A1449" s="19" t="s">
        <v>4372</v>
      </c>
    </row>
    <row r="1450" spans="1:1" ht="90" x14ac:dyDescent="0.3">
      <c r="A1450" s="28" t="s">
        <v>4374</v>
      </c>
    </row>
    <row r="1451" spans="1:1" ht="90" x14ac:dyDescent="0.3">
      <c r="A1451" s="28" t="s">
        <v>4383</v>
      </c>
    </row>
    <row r="1452" spans="1:1" ht="105" x14ac:dyDescent="0.3">
      <c r="A1452" s="28" t="s">
        <v>4384</v>
      </c>
    </row>
    <row r="1453" spans="1:1" ht="90" x14ac:dyDescent="0.3">
      <c r="A1453" s="28" t="s">
        <v>4386</v>
      </c>
    </row>
    <row r="1454" spans="1:1" ht="90" x14ac:dyDescent="0.3">
      <c r="A1454" s="28" t="s">
        <v>4387</v>
      </c>
    </row>
    <row r="1455" spans="1:1" ht="90" x14ac:dyDescent="0.3">
      <c r="A1455" s="28" t="s">
        <v>4390</v>
      </c>
    </row>
    <row r="1456" spans="1:1" ht="90" x14ac:dyDescent="0.3">
      <c r="A1456" s="28" t="s">
        <v>4391</v>
      </c>
    </row>
    <row r="1457" spans="1:1" ht="105" x14ac:dyDescent="0.3">
      <c r="A1457" s="28" t="s">
        <v>4396</v>
      </c>
    </row>
    <row r="1458" spans="1:1" ht="105" x14ac:dyDescent="0.3">
      <c r="A1458" s="28" t="s">
        <v>4397</v>
      </c>
    </row>
    <row r="1459" spans="1:1" ht="90" x14ac:dyDescent="0.3">
      <c r="A1459" s="28" t="s">
        <v>4400</v>
      </c>
    </row>
    <row r="1460" spans="1:1" ht="90" x14ac:dyDescent="0.3">
      <c r="A1460" s="28" t="s">
        <v>4401</v>
      </c>
    </row>
    <row r="1461" spans="1:1" ht="90" x14ac:dyDescent="0.3">
      <c r="A1461" s="28" t="s">
        <v>4403</v>
      </c>
    </row>
    <row r="1462" spans="1:1" ht="90" x14ac:dyDescent="0.3">
      <c r="A1462" s="28" t="s">
        <v>4404</v>
      </c>
    </row>
    <row r="1463" spans="1:1" ht="90" x14ac:dyDescent="0.3">
      <c r="A1463" s="28" t="s">
        <v>4408</v>
      </c>
    </row>
    <row r="1464" spans="1:1" ht="90" x14ac:dyDescent="0.3">
      <c r="A1464" s="28" t="s">
        <v>4410</v>
      </c>
    </row>
    <row r="1465" spans="1:1" ht="90" x14ac:dyDescent="0.3">
      <c r="A1465" s="28" t="s">
        <v>4413</v>
      </c>
    </row>
    <row r="1466" spans="1:1" ht="90" x14ac:dyDescent="0.3">
      <c r="A1466" s="28" t="s">
        <v>4414</v>
      </c>
    </row>
    <row r="1467" spans="1:1" ht="90" x14ac:dyDescent="0.3">
      <c r="A1467" s="28" t="s">
        <v>4417</v>
      </c>
    </row>
    <row r="1468" spans="1:1" ht="90" x14ac:dyDescent="0.3">
      <c r="A1468" s="28" t="s">
        <v>4418</v>
      </c>
    </row>
    <row r="1469" spans="1:1" ht="90" x14ac:dyDescent="0.3">
      <c r="A1469" s="28" t="s">
        <v>4421</v>
      </c>
    </row>
    <row r="1470" spans="1:1" ht="105" x14ac:dyDescent="0.3">
      <c r="A1470" s="28" t="s">
        <v>4422</v>
      </c>
    </row>
    <row r="1471" spans="1:1" ht="90" x14ac:dyDescent="0.3">
      <c r="A1471" s="28" t="s">
        <v>4425</v>
      </c>
    </row>
    <row r="1472" spans="1:1" ht="90" x14ac:dyDescent="0.3">
      <c r="A1472" s="28" t="s">
        <v>4426</v>
      </c>
    </row>
    <row r="1473" spans="1:1" ht="90" x14ac:dyDescent="0.3">
      <c r="A1473" s="28" t="s">
        <v>4429</v>
      </c>
    </row>
    <row r="1474" spans="1:1" ht="90" x14ac:dyDescent="0.3">
      <c r="A1474" s="28" t="s">
        <v>4431</v>
      </c>
    </row>
    <row r="1475" spans="1:1" ht="105" x14ac:dyDescent="0.3">
      <c r="A1475" s="28" t="s">
        <v>4442</v>
      </c>
    </row>
    <row r="1476" spans="1:1" ht="105" x14ac:dyDescent="0.3">
      <c r="A1476" s="28" t="s">
        <v>4443</v>
      </c>
    </row>
    <row r="1477" spans="1:1" ht="90" x14ac:dyDescent="0.3">
      <c r="A1477" s="28" t="s">
        <v>4446</v>
      </c>
    </row>
    <row r="1478" spans="1:1" ht="90" x14ac:dyDescent="0.3">
      <c r="A1478" s="28" t="s">
        <v>4447</v>
      </c>
    </row>
    <row r="1479" spans="1:1" ht="90" x14ac:dyDescent="0.3">
      <c r="A1479" s="28" t="s">
        <v>4449</v>
      </c>
    </row>
    <row r="1480" spans="1:1" ht="90" x14ac:dyDescent="0.3">
      <c r="A1480" s="28" t="s">
        <v>4450</v>
      </c>
    </row>
    <row r="1481" spans="1:1" ht="105" x14ac:dyDescent="0.3">
      <c r="A1481" s="28" t="s">
        <v>4455</v>
      </c>
    </row>
    <row r="1482" spans="1:1" ht="105" x14ac:dyDescent="0.3">
      <c r="A1482" s="28" t="s">
        <v>4456</v>
      </c>
    </row>
    <row r="1483" spans="1:1" ht="90" x14ac:dyDescent="0.3">
      <c r="A1483" s="28" t="s">
        <v>4459</v>
      </c>
    </row>
    <row r="1484" spans="1:1" ht="90" x14ac:dyDescent="0.3">
      <c r="A1484" s="28" t="s">
        <v>4460</v>
      </c>
    </row>
    <row r="1485" spans="1:1" ht="90" x14ac:dyDescent="0.3">
      <c r="A1485" s="28" t="s">
        <v>4463</v>
      </c>
    </row>
    <row r="1486" spans="1:1" ht="90" x14ac:dyDescent="0.3">
      <c r="A1486" s="28" t="s">
        <v>4464</v>
      </c>
    </row>
    <row r="1487" spans="1:1" ht="90" x14ac:dyDescent="0.3">
      <c r="A1487" s="28" t="s">
        <v>4471</v>
      </c>
    </row>
    <row r="1488" spans="1:1" ht="90" x14ac:dyDescent="0.3">
      <c r="A1488" s="28" t="s">
        <v>4472</v>
      </c>
    </row>
    <row r="1489" spans="1:1" ht="90" x14ac:dyDescent="0.3">
      <c r="A1489" s="28" t="s">
        <v>4473</v>
      </c>
    </row>
    <row r="1490" spans="1:1" ht="90" x14ac:dyDescent="0.3">
      <c r="A1490" s="28" t="s">
        <v>4474</v>
      </c>
    </row>
    <row r="1491" spans="1:1" ht="90" x14ac:dyDescent="0.3">
      <c r="A1491" s="28" t="s">
        <v>4475</v>
      </c>
    </row>
    <row r="1492" spans="1:1" ht="75" x14ac:dyDescent="0.3">
      <c r="A1492" s="19" t="s">
        <v>4477</v>
      </c>
    </row>
    <row r="1493" spans="1:1" ht="75" x14ac:dyDescent="0.3">
      <c r="A1493" s="19" t="s">
        <v>4488</v>
      </c>
    </row>
    <row r="1494" spans="1:1" ht="75" x14ac:dyDescent="0.3">
      <c r="A1494" s="19" t="s">
        <v>4491</v>
      </c>
    </row>
    <row r="1495" spans="1:1" ht="75" x14ac:dyDescent="0.3">
      <c r="A1495" s="19" t="s">
        <v>4494</v>
      </c>
    </row>
    <row r="1496" spans="1:1" ht="75" x14ac:dyDescent="0.3">
      <c r="A1496" s="19" t="s">
        <v>4495</v>
      </c>
    </row>
    <row r="1497" spans="1:1" ht="90" x14ac:dyDescent="0.3">
      <c r="A1497" s="19" t="s">
        <v>4496</v>
      </c>
    </row>
    <row r="1498" spans="1:1" ht="90" x14ac:dyDescent="0.3">
      <c r="A1498" s="28" t="s">
        <v>4498</v>
      </c>
    </row>
    <row r="1499" spans="1:1" ht="105" x14ac:dyDescent="0.3">
      <c r="A1499" s="28" t="s">
        <v>4505</v>
      </c>
    </row>
    <row r="1500" spans="1:1" ht="90" x14ac:dyDescent="0.3">
      <c r="A1500" s="28" t="s">
        <v>4506</v>
      </c>
    </row>
    <row r="1501" spans="1:1" ht="90" x14ac:dyDescent="0.3">
      <c r="A1501" s="28" t="s">
        <v>4507</v>
      </c>
    </row>
    <row r="1502" spans="1:1" ht="90" x14ac:dyDescent="0.3">
      <c r="A1502" s="28" t="s">
        <v>4508</v>
      </c>
    </row>
    <row r="1503" spans="1:1" ht="90" x14ac:dyDescent="0.3">
      <c r="A1503" s="28" t="s">
        <v>4509</v>
      </c>
    </row>
    <row r="1504" spans="1:1" ht="45" x14ac:dyDescent="0.3">
      <c r="A1504" s="19" t="s">
        <v>4511</v>
      </c>
    </row>
    <row r="1505" spans="1:1" ht="45" x14ac:dyDescent="0.3">
      <c r="A1505" s="19" t="s">
        <v>4520</v>
      </c>
    </row>
    <row r="1506" spans="1:1" ht="45" x14ac:dyDescent="0.3">
      <c r="A1506" s="19" t="s">
        <v>4521</v>
      </c>
    </row>
    <row r="1507" spans="1:1" ht="45" x14ac:dyDescent="0.3">
      <c r="A1507" s="19" t="s">
        <v>4523</v>
      </c>
    </row>
    <row r="1508" spans="1:1" ht="45" x14ac:dyDescent="0.3">
      <c r="A1508" s="19" t="s">
        <v>4531</v>
      </c>
    </row>
    <row r="1509" spans="1:1" ht="45" x14ac:dyDescent="0.3">
      <c r="A1509" s="19" t="s">
        <v>4536</v>
      </c>
    </row>
    <row r="1510" spans="1:1" ht="45" x14ac:dyDescent="0.3">
      <c r="A1510" s="19" t="s">
        <v>4540</v>
      </c>
    </row>
    <row r="1511" spans="1:1" ht="45" x14ac:dyDescent="0.3">
      <c r="A1511" s="19" t="s">
        <v>4544</v>
      </c>
    </row>
    <row r="1512" spans="1:1" ht="90" x14ac:dyDescent="0.3">
      <c r="A1512" s="28" t="s">
        <v>4549</v>
      </c>
    </row>
    <row r="1513" spans="1:1" ht="135" x14ac:dyDescent="0.3">
      <c r="A1513" s="28" t="s">
        <v>4559</v>
      </c>
    </row>
    <row r="1514" spans="1:1" ht="135" x14ac:dyDescent="0.3">
      <c r="A1514" s="28" t="s">
        <v>4562</v>
      </c>
    </row>
    <row r="1515" spans="1:1" ht="150" x14ac:dyDescent="0.3">
      <c r="A1515" s="28" t="s">
        <v>4563</v>
      </c>
    </row>
    <row r="1516" spans="1:1" ht="135" x14ac:dyDescent="0.3">
      <c r="A1516" s="28" t="s">
        <v>4565</v>
      </c>
    </row>
    <row r="1517" spans="1:1" ht="135" x14ac:dyDescent="0.3">
      <c r="A1517" s="28" t="s">
        <v>4566</v>
      </c>
    </row>
    <row r="1518" spans="1:1" ht="135" x14ac:dyDescent="0.3">
      <c r="A1518" s="28" t="s">
        <v>4567</v>
      </c>
    </row>
    <row r="1519" spans="1:1" ht="135" x14ac:dyDescent="0.3">
      <c r="A1519" s="28" t="s">
        <v>4568</v>
      </c>
    </row>
    <row r="1520" spans="1:1" ht="135" x14ac:dyDescent="0.3">
      <c r="A1520" s="28" t="s">
        <v>4572</v>
      </c>
    </row>
    <row r="1521" spans="1:1" ht="150" x14ac:dyDescent="0.3">
      <c r="A1521" s="28" t="s">
        <v>4573</v>
      </c>
    </row>
    <row r="1522" spans="1:1" ht="135" x14ac:dyDescent="0.3">
      <c r="A1522" s="28" t="s">
        <v>4576</v>
      </c>
    </row>
    <row r="1523" spans="1:1" ht="135" x14ac:dyDescent="0.3">
      <c r="A1523" s="28" t="s">
        <v>4577</v>
      </c>
    </row>
    <row r="1524" spans="1:1" ht="135" x14ac:dyDescent="0.3">
      <c r="A1524" s="28" t="s">
        <v>4580</v>
      </c>
    </row>
    <row r="1525" spans="1:1" ht="75" x14ac:dyDescent="0.3">
      <c r="A1525" s="53" t="s">
        <v>4583</v>
      </c>
    </row>
    <row r="1526" spans="1:1" ht="75" x14ac:dyDescent="0.3">
      <c r="A1526" s="19" t="s">
        <v>4588</v>
      </c>
    </row>
    <row r="1527" spans="1:1" ht="105" x14ac:dyDescent="0.3">
      <c r="A1527" s="19" t="s">
        <v>4591</v>
      </c>
    </row>
    <row r="1528" spans="1:1" ht="75" x14ac:dyDescent="0.3">
      <c r="A1528" s="19" t="s">
        <v>4596</v>
      </c>
    </row>
    <row r="1529" spans="1:1" ht="60" x14ac:dyDescent="0.3">
      <c r="A1529" s="28" t="s">
        <v>4600</v>
      </c>
    </row>
    <row r="1530" spans="1:1" ht="60" x14ac:dyDescent="0.3">
      <c r="A1530" s="28" t="s">
        <v>4609</v>
      </c>
    </row>
    <row r="1531" spans="1:1" ht="60" x14ac:dyDescent="0.3">
      <c r="A1531" s="28" t="s">
        <v>4611</v>
      </c>
    </row>
    <row r="1532" spans="1:1" ht="60" x14ac:dyDescent="0.3">
      <c r="A1532" s="28" t="s">
        <v>4612</v>
      </c>
    </row>
    <row r="1533" spans="1:1" ht="60" x14ac:dyDescent="0.3">
      <c r="A1533" s="28" t="s">
        <v>4617</v>
      </c>
    </row>
    <row r="1534" spans="1:1" ht="60" x14ac:dyDescent="0.3">
      <c r="A1534" s="28" t="s">
        <v>4619</v>
      </c>
    </row>
    <row r="1535" spans="1:1" ht="60" x14ac:dyDescent="0.3">
      <c r="A1535" s="28" t="s">
        <v>4620</v>
      </c>
    </row>
    <row r="1536" spans="1:1" ht="60" x14ac:dyDescent="0.3">
      <c r="A1536" s="28" t="s">
        <v>4623</v>
      </c>
    </row>
    <row r="1537" spans="1:1" ht="60" x14ac:dyDescent="0.3">
      <c r="A1537" s="28" t="s">
        <v>4624</v>
      </c>
    </row>
    <row r="1538" spans="1:1" ht="60" x14ac:dyDescent="0.3">
      <c r="A1538" s="28" t="s">
        <v>4625</v>
      </c>
    </row>
    <row r="1539" spans="1:1" ht="60" x14ac:dyDescent="0.3">
      <c r="A1539" s="28" t="s">
        <v>4628</v>
      </c>
    </row>
    <row r="1540" spans="1:1" ht="60" x14ac:dyDescent="0.3">
      <c r="A1540" s="28" t="s">
        <v>4630</v>
      </c>
    </row>
    <row r="1541" spans="1:1" ht="60" x14ac:dyDescent="0.3">
      <c r="A1541" s="28" t="s">
        <v>4631</v>
      </c>
    </row>
    <row r="1542" spans="1:1" ht="60" x14ac:dyDescent="0.3">
      <c r="A1542" s="28" t="s">
        <v>4634</v>
      </c>
    </row>
    <row r="1543" spans="1:1" ht="60" x14ac:dyDescent="0.3">
      <c r="A1543" s="28" t="s">
        <v>4636</v>
      </c>
    </row>
    <row r="1544" spans="1:1" ht="60" x14ac:dyDescent="0.3">
      <c r="A1544" s="28" t="s">
        <v>4637</v>
      </c>
    </row>
    <row r="1545" spans="1:1" ht="60" x14ac:dyDescent="0.3">
      <c r="A1545" s="28" t="s">
        <v>4643</v>
      </c>
    </row>
    <row r="1546" spans="1:1" ht="60" x14ac:dyDescent="0.3">
      <c r="A1546" s="28" t="s">
        <v>4645</v>
      </c>
    </row>
    <row r="1547" spans="1:1" ht="105" x14ac:dyDescent="0.3">
      <c r="A1547" s="28" t="s">
        <v>4646</v>
      </c>
    </row>
    <row r="1548" spans="1:1" ht="105" x14ac:dyDescent="0.3">
      <c r="A1548" s="28" t="s">
        <v>4650</v>
      </c>
    </row>
    <row r="1549" spans="1:1" ht="105" x14ac:dyDescent="0.3">
      <c r="A1549" s="28" t="s">
        <v>4654</v>
      </c>
    </row>
    <row r="1550" spans="1:1" ht="105" x14ac:dyDescent="0.3">
      <c r="A1550" s="28" t="s">
        <v>4660</v>
      </c>
    </row>
    <row r="1551" spans="1:1" ht="105" x14ac:dyDescent="0.3">
      <c r="A1551" s="28" t="s">
        <v>4663</v>
      </c>
    </row>
    <row r="1552" spans="1:1" ht="105" x14ac:dyDescent="0.3">
      <c r="A1552" s="28" t="s">
        <v>4669</v>
      </c>
    </row>
    <row r="1553" spans="1:1" ht="105" x14ac:dyDescent="0.3">
      <c r="A1553" s="28" t="s">
        <v>4675</v>
      </c>
    </row>
    <row r="1554" spans="1:1" ht="105" x14ac:dyDescent="0.3">
      <c r="A1554" s="28" t="s">
        <v>4676</v>
      </c>
    </row>
    <row r="1555" spans="1:1" ht="105" x14ac:dyDescent="0.3">
      <c r="A1555" s="28" t="s">
        <v>4677</v>
      </c>
    </row>
    <row r="1556" spans="1:1" ht="105" x14ac:dyDescent="0.3">
      <c r="A1556" s="28" t="s">
        <v>4678</v>
      </c>
    </row>
    <row r="1557" spans="1:1" ht="105" x14ac:dyDescent="0.3">
      <c r="A1557" s="28" t="s">
        <v>4681</v>
      </c>
    </row>
    <row r="1558" spans="1:1" ht="105" x14ac:dyDescent="0.3">
      <c r="A1558" s="28" t="s">
        <v>4683</v>
      </c>
    </row>
    <row r="1559" spans="1:1" ht="105" x14ac:dyDescent="0.3">
      <c r="A1559" s="28" t="s">
        <v>4685</v>
      </c>
    </row>
    <row r="1560" spans="1:1" ht="120" x14ac:dyDescent="0.3">
      <c r="A1560" s="28" t="s">
        <v>4686</v>
      </c>
    </row>
    <row r="1561" spans="1:1" ht="105" x14ac:dyDescent="0.3">
      <c r="A1561" s="28" t="s">
        <v>4687</v>
      </c>
    </row>
    <row r="1562" spans="1:1" ht="105" x14ac:dyDescent="0.3">
      <c r="A1562" s="28" t="s">
        <v>4688</v>
      </c>
    </row>
    <row r="1563" spans="1:1" ht="105" x14ac:dyDescent="0.3">
      <c r="A1563" s="28" t="s">
        <v>4691</v>
      </c>
    </row>
    <row r="1564" spans="1:1" ht="120" x14ac:dyDescent="0.3">
      <c r="A1564" s="28" t="s">
        <v>4693</v>
      </c>
    </row>
    <row r="1565" spans="1:1" ht="105" x14ac:dyDescent="0.3">
      <c r="A1565" s="28" t="s">
        <v>4696</v>
      </c>
    </row>
    <row r="1566" spans="1:1" ht="105" x14ac:dyDescent="0.3">
      <c r="A1566" s="28" t="s">
        <v>4697</v>
      </c>
    </row>
    <row r="1567" spans="1:1" ht="120" x14ac:dyDescent="0.3">
      <c r="A1567" s="28" t="s">
        <v>4698</v>
      </c>
    </row>
    <row r="1568" spans="1:1" ht="90" x14ac:dyDescent="0.3">
      <c r="A1568" s="28" t="s">
        <v>4700</v>
      </c>
    </row>
    <row r="1569" spans="1:1" ht="105" x14ac:dyDescent="0.3">
      <c r="A1569" s="28" t="s">
        <v>4708</v>
      </c>
    </row>
    <row r="1570" spans="1:1" ht="90" x14ac:dyDescent="0.3">
      <c r="A1570" s="28" t="s">
        <v>4710</v>
      </c>
    </row>
    <row r="1571" spans="1:1" ht="105" x14ac:dyDescent="0.3">
      <c r="A1571" s="28" t="s">
        <v>4711</v>
      </c>
    </row>
    <row r="1572" spans="1:1" ht="90" x14ac:dyDescent="0.3">
      <c r="A1572" s="28" t="s">
        <v>4712</v>
      </c>
    </row>
    <row r="1573" spans="1:1" ht="105" x14ac:dyDescent="0.3">
      <c r="A1573" s="28" t="s">
        <v>4713</v>
      </c>
    </row>
    <row r="1574" spans="1:1" ht="90" x14ac:dyDescent="0.3">
      <c r="A1574" s="28" t="s">
        <v>4714</v>
      </c>
    </row>
    <row r="1575" spans="1:1" ht="105" x14ac:dyDescent="0.3">
      <c r="A1575" s="28" t="s">
        <v>4715</v>
      </c>
    </row>
    <row r="1576" spans="1:1" ht="105" x14ac:dyDescent="0.3">
      <c r="A1576" s="28" t="s">
        <v>4716</v>
      </c>
    </row>
    <row r="1577" spans="1:1" ht="105" x14ac:dyDescent="0.3">
      <c r="A1577" s="28" t="s">
        <v>4719</v>
      </c>
    </row>
    <row r="1578" spans="1:1" ht="105" x14ac:dyDescent="0.3">
      <c r="A1578" s="28" t="s">
        <v>4721</v>
      </c>
    </row>
    <row r="1579" spans="1:1" ht="90" x14ac:dyDescent="0.3">
      <c r="A1579" s="28" t="s">
        <v>4722</v>
      </c>
    </row>
    <row r="1580" spans="1:1" ht="105" x14ac:dyDescent="0.3">
      <c r="A1580" s="28" t="s">
        <v>4723</v>
      </c>
    </row>
    <row r="1581" spans="1:1" ht="90" x14ac:dyDescent="0.3">
      <c r="A1581" s="28" t="s">
        <v>4724</v>
      </c>
    </row>
    <row r="1582" spans="1:1" ht="105" x14ac:dyDescent="0.3">
      <c r="A1582" s="28" t="s">
        <v>4725</v>
      </c>
    </row>
    <row r="1583" spans="1:1" ht="90" x14ac:dyDescent="0.3">
      <c r="A1583" s="28" t="s">
        <v>4726</v>
      </c>
    </row>
    <row r="1584" spans="1:1" ht="105" x14ac:dyDescent="0.3">
      <c r="A1584" s="28" t="s">
        <v>4727</v>
      </c>
    </row>
    <row r="1585" spans="1:1" ht="105" x14ac:dyDescent="0.3">
      <c r="A1585" s="28" t="s">
        <v>4731</v>
      </c>
    </row>
    <row r="1586" spans="1:1" ht="90" x14ac:dyDescent="0.3">
      <c r="A1586" s="28" t="s">
        <v>4733</v>
      </c>
    </row>
    <row r="1587" spans="1:1" ht="90" x14ac:dyDescent="0.3">
      <c r="A1587" s="28" t="s">
        <v>4734</v>
      </c>
    </row>
    <row r="1588" spans="1:1" ht="90" x14ac:dyDescent="0.3">
      <c r="A1588" s="28" t="s">
        <v>4735</v>
      </c>
    </row>
    <row r="1589" spans="1:1" ht="90" x14ac:dyDescent="0.3">
      <c r="A1589" s="28" t="s">
        <v>4736</v>
      </c>
    </row>
    <row r="1590" spans="1:1" ht="105" x14ac:dyDescent="0.3">
      <c r="A1590" s="28" t="s">
        <v>4737</v>
      </c>
    </row>
    <row r="1591" spans="1:1" ht="105" x14ac:dyDescent="0.3">
      <c r="A1591" s="28" t="s">
        <v>4738</v>
      </c>
    </row>
    <row r="1592" spans="1:1" x14ac:dyDescent="0.3">
      <c r="A1592" s="66" t="s">
        <v>4742</v>
      </c>
    </row>
    <row r="1593" spans="1:1" x14ac:dyDescent="0.3">
      <c r="A1593" s="74"/>
    </row>
    <row r="1594" spans="1:1" x14ac:dyDescent="0.3">
      <c r="A1594" s="67"/>
    </row>
    <row r="1595" spans="1:1" x14ac:dyDescent="0.3">
      <c r="A1595" s="66" t="s">
        <v>4753</v>
      </c>
    </row>
    <row r="1596" spans="1:1" x14ac:dyDescent="0.3">
      <c r="A1596" s="67"/>
    </row>
    <row r="1597" spans="1:1" x14ac:dyDescent="0.3">
      <c r="A1597" s="66" t="s">
        <v>4757</v>
      </c>
    </row>
    <row r="1598" spans="1:1" x14ac:dyDescent="0.3">
      <c r="A1598" s="67"/>
    </row>
    <row r="1599" spans="1:1" ht="90" x14ac:dyDescent="0.3">
      <c r="A1599" s="28" t="s">
        <v>4762</v>
      </c>
    </row>
    <row r="1600" spans="1:1" ht="75" x14ac:dyDescent="0.3">
      <c r="A1600" s="28" t="s">
        <v>4772</v>
      </c>
    </row>
    <row r="1601" spans="1:1" ht="75" x14ac:dyDescent="0.3">
      <c r="A1601" s="28" t="s">
        <v>4773</v>
      </c>
    </row>
    <row r="1602" spans="1:1" ht="75" x14ac:dyDescent="0.3">
      <c r="A1602" s="28" t="s">
        <v>4775</v>
      </c>
    </row>
    <row r="1603" spans="1:1" ht="75" x14ac:dyDescent="0.3">
      <c r="A1603" s="28" t="s">
        <v>4779</v>
      </c>
    </row>
    <row r="1604" spans="1:1" ht="90" x14ac:dyDescent="0.3">
      <c r="A1604" s="28" t="s">
        <v>4780</v>
      </c>
    </row>
    <row r="1605" spans="1:1" ht="75" x14ac:dyDescent="0.3">
      <c r="A1605" s="28" t="s">
        <v>4781</v>
      </c>
    </row>
    <row r="1606" spans="1:1" ht="75" x14ac:dyDescent="0.3">
      <c r="A1606" s="28" t="s">
        <v>4782</v>
      </c>
    </row>
    <row r="1607" spans="1:1" ht="75" x14ac:dyDescent="0.3">
      <c r="A1607" s="28" t="s">
        <v>4783</v>
      </c>
    </row>
    <row r="1608" spans="1:1" ht="75" x14ac:dyDescent="0.3">
      <c r="A1608" s="28" t="s">
        <v>4784</v>
      </c>
    </row>
    <row r="1609" spans="1:1" ht="90" x14ac:dyDescent="0.3">
      <c r="A1609" s="28" t="s">
        <v>4785</v>
      </c>
    </row>
    <row r="1610" spans="1:1" ht="75" x14ac:dyDescent="0.3">
      <c r="A1610" s="28" t="s">
        <v>4786</v>
      </c>
    </row>
    <row r="1611" spans="1:1" ht="75" x14ac:dyDescent="0.3">
      <c r="A1611" s="28" t="s">
        <v>4787</v>
      </c>
    </row>
    <row r="1612" spans="1:1" ht="75" x14ac:dyDescent="0.3">
      <c r="A1612" s="28" t="s">
        <v>4789</v>
      </c>
    </row>
    <row r="1613" spans="1:1" ht="75" x14ac:dyDescent="0.3">
      <c r="A1613" s="28" t="s">
        <v>4791</v>
      </c>
    </row>
    <row r="1614" spans="1:1" ht="60" x14ac:dyDescent="0.3">
      <c r="A1614" s="28" t="s">
        <v>4794</v>
      </c>
    </row>
    <row r="1615" spans="1:1" ht="60" x14ac:dyDescent="0.3">
      <c r="A1615" s="28" t="s">
        <v>4806</v>
      </c>
    </row>
    <row r="1616" spans="1:1" ht="60" x14ac:dyDescent="0.3">
      <c r="A1616" s="28" t="s">
        <v>4807</v>
      </c>
    </row>
    <row r="1617" spans="1:1" ht="60" x14ac:dyDescent="0.3">
      <c r="A1617" s="28" t="s">
        <v>4808</v>
      </c>
    </row>
    <row r="1618" spans="1:1" ht="60" x14ac:dyDescent="0.3">
      <c r="A1618" s="28" t="s">
        <v>4809</v>
      </c>
    </row>
    <row r="1619" spans="1:1" ht="60" x14ac:dyDescent="0.3">
      <c r="A1619" s="28" t="s">
        <v>4810</v>
      </c>
    </row>
    <row r="1620" spans="1:1" ht="75" x14ac:dyDescent="0.3">
      <c r="A1620" s="28" t="s">
        <v>4811</v>
      </c>
    </row>
    <row r="1621" spans="1:1" ht="75" x14ac:dyDescent="0.3">
      <c r="A1621" s="28" t="s">
        <v>4812</v>
      </c>
    </row>
    <row r="1622" spans="1:1" ht="75" x14ac:dyDescent="0.3">
      <c r="A1622" s="28" t="s">
        <v>4813</v>
      </c>
    </row>
    <row r="1623" spans="1:1" ht="75" x14ac:dyDescent="0.3">
      <c r="A1623" s="28" t="s">
        <v>4814</v>
      </c>
    </row>
    <row r="1624" spans="1:1" ht="75" x14ac:dyDescent="0.3">
      <c r="A1624" s="28" t="s">
        <v>4815</v>
      </c>
    </row>
    <row r="1625" spans="1:1" ht="75" x14ac:dyDescent="0.3">
      <c r="A1625" s="28" t="s">
        <v>4816</v>
      </c>
    </row>
    <row r="1626" spans="1:1" ht="75" x14ac:dyDescent="0.3">
      <c r="A1626" s="28" t="s">
        <v>4817</v>
      </c>
    </row>
    <row r="1627" spans="1:1" ht="75" x14ac:dyDescent="0.3">
      <c r="A1627" s="28" t="s">
        <v>4820</v>
      </c>
    </row>
    <row r="1628" spans="1:1" ht="75" x14ac:dyDescent="0.3">
      <c r="A1628" s="28" t="s">
        <v>4821</v>
      </c>
    </row>
    <row r="1629" spans="1:1" ht="75" x14ac:dyDescent="0.3">
      <c r="A1629" s="28" t="s">
        <v>4822</v>
      </c>
    </row>
    <row r="1630" spans="1:1" ht="75" x14ac:dyDescent="0.3">
      <c r="A1630" s="28" t="s">
        <v>4823</v>
      </c>
    </row>
    <row r="1631" spans="1:1" ht="75" x14ac:dyDescent="0.3">
      <c r="A1631" s="28" t="s">
        <v>4824</v>
      </c>
    </row>
    <row r="1632" spans="1:1" ht="90" x14ac:dyDescent="0.3">
      <c r="A1632" s="28" t="s">
        <v>4825</v>
      </c>
    </row>
    <row r="1633" spans="1:1" ht="90" x14ac:dyDescent="0.3">
      <c r="A1633" s="28" t="s">
        <v>4826</v>
      </c>
    </row>
    <row r="1634" spans="1:1" ht="90" x14ac:dyDescent="0.3">
      <c r="A1634" s="28" t="s">
        <v>4827</v>
      </c>
    </row>
    <row r="1635" spans="1:1" ht="90" x14ac:dyDescent="0.3">
      <c r="A1635" s="28" t="s">
        <v>4828</v>
      </c>
    </row>
    <row r="1636" spans="1:1" ht="90" x14ac:dyDescent="0.3">
      <c r="A1636" s="28" t="s">
        <v>4829</v>
      </c>
    </row>
    <row r="1637" spans="1:1" ht="90" x14ac:dyDescent="0.3">
      <c r="A1637" s="28" t="s">
        <v>4830</v>
      </c>
    </row>
    <row r="1638" spans="1:1" ht="75" x14ac:dyDescent="0.3">
      <c r="A1638" s="28" t="s">
        <v>4832</v>
      </c>
    </row>
    <row r="1639" spans="1:1" ht="75" x14ac:dyDescent="0.3">
      <c r="A1639" s="28" t="s">
        <v>4841</v>
      </c>
    </row>
    <row r="1640" spans="1:1" ht="60" x14ac:dyDescent="0.3">
      <c r="A1640" s="28" t="s">
        <v>4842</v>
      </c>
    </row>
    <row r="1641" spans="1:1" ht="75" x14ac:dyDescent="0.3">
      <c r="A1641" s="28" t="s">
        <v>4843</v>
      </c>
    </row>
    <row r="1642" spans="1:1" ht="75" x14ac:dyDescent="0.3">
      <c r="A1642" s="28" t="s">
        <v>4846</v>
      </c>
    </row>
    <row r="1643" spans="1:1" ht="75" x14ac:dyDescent="0.3">
      <c r="A1643" s="28" t="s">
        <v>4847</v>
      </c>
    </row>
    <row r="1644" spans="1:1" ht="75" x14ac:dyDescent="0.3">
      <c r="A1644" s="28" t="s">
        <v>4848</v>
      </c>
    </row>
    <row r="1645" spans="1:1" ht="75" x14ac:dyDescent="0.3">
      <c r="A1645" s="28" t="s">
        <v>4850</v>
      </c>
    </row>
    <row r="1646" spans="1:1" ht="75" x14ac:dyDescent="0.3">
      <c r="A1646" s="28" t="s">
        <v>4852</v>
      </c>
    </row>
    <row r="1647" spans="1:1" ht="60" x14ac:dyDescent="0.3">
      <c r="A1647" s="28" t="s">
        <v>4853</v>
      </c>
    </row>
    <row r="1648" spans="1:1" ht="75" x14ac:dyDescent="0.3">
      <c r="A1648" s="28" t="s">
        <v>4857</v>
      </c>
    </row>
    <row r="1649" spans="1:1" ht="75" x14ac:dyDescent="0.3">
      <c r="A1649" s="28" t="s">
        <v>4858</v>
      </c>
    </row>
    <row r="1650" spans="1:1" ht="75" x14ac:dyDescent="0.3">
      <c r="A1650" s="28" t="s">
        <v>4859</v>
      </c>
    </row>
    <row r="1651" spans="1:1" ht="75" x14ac:dyDescent="0.3">
      <c r="A1651" s="28" t="s">
        <v>4864</v>
      </c>
    </row>
    <row r="1652" spans="1:1" ht="60" x14ac:dyDescent="0.3">
      <c r="A1652" s="28" t="s">
        <v>4866</v>
      </c>
    </row>
    <row r="1653" spans="1:1" ht="90" x14ac:dyDescent="0.3">
      <c r="A1653" s="28" t="s">
        <v>4868</v>
      </c>
    </row>
    <row r="1654" spans="1:1" ht="90" x14ac:dyDescent="0.3">
      <c r="A1654" s="28" t="s">
        <v>4877</v>
      </c>
    </row>
    <row r="1655" spans="1:1" ht="90" x14ac:dyDescent="0.3">
      <c r="A1655" s="28" t="s">
        <v>4878</v>
      </c>
    </row>
    <row r="1656" spans="1:1" ht="90" x14ac:dyDescent="0.3">
      <c r="A1656" s="28" t="s">
        <v>4879</v>
      </c>
    </row>
    <row r="1657" spans="1:1" ht="90" x14ac:dyDescent="0.3">
      <c r="A1657" s="28" t="s">
        <v>4884</v>
      </c>
    </row>
    <row r="1658" spans="1:1" ht="75" x14ac:dyDescent="0.3">
      <c r="A1658" s="28" t="s">
        <v>4885</v>
      </c>
    </row>
    <row r="1659" spans="1:1" x14ac:dyDescent="0.3">
      <c r="A1659" s="66" t="s">
        <v>4887</v>
      </c>
    </row>
    <row r="1660" spans="1:1" x14ac:dyDescent="0.3">
      <c r="A1660" s="67"/>
    </row>
    <row r="1661" spans="1:1" ht="75" x14ac:dyDescent="0.3">
      <c r="A1661" s="19" t="s">
        <v>4892</v>
      </c>
    </row>
    <row r="1662" spans="1:1" ht="90" x14ac:dyDescent="0.3">
      <c r="A1662" s="19" t="s">
        <v>4894</v>
      </c>
    </row>
    <row r="1663" spans="1:1" ht="75" x14ac:dyDescent="0.3">
      <c r="A1663" s="19" t="s">
        <v>4899</v>
      </c>
    </row>
    <row r="1664" spans="1:1" ht="90" x14ac:dyDescent="0.3">
      <c r="A1664" s="19" t="s">
        <v>4900</v>
      </c>
    </row>
    <row r="1665" spans="1:1" ht="90" x14ac:dyDescent="0.3">
      <c r="A1665" s="19" t="s">
        <v>4902</v>
      </c>
    </row>
    <row r="1666" spans="1:1" ht="75" x14ac:dyDescent="0.3">
      <c r="A1666" s="28" t="s">
        <v>4903</v>
      </c>
    </row>
    <row r="1667" spans="1:1" ht="120" x14ac:dyDescent="0.3">
      <c r="A1667" s="28" t="s">
        <v>4907</v>
      </c>
    </row>
    <row r="1668" spans="1:1" ht="75" x14ac:dyDescent="0.3">
      <c r="A1668" s="28" t="s">
        <v>4910</v>
      </c>
    </row>
    <row r="1669" spans="1:1" ht="120" x14ac:dyDescent="0.3">
      <c r="A1669" s="28" t="s">
        <v>4917</v>
      </c>
    </row>
    <row r="1670" spans="1:1" ht="60" x14ac:dyDescent="0.3">
      <c r="A1670" s="28" t="s">
        <v>4919</v>
      </c>
    </row>
    <row r="1671" spans="1:1" ht="105" x14ac:dyDescent="0.3">
      <c r="A1671" s="28" t="s">
        <v>4920</v>
      </c>
    </row>
    <row r="1672" spans="1:1" ht="60" x14ac:dyDescent="0.3">
      <c r="A1672" s="28" t="s">
        <v>4921</v>
      </c>
    </row>
    <row r="1673" spans="1:1" ht="105" x14ac:dyDescent="0.3">
      <c r="A1673" s="28" t="s">
        <v>4922</v>
      </c>
    </row>
    <row r="1674" spans="1:1" ht="60" x14ac:dyDescent="0.3">
      <c r="A1674" s="28" t="s">
        <v>4923</v>
      </c>
    </row>
    <row r="1675" spans="1:1" ht="105" x14ac:dyDescent="0.3">
      <c r="A1675" s="28" t="s">
        <v>4924</v>
      </c>
    </row>
    <row r="1676" spans="1:1" ht="60" x14ac:dyDescent="0.3">
      <c r="A1676" s="28" t="s">
        <v>4925</v>
      </c>
    </row>
    <row r="1677" spans="1:1" ht="105" x14ac:dyDescent="0.3">
      <c r="A1677" s="28" t="s">
        <v>4926</v>
      </c>
    </row>
    <row r="1678" spans="1:1" ht="75" x14ac:dyDescent="0.3">
      <c r="A1678" s="28" t="s">
        <v>4927</v>
      </c>
    </row>
    <row r="1679" spans="1:1" ht="120" x14ac:dyDescent="0.3">
      <c r="A1679" s="28" t="s">
        <v>4928</v>
      </c>
    </row>
    <row r="1680" spans="1:1" ht="75" x14ac:dyDescent="0.3">
      <c r="A1680" s="28" t="s">
        <v>4929</v>
      </c>
    </row>
    <row r="1681" spans="1:1" ht="120" x14ac:dyDescent="0.3">
      <c r="A1681" s="28" t="s">
        <v>4930</v>
      </c>
    </row>
    <row r="1682" spans="1:1" ht="75" x14ac:dyDescent="0.3">
      <c r="A1682" s="28" t="s">
        <v>4932</v>
      </c>
    </row>
    <row r="1683" spans="1:1" ht="75" x14ac:dyDescent="0.3">
      <c r="A1683" s="28" t="s">
        <v>4940</v>
      </c>
    </row>
    <row r="1684" spans="1:1" ht="75" x14ac:dyDescent="0.3">
      <c r="A1684" s="28" t="s">
        <v>4947</v>
      </c>
    </row>
    <row r="1685" spans="1:1" ht="75" x14ac:dyDescent="0.3">
      <c r="A1685" s="28" t="s">
        <v>4948</v>
      </c>
    </row>
    <row r="1686" spans="1:1" ht="75" x14ac:dyDescent="0.3">
      <c r="A1686" s="28" t="s">
        <v>4949</v>
      </c>
    </row>
    <row r="1687" spans="1:1" ht="75" x14ac:dyDescent="0.3">
      <c r="A1687" s="28" t="s">
        <v>4950</v>
      </c>
    </row>
    <row r="1688" spans="1:1" ht="75" x14ac:dyDescent="0.3">
      <c r="A1688" s="28" t="s">
        <v>4951</v>
      </c>
    </row>
    <row r="1689" spans="1:1" ht="75" x14ac:dyDescent="0.3">
      <c r="A1689" s="28" t="s">
        <v>4954</v>
      </c>
    </row>
    <row r="1690" spans="1:1" ht="75" x14ac:dyDescent="0.3">
      <c r="A1690" s="28" t="s">
        <v>4958</v>
      </c>
    </row>
    <row r="1691" spans="1:1" ht="75" x14ac:dyDescent="0.3">
      <c r="A1691" s="28" t="s">
        <v>4959</v>
      </c>
    </row>
    <row r="1692" spans="1:1" ht="75" x14ac:dyDescent="0.3">
      <c r="A1692" s="28" t="s">
        <v>4960</v>
      </c>
    </row>
    <row r="1693" spans="1:1" ht="75" x14ac:dyDescent="0.3">
      <c r="A1693" s="28" t="s">
        <v>4961</v>
      </c>
    </row>
    <row r="1694" spans="1:1" ht="60" x14ac:dyDescent="0.3">
      <c r="A1694" s="28" t="s">
        <v>4965</v>
      </c>
    </row>
    <row r="1695" spans="1:1" ht="60" x14ac:dyDescent="0.3">
      <c r="A1695" s="28" t="s">
        <v>4973</v>
      </c>
    </row>
    <row r="1696" spans="1:1" ht="60" x14ac:dyDescent="0.3">
      <c r="A1696" s="28" t="s">
        <v>4974</v>
      </c>
    </row>
    <row r="1697" spans="1:1" ht="60" x14ac:dyDescent="0.3">
      <c r="A1697" s="28" t="s">
        <v>4975</v>
      </c>
    </row>
    <row r="1698" spans="1:1" ht="60" x14ac:dyDescent="0.3">
      <c r="A1698" s="28" t="s">
        <v>4978</v>
      </c>
    </row>
    <row r="1699" spans="1:1" ht="60" x14ac:dyDescent="0.3">
      <c r="A1699" s="28" t="s">
        <v>4979</v>
      </c>
    </row>
    <row r="1700" spans="1:1" ht="60" x14ac:dyDescent="0.3">
      <c r="A1700" s="28" t="s">
        <v>4980</v>
      </c>
    </row>
    <row r="1701" spans="1:1" ht="60" x14ac:dyDescent="0.3">
      <c r="A1701" s="28" t="s">
        <v>4984</v>
      </c>
    </row>
    <row r="1702" spans="1:1" ht="60" x14ac:dyDescent="0.3">
      <c r="A1702" s="28" t="s">
        <v>4985</v>
      </c>
    </row>
    <row r="1703" spans="1:1" ht="90" x14ac:dyDescent="0.3">
      <c r="A1703" s="28" t="s">
        <v>4987</v>
      </c>
    </row>
    <row r="1704" spans="1:1" ht="90" x14ac:dyDescent="0.3">
      <c r="A1704" s="19" t="s">
        <v>4996</v>
      </c>
    </row>
    <row r="1705" spans="1:1" ht="90" x14ac:dyDescent="0.3">
      <c r="A1705" s="28" t="s">
        <v>4997</v>
      </c>
    </row>
    <row r="1706" spans="1:1" ht="90" x14ac:dyDescent="0.3">
      <c r="A1706" s="28" t="s">
        <v>4998</v>
      </c>
    </row>
    <row r="1707" spans="1:1" ht="90" x14ac:dyDescent="0.3">
      <c r="A1707" s="19" t="s">
        <v>4999</v>
      </c>
    </row>
    <row r="1708" spans="1:1" ht="90" x14ac:dyDescent="0.3">
      <c r="A1708" s="28" t="s">
        <v>5000</v>
      </c>
    </row>
    <row r="1709" spans="1:1" ht="75" x14ac:dyDescent="0.3">
      <c r="A1709" s="28" t="s">
        <v>5002</v>
      </c>
    </row>
    <row r="1710" spans="1:1" ht="75" x14ac:dyDescent="0.3">
      <c r="A1710" s="28" t="s">
        <v>5009</v>
      </c>
    </row>
    <row r="1711" spans="1:1" ht="75" x14ac:dyDescent="0.3">
      <c r="A1711" s="28" t="s">
        <v>5010</v>
      </c>
    </row>
    <row r="1712" spans="1:1" ht="75" x14ac:dyDescent="0.3">
      <c r="A1712" s="28" t="s">
        <v>5011</v>
      </c>
    </row>
    <row r="1713" spans="1:1" ht="75" x14ac:dyDescent="0.3">
      <c r="A1713" s="28" t="s">
        <v>5014</v>
      </c>
    </row>
    <row r="1714" spans="1:1" ht="75" x14ac:dyDescent="0.3">
      <c r="A1714" s="28" t="s">
        <v>5015</v>
      </c>
    </row>
    <row r="1715" spans="1:1" ht="75" x14ac:dyDescent="0.3">
      <c r="A1715" s="28" t="s">
        <v>5017</v>
      </c>
    </row>
    <row r="1716" spans="1:1" ht="75" x14ac:dyDescent="0.3">
      <c r="A1716" s="28" t="s">
        <v>5018</v>
      </c>
    </row>
    <row r="1717" spans="1:1" ht="75" x14ac:dyDescent="0.3">
      <c r="A1717" s="28" t="s">
        <v>5019</v>
      </c>
    </row>
    <row r="1718" spans="1:1" ht="75" x14ac:dyDescent="0.3">
      <c r="A1718" s="28" t="s">
        <v>5020</v>
      </c>
    </row>
    <row r="1719" spans="1:1" ht="75" x14ac:dyDescent="0.3">
      <c r="A1719" s="28" t="s">
        <v>5022</v>
      </c>
    </row>
    <row r="1720" spans="1:1" ht="75" x14ac:dyDescent="0.3">
      <c r="A1720" s="28" t="s">
        <v>5023</v>
      </c>
    </row>
    <row r="1721" spans="1:1" ht="75" x14ac:dyDescent="0.3">
      <c r="A1721" s="28" t="s">
        <v>5024</v>
      </c>
    </row>
    <row r="1722" spans="1:1" ht="75" x14ac:dyDescent="0.3">
      <c r="A1722" s="28" t="s">
        <v>5025</v>
      </c>
    </row>
    <row r="1723" spans="1:1" ht="75" x14ac:dyDescent="0.3">
      <c r="A1723" s="28" t="s">
        <v>5026</v>
      </c>
    </row>
    <row r="1724" spans="1:1" ht="75" x14ac:dyDescent="0.3">
      <c r="A1724" s="28" t="s">
        <v>5027</v>
      </c>
    </row>
    <row r="1725" spans="1:1" ht="75" x14ac:dyDescent="0.3">
      <c r="A1725" s="28" t="s">
        <v>5029</v>
      </c>
    </row>
    <row r="1726" spans="1:1" ht="75" x14ac:dyDescent="0.3">
      <c r="A1726" s="28" t="s">
        <v>5030</v>
      </c>
    </row>
    <row r="1727" spans="1:1" ht="60" x14ac:dyDescent="0.3">
      <c r="A1727" s="28" t="s">
        <v>5032</v>
      </c>
    </row>
    <row r="1728" spans="1:1" ht="75" x14ac:dyDescent="0.3">
      <c r="A1728" s="28" t="s">
        <v>5039</v>
      </c>
    </row>
    <row r="1729" spans="1:1" ht="75" x14ac:dyDescent="0.3">
      <c r="A1729" s="28" t="s">
        <v>5041</v>
      </c>
    </row>
    <row r="1730" spans="1:1" ht="60" x14ac:dyDescent="0.3">
      <c r="A1730" s="28" t="s">
        <v>5042</v>
      </c>
    </row>
    <row r="1731" spans="1:1" ht="75" x14ac:dyDescent="0.3">
      <c r="A1731" s="28" t="s">
        <v>5046</v>
      </c>
    </row>
    <row r="1732" spans="1:1" ht="75" x14ac:dyDescent="0.3">
      <c r="A1732" s="28" t="s">
        <v>5047</v>
      </c>
    </row>
    <row r="1733" spans="1:1" ht="75" x14ac:dyDescent="0.3">
      <c r="A1733" s="28" t="s">
        <v>5048</v>
      </c>
    </row>
    <row r="1734" spans="1:1" ht="75" x14ac:dyDescent="0.3">
      <c r="A1734" s="28" t="s">
        <v>5051</v>
      </c>
    </row>
    <row r="1735" spans="1:1" ht="75" x14ac:dyDescent="0.3">
      <c r="A1735" s="28" t="s">
        <v>5053</v>
      </c>
    </row>
    <row r="1736" spans="1:1" ht="75" x14ac:dyDescent="0.3">
      <c r="A1736" s="28" t="s">
        <v>5054</v>
      </c>
    </row>
    <row r="1737" spans="1:1" ht="75" x14ac:dyDescent="0.3">
      <c r="A1737" s="28" t="s">
        <v>5059</v>
      </c>
    </row>
    <row r="1738" spans="1:1" ht="75" x14ac:dyDescent="0.3">
      <c r="A1738" s="28" t="s">
        <v>5061</v>
      </c>
    </row>
    <row r="1739" spans="1:1" ht="60" x14ac:dyDescent="0.3">
      <c r="A1739" s="28" t="s">
        <v>5063</v>
      </c>
    </row>
    <row r="1740" spans="1:1" ht="60" x14ac:dyDescent="0.3">
      <c r="A1740" s="28" t="s">
        <v>5074</v>
      </c>
    </row>
    <row r="1741" spans="1:1" ht="60" x14ac:dyDescent="0.3">
      <c r="A1741" s="28" t="s">
        <v>5075</v>
      </c>
    </row>
    <row r="1742" spans="1:1" ht="60" x14ac:dyDescent="0.3">
      <c r="A1742" s="28" t="s">
        <v>5080</v>
      </c>
    </row>
    <row r="1743" spans="1:1" ht="60" x14ac:dyDescent="0.3">
      <c r="A1743" s="28" t="s">
        <v>5081</v>
      </c>
    </row>
    <row r="1744" spans="1:1" ht="60" x14ac:dyDescent="0.3">
      <c r="A1744" s="28" t="s">
        <v>5085</v>
      </c>
    </row>
    <row r="1745" spans="1:1" ht="60" x14ac:dyDescent="0.3">
      <c r="A1745" s="28" t="s">
        <v>5086</v>
      </c>
    </row>
    <row r="1746" spans="1:1" ht="60" x14ac:dyDescent="0.3">
      <c r="A1746" s="28" t="s">
        <v>5090</v>
      </c>
    </row>
    <row r="1747" spans="1:1" ht="60" x14ac:dyDescent="0.3">
      <c r="A1747" s="28" t="s">
        <v>5091</v>
      </c>
    </row>
    <row r="1748" spans="1:1" ht="60" x14ac:dyDescent="0.3">
      <c r="A1748" s="28" t="s">
        <v>5095</v>
      </c>
    </row>
    <row r="1749" spans="1:1" ht="60" x14ac:dyDescent="0.3">
      <c r="A1749" s="28" t="s">
        <v>5096</v>
      </c>
    </row>
    <row r="1750" spans="1:1" ht="60" x14ac:dyDescent="0.3">
      <c r="A1750" s="28" t="s">
        <v>5100</v>
      </c>
    </row>
    <row r="1751" spans="1:1" ht="75" x14ac:dyDescent="0.3">
      <c r="A1751" s="28" t="s">
        <v>5101</v>
      </c>
    </row>
    <row r="1752" spans="1:1" ht="75" x14ac:dyDescent="0.3">
      <c r="A1752" s="28" t="s">
        <v>5105</v>
      </c>
    </row>
    <row r="1753" spans="1:1" ht="60" x14ac:dyDescent="0.3">
      <c r="A1753" s="28" t="s">
        <v>5106</v>
      </c>
    </row>
    <row r="1754" spans="1:1" ht="60" x14ac:dyDescent="0.3">
      <c r="A1754" s="28" t="s">
        <v>5108</v>
      </c>
    </row>
    <row r="1755" spans="1:1" ht="60" x14ac:dyDescent="0.3">
      <c r="A1755" s="28" t="s">
        <v>5110</v>
      </c>
    </row>
    <row r="1756" spans="1:1" ht="60" x14ac:dyDescent="0.3">
      <c r="A1756" s="28" t="s">
        <v>5111</v>
      </c>
    </row>
    <row r="1757" spans="1:1" ht="60" x14ac:dyDescent="0.3">
      <c r="A1757" s="28" t="s">
        <v>5113</v>
      </c>
    </row>
    <row r="1758" spans="1:1" ht="60" x14ac:dyDescent="0.3">
      <c r="A1758" s="28" t="s">
        <v>5114</v>
      </c>
    </row>
    <row r="1759" spans="1:1" ht="60" x14ac:dyDescent="0.3">
      <c r="A1759" s="28" t="s">
        <v>5115</v>
      </c>
    </row>
    <row r="1760" spans="1:1" ht="90" x14ac:dyDescent="0.3">
      <c r="A1760" s="28" t="s">
        <v>5119</v>
      </c>
    </row>
    <row r="1761" spans="1:1" ht="90" x14ac:dyDescent="0.3">
      <c r="A1761" s="28" t="s">
        <v>5128</v>
      </c>
    </row>
    <row r="1762" spans="1:1" ht="90" x14ac:dyDescent="0.3">
      <c r="A1762" s="28" t="s">
        <v>5129</v>
      </c>
    </row>
    <row r="1763" spans="1:1" ht="90" x14ac:dyDescent="0.3">
      <c r="A1763" s="28" t="s">
        <v>5130</v>
      </c>
    </row>
    <row r="1764" spans="1:1" ht="90" x14ac:dyDescent="0.3">
      <c r="A1764" s="28" t="s">
        <v>5133</v>
      </c>
    </row>
    <row r="1765" spans="1:1" ht="90" x14ac:dyDescent="0.3">
      <c r="A1765" s="28" t="s">
        <v>5134</v>
      </c>
    </row>
    <row r="1766" spans="1:1" ht="90" x14ac:dyDescent="0.3">
      <c r="A1766" s="28" t="s">
        <v>5135</v>
      </c>
    </row>
    <row r="1767" spans="1:1" ht="90" x14ac:dyDescent="0.3">
      <c r="A1767" s="28" t="s">
        <v>5136</v>
      </c>
    </row>
    <row r="1768" spans="1:1" ht="90" x14ac:dyDescent="0.3">
      <c r="A1768" s="28" t="s">
        <v>5137</v>
      </c>
    </row>
    <row r="1769" spans="1:1" ht="90" x14ac:dyDescent="0.3">
      <c r="A1769" s="28" t="s">
        <v>5138</v>
      </c>
    </row>
    <row r="1770" spans="1:1" ht="90" x14ac:dyDescent="0.3">
      <c r="A1770" s="28" t="s">
        <v>5139</v>
      </c>
    </row>
    <row r="1771" spans="1:1" ht="90" x14ac:dyDescent="0.3">
      <c r="A1771" s="28" t="s">
        <v>5140</v>
      </c>
    </row>
    <row r="1772" spans="1:1" ht="75" x14ac:dyDescent="0.3">
      <c r="A1772" s="28" t="s">
        <v>5142</v>
      </c>
    </row>
    <row r="1773" spans="1:1" ht="75" x14ac:dyDescent="0.3">
      <c r="A1773" s="28" t="s">
        <v>5149</v>
      </c>
    </row>
    <row r="1774" spans="1:1" ht="75" x14ac:dyDescent="0.3">
      <c r="A1774" s="28" t="s">
        <v>5150</v>
      </c>
    </row>
    <row r="1775" spans="1:1" ht="90" x14ac:dyDescent="0.3">
      <c r="A1775" s="28" t="s">
        <v>5151</v>
      </c>
    </row>
    <row r="1776" spans="1:1" ht="90" x14ac:dyDescent="0.3">
      <c r="A1776" s="28" t="s">
        <v>5153</v>
      </c>
    </row>
    <row r="1777" spans="1:1" ht="90" x14ac:dyDescent="0.3">
      <c r="A1777" s="28" t="s">
        <v>5154</v>
      </c>
    </row>
    <row r="1778" spans="1:1" ht="90" x14ac:dyDescent="0.3">
      <c r="A1778" s="28" t="s">
        <v>5156</v>
      </c>
    </row>
    <row r="1779" spans="1:1" ht="90" x14ac:dyDescent="0.3">
      <c r="A1779" s="28" t="s">
        <v>5164</v>
      </c>
    </row>
    <row r="1780" spans="1:1" ht="90" x14ac:dyDescent="0.3">
      <c r="A1780" s="28" t="s">
        <v>5165</v>
      </c>
    </row>
    <row r="1781" spans="1:1" ht="90" x14ac:dyDescent="0.3">
      <c r="A1781" s="28" t="s">
        <v>5166</v>
      </c>
    </row>
    <row r="1782" spans="1:1" ht="90" x14ac:dyDescent="0.3">
      <c r="A1782" s="28" t="s">
        <v>5168</v>
      </c>
    </row>
    <row r="1783" spans="1:1" ht="90" x14ac:dyDescent="0.3">
      <c r="A1783" s="28" t="s">
        <v>5169</v>
      </c>
    </row>
    <row r="1784" spans="1:1" ht="90" x14ac:dyDescent="0.3">
      <c r="A1784" s="28" t="s">
        <v>5171</v>
      </c>
    </row>
    <row r="1785" spans="1:1" ht="90" x14ac:dyDescent="0.3">
      <c r="A1785" s="28" t="s">
        <v>5180</v>
      </c>
    </row>
    <row r="1786" spans="1:1" ht="90" x14ac:dyDescent="0.3">
      <c r="A1786" s="28" t="s">
        <v>5181</v>
      </c>
    </row>
    <row r="1787" spans="1:1" ht="90" x14ac:dyDescent="0.3">
      <c r="A1787" s="28" t="s">
        <v>5182</v>
      </c>
    </row>
    <row r="1788" spans="1:1" ht="90" x14ac:dyDescent="0.3">
      <c r="A1788" s="28" t="s">
        <v>5185</v>
      </c>
    </row>
    <row r="1789" spans="1:1" ht="90" x14ac:dyDescent="0.3">
      <c r="A1789" s="28" t="s">
        <v>5186</v>
      </c>
    </row>
    <row r="1790" spans="1:1" ht="75" x14ac:dyDescent="0.3">
      <c r="A1790" s="28" t="s">
        <v>5188</v>
      </c>
    </row>
    <row r="1791" spans="1:1" ht="75" x14ac:dyDescent="0.3">
      <c r="A1791" s="28" t="s">
        <v>5197</v>
      </c>
    </row>
    <row r="1792" spans="1:1" ht="75" x14ac:dyDescent="0.3">
      <c r="A1792" s="28" t="s">
        <v>5198</v>
      </c>
    </row>
    <row r="1793" spans="1:1" ht="75" x14ac:dyDescent="0.3">
      <c r="A1793" s="28" t="s">
        <v>5199</v>
      </c>
    </row>
    <row r="1794" spans="1:1" ht="75" x14ac:dyDescent="0.3">
      <c r="A1794" s="28" t="s">
        <v>5202</v>
      </c>
    </row>
    <row r="1795" spans="1:1" ht="75" x14ac:dyDescent="0.3">
      <c r="A1795" s="28" t="s">
        <v>5203</v>
      </c>
    </row>
    <row r="1796" spans="1:1" ht="60" x14ac:dyDescent="0.3">
      <c r="A1796" s="28" t="s">
        <v>5205</v>
      </c>
    </row>
    <row r="1797" spans="1:1" ht="60" x14ac:dyDescent="0.3">
      <c r="A1797" s="28" t="s">
        <v>5217</v>
      </c>
    </row>
    <row r="1798" spans="1:1" ht="60" x14ac:dyDescent="0.3">
      <c r="A1798" s="28" t="s">
        <v>5218</v>
      </c>
    </row>
    <row r="1799" spans="1:1" ht="60" x14ac:dyDescent="0.3">
      <c r="A1799" s="28" t="s">
        <v>5221</v>
      </c>
    </row>
    <row r="1800" spans="1:1" ht="60" x14ac:dyDescent="0.3">
      <c r="A1800" s="28" t="s">
        <v>5226</v>
      </c>
    </row>
    <row r="1801" spans="1:1" ht="60" x14ac:dyDescent="0.3">
      <c r="A1801" s="28" t="s">
        <v>5227</v>
      </c>
    </row>
    <row r="1802" spans="1:1" ht="60" x14ac:dyDescent="0.3">
      <c r="A1802" s="28" t="s">
        <v>5229</v>
      </c>
    </row>
    <row r="1803" spans="1:1" ht="60" x14ac:dyDescent="0.3">
      <c r="A1803" s="28" t="s">
        <v>5234</v>
      </c>
    </row>
    <row r="1804" spans="1:1" ht="60" x14ac:dyDescent="0.3">
      <c r="A1804" s="28" t="s">
        <v>5235</v>
      </c>
    </row>
    <row r="1805" spans="1:1" ht="90" x14ac:dyDescent="0.3">
      <c r="A1805" s="28" t="s">
        <v>5237</v>
      </c>
    </row>
    <row r="1806" spans="1:1" ht="75" x14ac:dyDescent="0.3">
      <c r="A1806" s="28" t="s">
        <v>5246</v>
      </c>
    </row>
    <row r="1807" spans="1:1" ht="90" x14ac:dyDescent="0.3">
      <c r="A1807" s="28" t="s">
        <v>5247</v>
      </c>
    </row>
    <row r="1808" spans="1:1" ht="75" x14ac:dyDescent="0.3">
      <c r="A1808" s="28" t="s">
        <v>5248</v>
      </c>
    </row>
    <row r="1809" spans="1:1" ht="75" x14ac:dyDescent="0.3">
      <c r="A1809" s="28" t="s">
        <v>5251</v>
      </c>
    </row>
    <row r="1810" spans="1:1" ht="75" x14ac:dyDescent="0.3">
      <c r="A1810" s="28" t="s">
        <v>5252</v>
      </c>
    </row>
    <row r="1811" spans="1:1" ht="60" x14ac:dyDescent="0.3">
      <c r="A1811" s="19" t="s">
        <v>5254</v>
      </c>
    </row>
    <row r="1812" spans="1:1" ht="60" x14ac:dyDescent="0.3">
      <c r="A1812" s="19" t="s">
        <v>5261</v>
      </c>
    </row>
    <row r="1813" spans="1:1" ht="60" x14ac:dyDescent="0.3">
      <c r="A1813" s="19" t="s">
        <v>5263</v>
      </c>
    </row>
    <row r="1814" spans="1:1" ht="60" x14ac:dyDescent="0.3">
      <c r="A1814" s="28" t="s">
        <v>5265</v>
      </c>
    </row>
    <row r="1815" spans="1:1" ht="60" x14ac:dyDescent="0.3">
      <c r="A1815" s="28" t="s">
        <v>5274</v>
      </c>
    </row>
    <row r="1816" spans="1:1" ht="60" x14ac:dyDescent="0.3">
      <c r="A1816" s="28" t="s">
        <v>5275</v>
      </c>
    </row>
    <row r="1817" spans="1:1" ht="60" x14ac:dyDescent="0.3">
      <c r="A1817" s="28" t="s">
        <v>5276</v>
      </c>
    </row>
    <row r="1818" spans="1:1" ht="60" x14ac:dyDescent="0.3">
      <c r="A1818" s="28" t="s">
        <v>5277</v>
      </c>
    </row>
    <row r="1819" spans="1:1" ht="105" x14ac:dyDescent="0.3">
      <c r="A1819" s="28" t="s">
        <v>5278</v>
      </c>
    </row>
    <row r="1820" spans="1:1" ht="105" x14ac:dyDescent="0.3">
      <c r="A1820" s="28" t="s">
        <v>5279</v>
      </c>
    </row>
    <row r="1821" spans="1:1" ht="105" x14ac:dyDescent="0.3">
      <c r="A1821" s="28" t="s">
        <v>5280</v>
      </c>
    </row>
    <row r="1822" spans="1:1" ht="105" x14ac:dyDescent="0.3">
      <c r="A1822" s="28" t="s">
        <v>5281</v>
      </c>
    </row>
    <row r="1823" spans="1:1" ht="45" x14ac:dyDescent="0.25">
      <c r="A1823" s="49" t="s">
        <v>5283</v>
      </c>
    </row>
    <row r="1824" spans="1:1" ht="90" x14ac:dyDescent="0.3">
      <c r="A1824" s="28" t="s">
        <v>5286</v>
      </c>
    </row>
    <row r="1825" spans="1:1" ht="90" x14ac:dyDescent="0.3">
      <c r="A1825" s="28" t="s">
        <v>5294</v>
      </c>
    </row>
    <row r="1826" spans="1:1" ht="90" x14ac:dyDescent="0.3">
      <c r="A1826" s="28" t="s">
        <v>5295</v>
      </c>
    </row>
    <row r="1827" spans="1:1" ht="90" x14ac:dyDescent="0.3">
      <c r="A1827" s="28" t="s">
        <v>5296</v>
      </c>
    </row>
    <row r="1828" spans="1:1" ht="75" x14ac:dyDescent="0.3">
      <c r="A1828" s="28" t="s">
        <v>5301</v>
      </c>
    </row>
    <row r="1829" spans="1:1" ht="90" x14ac:dyDescent="0.3">
      <c r="A1829" s="28" t="s">
        <v>5302</v>
      </c>
    </row>
    <row r="1830" spans="1:1" ht="60" x14ac:dyDescent="0.3">
      <c r="A1830" s="28" t="s">
        <v>5305</v>
      </c>
    </row>
    <row r="1831" spans="1:1" ht="60" x14ac:dyDescent="0.3">
      <c r="A1831" s="28" t="s">
        <v>5310</v>
      </c>
    </row>
    <row r="1832" spans="1:1" ht="60" x14ac:dyDescent="0.3">
      <c r="A1832" s="28" t="s">
        <v>5311</v>
      </c>
    </row>
    <row r="1833" spans="1:1" ht="60" x14ac:dyDescent="0.3">
      <c r="A1833" s="28" t="s">
        <v>5312</v>
      </c>
    </row>
    <row r="1834" spans="1:1" ht="60" x14ac:dyDescent="0.3">
      <c r="A1834" s="28" t="s">
        <v>5313</v>
      </c>
    </row>
    <row r="1835" spans="1:1" ht="60" x14ac:dyDescent="0.3">
      <c r="A1835" s="28" t="s">
        <v>5314</v>
      </c>
    </row>
    <row r="1836" spans="1:1" ht="60" x14ac:dyDescent="0.3">
      <c r="A1836" s="28" t="s">
        <v>5315</v>
      </c>
    </row>
    <row r="1837" spans="1:1" ht="60" x14ac:dyDescent="0.3">
      <c r="A1837" s="28" t="s">
        <v>5316</v>
      </c>
    </row>
    <row r="1838" spans="1:1" ht="60" x14ac:dyDescent="0.3">
      <c r="A1838" s="28" t="s">
        <v>5317</v>
      </c>
    </row>
    <row r="1839" spans="1:1" ht="60" x14ac:dyDescent="0.3">
      <c r="A1839" s="28" t="s">
        <v>5318</v>
      </c>
    </row>
    <row r="1840" spans="1:1" ht="60" x14ac:dyDescent="0.3">
      <c r="A1840" s="28" t="s">
        <v>5319</v>
      </c>
    </row>
    <row r="1841" spans="1:1" ht="60" x14ac:dyDescent="0.3">
      <c r="A1841" s="28" t="s">
        <v>5320</v>
      </c>
    </row>
    <row r="1842" spans="1:1" ht="60" x14ac:dyDescent="0.3">
      <c r="A1842" s="28" t="s">
        <v>5321</v>
      </c>
    </row>
    <row r="1843" spans="1:1" ht="60" x14ac:dyDescent="0.3">
      <c r="A1843" s="28" t="s">
        <v>5322</v>
      </c>
    </row>
    <row r="1844" spans="1:1" ht="60" x14ac:dyDescent="0.3">
      <c r="A1844" s="28" t="s">
        <v>5323</v>
      </c>
    </row>
    <row r="1845" spans="1:1" ht="60" x14ac:dyDescent="0.3">
      <c r="A1845" s="28" t="s">
        <v>5324</v>
      </c>
    </row>
    <row r="1846" spans="1:1" ht="60" x14ac:dyDescent="0.3">
      <c r="A1846" s="28" t="s">
        <v>5325</v>
      </c>
    </row>
    <row r="1847" spans="1:1" ht="60" x14ac:dyDescent="0.3">
      <c r="A1847" s="28" t="s">
        <v>5326</v>
      </c>
    </row>
    <row r="1848" spans="1:1" ht="60" x14ac:dyDescent="0.3">
      <c r="A1848" s="28" t="s">
        <v>5327</v>
      </c>
    </row>
    <row r="1849" spans="1:1" ht="60" x14ac:dyDescent="0.3">
      <c r="A1849" s="28" t="s">
        <v>5328</v>
      </c>
    </row>
    <row r="1850" spans="1:1" ht="60" x14ac:dyDescent="0.3">
      <c r="A1850" s="28" t="s">
        <v>5329</v>
      </c>
    </row>
    <row r="1851" spans="1:1" ht="105" x14ac:dyDescent="0.3">
      <c r="A1851" s="28" t="s">
        <v>5331</v>
      </c>
    </row>
    <row r="1852" spans="1:1" ht="75" x14ac:dyDescent="0.3">
      <c r="A1852" s="28" t="s">
        <v>5341</v>
      </c>
    </row>
    <row r="1853" spans="1:1" ht="75" x14ac:dyDescent="0.3">
      <c r="A1853" s="28" t="s">
        <v>5342</v>
      </c>
    </row>
    <row r="1854" spans="1:1" ht="105" x14ac:dyDescent="0.3">
      <c r="A1854" s="28" t="s">
        <v>5343</v>
      </c>
    </row>
    <row r="1855" spans="1:1" ht="75" x14ac:dyDescent="0.3">
      <c r="A1855" s="28" t="s">
        <v>5344</v>
      </c>
    </row>
    <row r="1856" spans="1:1" ht="90" x14ac:dyDescent="0.3">
      <c r="A1856" s="28" t="s">
        <v>5345</v>
      </c>
    </row>
    <row r="1857" spans="1:1" ht="90" x14ac:dyDescent="0.3">
      <c r="A1857" s="28" t="s">
        <v>5346</v>
      </c>
    </row>
    <row r="1858" spans="1:1" ht="90" x14ac:dyDescent="0.3">
      <c r="A1858" s="28" t="s">
        <v>5349</v>
      </c>
    </row>
    <row r="1859" spans="1:1" ht="75" x14ac:dyDescent="0.3">
      <c r="A1859" s="28" t="s">
        <v>5350</v>
      </c>
    </row>
    <row r="1860" spans="1:1" ht="105" x14ac:dyDescent="0.3">
      <c r="A1860" s="28" t="s">
        <v>5352</v>
      </c>
    </row>
    <row r="1861" spans="1:1" ht="90" x14ac:dyDescent="0.3">
      <c r="A1861" s="28" t="s">
        <v>5360</v>
      </c>
    </row>
    <row r="1862" spans="1:1" ht="90" x14ac:dyDescent="0.3">
      <c r="A1862" s="28" t="s">
        <v>5361</v>
      </c>
    </row>
    <row r="1863" spans="1:1" ht="105" x14ac:dyDescent="0.3">
      <c r="A1863" s="28" t="s">
        <v>5362</v>
      </c>
    </row>
    <row r="1864" spans="1:1" ht="90" x14ac:dyDescent="0.3">
      <c r="A1864" s="28" t="s">
        <v>5363</v>
      </c>
    </row>
    <row r="1865" spans="1:1" ht="90" x14ac:dyDescent="0.3">
      <c r="A1865" s="28" t="s">
        <v>5364</v>
      </c>
    </row>
    <row r="1866" spans="1:1" ht="105" x14ac:dyDescent="0.3">
      <c r="A1866" s="28" t="s">
        <v>5365</v>
      </c>
    </row>
    <row r="1867" spans="1:1" ht="90" x14ac:dyDescent="0.3">
      <c r="A1867" s="28" t="s">
        <v>5367</v>
      </c>
    </row>
    <row r="1868" spans="1:1" ht="90" x14ac:dyDescent="0.3">
      <c r="A1868" s="28" t="s">
        <v>5368</v>
      </c>
    </row>
    <row r="1869" spans="1:1" ht="105" x14ac:dyDescent="0.3">
      <c r="A1869" s="28" t="s">
        <v>5370</v>
      </c>
    </row>
    <row r="1870" spans="1:1" ht="135" x14ac:dyDescent="0.3">
      <c r="A1870" s="28" t="s">
        <v>5376</v>
      </c>
    </row>
    <row r="1871" spans="1:1" ht="135" x14ac:dyDescent="0.3">
      <c r="A1871" s="28" t="s">
        <v>5382</v>
      </c>
    </row>
    <row r="1872" spans="1:1" ht="135" x14ac:dyDescent="0.3">
      <c r="A1872" s="28" t="s">
        <v>5383</v>
      </c>
    </row>
    <row r="1873" spans="1:1" ht="135" x14ac:dyDescent="0.3">
      <c r="A1873" s="28" t="s">
        <v>5384</v>
      </c>
    </row>
    <row r="1874" spans="1:1" ht="135" x14ac:dyDescent="0.3">
      <c r="A1874" s="28" t="s">
        <v>5385</v>
      </c>
    </row>
    <row r="1875" spans="1:1" ht="135" x14ac:dyDescent="0.3">
      <c r="A1875" s="28" t="s">
        <v>5386</v>
      </c>
    </row>
    <row r="1876" spans="1:1" ht="135" x14ac:dyDescent="0.3">
      <c r="A1876" s="28" t="s">
        <v>5389</v>
      </c>
    </row>
    <row r="1877" spans="1:1" ht="135" x14ac:dyDescent="0.3">
      <c r="A1877" s="28" t="s">
        <v>5390</v>
      </c>
    </row>
    <row r="1878" spans="1:1" ht="135" x14ac:dyDescent="0.3">
      <c r="A1878" s="28" t="s">
        <v>5391</v>
      </c>
    </row>
    <row r="1879" spans="1:1" ht="135" x14ac:dyDescent="0.3">
      <c r="A1879" s="28" t="s">
        <v>5392</v>
      </c>
    </row>
    <row r="1880" spans="1:1" ht="75" x14ac:dyDescent="0.3">
      <c r="A1880" s="28" t="s">
        <v>5394</v>
      </c>
    </row>
    <row r="1881" spans="1:1" ht="75" x14ac:dyDescent="0.3">
      <c r="A1881" s="28" t="s">
        <v>5402</v>
      </c>
    </row>
    <row r="1882" spans="1:1" ht="75" x14ac:dyDescent="0.3">
      <c r="A1882" s="28" t="s">
        <v>5403</v>
      </c>
    </row>
    <row r="1883" spans="1:1" ht="90" x14ac:dyDescent="0.3">
      <c r="A1883" s="28" t="s">
        <v>5404</v>
      </c>
    </row>
    <row r="1884" spans="1:1" ht="90" x14ac:dyDescent="0.3">
      <c r="A1884" s="28" t="s">
        <v>5405</v>
      </c>
    </row>
    <row r="1885" spans="1:1" ht="75" x14ac:dyDescent="0.3">
      <c r="A1885" s="28" t="s">
        <v>5406</v>
      </c>
    </row>
    <row r="1886" spans="1:1" x14ac:dyDescent="0.3">
      <c r="A1886" s="68" t="s">
        <v>5408</v>
      </c>
    </row>
    <row r="1887" spans="1:1" x14ac:dyDescent="0.3">
      <c r="A1887" s="69"/>
    </row>
    <row r="1888" spans="1:1" x14ac:dyDescent="0.3">
      <c r="A1888" s="70"/>
    </row>
    <row r="1889" spans="1:1" x14ac:dyDescent="0.3">
      <c r="A1889" s="68" t="s">
        <v>5418</v>
      </c>
    </row>
    <row r="1890" spans="1:1" x14ac:dyDescent="0.3">
      <c r="A1890" s="69"/>
    </row>
    <row r="1891" spans="1:1" x14ac:dyDescent="0.3">
      <c r="A1891" s="70"/>
    </row>
    <row r="1892" spans="1:1" x14ac:dyDescent="0.3">
      <c r="A1892" s="68" t="s">
        <v>5421</v>
      </c>
    </row>
    <row r="1893" spans="1:1" x14ac:dyDescent="0.3">
      <c r="A1893" s="69"/>
    </row>
    <row r="1894" spans="1:1" x14ac:dyDescent="0.3">
      <c r="A1894" s="70"/>
    </row>
    <row r="1895" spans="1:1" x14ac:dyDescent="0.3">
      <c r="A1895" s="68" t="s">
        <v>5424</v>
      </c>
    </row>
    <row r="1896" spans="1:1" x14ac:dyDescent="0.3">
      <c r="A1896" s="69"/>
    </row>
    <row r="1897" spans="1:1" x14ac:dyDescent="0.3">
      <c r="A1897" s="70"/>
    </row>
    <row r="1898" spans="1:1" ht="75" x14ac:dyDescent="0.3">
      <c r="A1898" s="28" t="s">
        <v>5428</v>
      </c>
    </row>
    <row r="1899" spans="1:1" ht="75" x14ac:dyDescent="0.3">
      <c r="A1899" s="28" t="s">
        <v>5437</v>
      </c>
    </row>
    <row r="1900" spans="1:1" ht="75" x14ac:dyDescent="0.3">
      <c r="A1900" s="28" t="s">
        <v>5438</v>
      </c>
    </row>
    <row r="1901" spans="1:1" ht="60" x14ac:dyDescent="0.3">
      <c r="A1901" s="28" t="s">
        <v>5439</v>
      </c>
    </row>
    <row r="1902" spans="1:1" ht="75" x14ac:dyDescent="0.3">
      <c r="A1902" s="28" t="s">
        <v>5443</v>
      </c>
    </row>
    <row r="1903" spans="1:1" ht="75" x14ac:dyDescent="0.3">
      <c r="A1903" s="28" t="s">
        <v>5445</v>
      </c>
    </row>
    <row r="1904" spans="1:1" ht="60" x14ac:dyDescent="0.3">
      <c r="A1904" s="28" t="s">
        <v>5446</v>
      </c>
    </row>
    <row r="1905" spans="1:1" ht="60" x14ac:dyDescent="0.3">
      <c r="A1905" s="28" t="s">
        <v>5452</v>
      </c>
    </row>
    <row r="1906" spans="1:1" ht="75" x14ac:dyDescent="0.3">
      <c r="A1906" s="28" t="s">
        <v>5454</v>
      </c>
    </row>
    <row r="1907" spans="1:1" ht="105" x14ac:dyDescent="0.3">
      <c r="A1907" s="28" t="s">
        <v>5456</v>
      </c>
    </row>
    <row r="1908" spans="1:1" ht="105" x14ac:dyDescent="0.3">
      <c r="A1908" s="28" t="s">
        <v>5466</v>
      </c>
    </row>
    <row r="1909" spans="1:1" ht="105" x14ac:dyDescent="0.3">
      <c r="A1909" s="28" t="s">
        <v>5467</v>
      </c>
    </row>
    <row r="1910" spans="1:1" ht="105" x14ac:dyDescent="0.3">
      <c r="A1910" s="28" t="s">
        <v>5468</v>
      </c>
    </row>
    <row r="1911" spans="1:1" ht="105" x14ac:dyDescent="0.3">
      <c r="A1911" s="28" t="s">
        <v>5471</v>
      </c>
    </row>
    <row r="1912" spans="1:1" ht="105" x14ac:dyDescent="0.3">
      <c r="A1912" s="28" t="s">
        <v>5472</v>
      </c>
    </row>
    <row r="1913" spans="1:1" ht="90" x14ac:dyDescent="0.3">
      <c r="A1913" s="28" t="s">
        <v>5474</v>
      </c>
    </row>
    <row r="1914" spans="1:1" ht="90" x14ac:dyDescent="0.3">
      <c r="A1914" s="28" t="s">
        <v>5481</v>
      </c>
    </row>
    <row r="1915" spans="1:1" ht="90" x14ac:dyDescent="0.3">
      <c r="A1915" s="28" t="s">
        <v>5482</v>
      </c>
    </row>
    <row r="1916" spans="1:1" ht="90" x14ac:dyDescent="0.3">
      <c r="A1916" s="28" t="s">
        <v>5483</v>
      </c>
    </row>
    <row r="1917" spans="1:1" ht="90" x14ac:dyDescent="0.3">
      <c r="A1917" s="28" t="s">
        <v>5485</v>
      </c>
    </row>
    <row r="1918" spans="1:1" ht="90" x14ac:dyDescent="0.3">
      <c r="A1918" s="28" t="s">
        <v>5486</v>
      </c>
    </row>
    <row r="1919" spans="1:1" ht="90" x14ac:dyDescent="0.3">
      <c r="A1919" s="28" t="s">
        <v>5487</v>
      </c>
    </row>
    <row r="1920" spans="1:1" ht="90" x14ac:dyDescent="0.3">
      <c r="A1920" s="28" t="s">
        <v>5488</v>
      </c>
    </row>
    <row r="1921" spans="1:1" ht="90" x14ac:dyDescent="0.3">
      <c r="A1921" s="28" t="s">
        <v>5489</v>
      </c>
    </row>
    <row r="1922" spans="1:1" ht="105" x14ac:dyDescent="0.3">
      <c r="A1922" s="28" t="s">
        <v>5491</v>
      </c>
    </row>
    <row r="1923" spans="1:1" ht="90" x14ac:dyDescent="0.3">
      <c r="A1923" s="28" t="s">
        <v>5498</v>
      </c>
    </row>
    <row r="1924" spans="1:1" ht="90" x14ac:dyDescent="0.3">
      <c r="A1924" s="28" t="s">
        <v>6477</v>
      </c>
    </row>
    <row r="1925" spans="1:1" ht="105" x14ac:dyDescent="0.3">
      <c r="A1925" s="28" t="s">
        <v>5499</v>
      </c>
    </row>
    <row r="1926" spans="1:1" ht="90" x14ac:dyDescent="0.3">
      <c r="A1926" s="28" t="s">
        <v>5501</v>
      </c>
    </row>
    <row r="1927" spans="1:1" ht="90" x14ac:dyDescent="0.3">
      <c r="A1927" s="28" t="s">
        <v>5502</v>
      </c>
    </row>
    <row r="1928" spans="1:1" ht="105" x14ac:dyDescent="0.3">
      <c r="A1928" s="28" t="s">
        <v>5503</v>
      </c>
    </row>
    <row r="1929" spans="1:1" ht="90" x14ac:dyDescent="0.3">
      <c r="A1929" s="28" t="s">
        <v>5504</v>
      </c>
    </row>
    <row r="1930" spans="1:1" ht="90" x14ac:dyDescent="0.3">
      <c r="A1930" s="28" t="s">
        <v>5505</v>
      </c>
    </row>
    <row r="1931" spans="1:1" ht="90" x14ac:dyDescent="0.3">
      <c r="A1931" s="28" t="s">
        <v>5508</v>
      </c>
    </row>
    <row r="1932" spans="1:1" ht="90" x14ac:dyDescent="0.3">
      <c r="A1932" s="28" t="s">
        <v>5516</v>
      </c>
    </row>
    <row r="1933" spans="1:1" ht="90" x14ac:dyDescent="0.3">
      <c r="A1933" s="28" t="s">
        <v>5517</v>
      </c>
    </row>
    <row r="1934" spans="1:1" ht="90" x14ac:dyDescent="0.3">
      <c r="A1934" s="28" t="s">
        <v>5518</v>
      </c>
    </row>
    <row r="1935" spans="1:1" ht="90" x14ac:dyDescent="0.3">
      <c r="A1935" s="28" t="s">
        <v>5520</v>
      </c>
    </row>
    <row r="1936" spans="1:1" ht="90" x14ac:dyDescent="0.3">
      <c r="A1936" s="28" t="s">
        <v>5521</v>
      </c>
    </row>
    <row r="1937" spans="1:1" ht="15.5" x14ac:dyDescent="0.35">
      <c r="A1937" s="39"/>
    </row>
    <row r="1938" spans="1:1" ht="90" x14ac:dyDescent="0.3">
      <c r="A1938" s="28" t="s">
        <v>5522</v>
      </c>
    </row>
    <row r="1939" spans="1:1" ht="90" x14ac:dyDescent="0.3">
      <c r="A1939" s="28" t="s">
        <v>5525</v>
      </c>
    </row>
    <row r="1940" spans="1:1" ht="90" x14ac:dyDescent="0.3">
      <c r="A1940" s="28" t="s">
        <v>5526</v>
      </c>
    </row>
    <row r="1941" spans="1:1" ht="75" x14ac:dyDescent="0.3">
      <c r="A1941" s="28" t="s">
        <v>5528</v>
      </c>
    </row>
    <row r="1942" spans="1:1" ht="75" x14ac:dyDescent="0.3">
      <c r="A1942" s="28" t="s">
        <v>5536</v>
      </c>
    </row>
    <row r="1943" spans="1:1" ht="75" x14ac:dyDescent="0.3">
      <c r="A1943" s="28" t="s">
        <v>5537</v>
      </c>
    </row>
    <row r="1944" spans="1:1" ht="75" x14ac:dyDescent="0.3">
      <c r="A1944" s="28" t="s">
        <v>5540</v>
      </c>
    </row>
    <row r="1945" spans="1:1" ht="75" x14ac:dyDescent="0.3">
      <c r="A1945" s="28" t="s">
        <v>5541</v>
      </c>
    </row>
    <row r="1946" spans="1:1" ht="75" x14ac:dyDescent="0.3">
      <c r="A1946" s="28" t="s">
        <v>5543</v>
      </c>
    </row>
    <row r="1947" spans="1:1" ht="105" x14ac:dyDescent="0.3">
      <c r="A1947" s="28" t="s">
        <v>5546</v>
      </c>
    </row>
    <row r="1948" spans="1:1" ht="105" x14ac:dyDescent="0.3">
      <c r="A1948" s="28" t="s">
        <v>5554</v>
      </c>
    </row>
    <row r="1949" spans="1:1" ht="105" x14ac:dyDescent="0.3">
      <c r="A1949" s="28" t="s">
        <v>5555</v>
      </c>
    </row>
    <row r="1950" spans="1:1" ht="105" x14ac:dyDescent="0.3">
      <c r="A1950" s="28" t="s">
        <v>5556</v>
      </c>
    </row>
    <row r="1951" spans="1:1" ht="105" x14ac:dyDescent="0.3">
      <c r="A1951" s="28" t="s">
        <v>5558</v>
      </c>
    </row>
    <row r="1952" spans="1:1" ht="105" x14ac:dyDescent="0.3">
      <c r="A1952" s="28" t="s">
        <v>5559</v>
      </c>
    </row>
    <row r="1953" spans="1:1" ht="90" x14ac:dyDescent="0.3">
      <c r="A1953" s="28" t="s">
        <v>5561</v>
      </c>
    </row>
    <row r="1954" spans="1:1" ht="90" x14ac:dyDescent="0.3">
      <c r="A1954" s="28" t="s">
        <v>5569</v>
      </c>
    </row>
    <row r="1955" spans="1:1" ht="90" x14ac:dyDescent="0.3">
      <c r="A1955" s="28" t="s">
        <v>5570</v>
      </c>
    </row>
    <row r="1956" spans="1:1" ht="90" x14ac:dyDescent="0.3">
      <c r="A1956" s="28" t="s">
        <v>5571</v>
      </c>
    </row>
    <row r="1957" spans="1:1" ht="90" x14ac:dyDescent="0.3">
      <c r="A1957" s="28" t="s">
        <v>5573</v>
      </c>
    </row>
    <row r="1958" spans="1:1" ht="90" x14ac:dyDescent="0.3">
      <c r="A1958" s="28" t="s">
        <v>5574</v>
      </c>
    </row>
    <row r="1959" spans="1:1" ht="90" x14ac:dyDescent="0.3">
      <c r="A1959" s="28" t="s">
        <v>5576</v>
      </c>
    </row>
    <row r="1960" spans="1:1" ht="90" x14ac:dyDescent="0.3">
      <c r="A1960" s="28" t="s">
        <v>5584</v>
      </c>
    </row>
    <row r="1961" spans="1:1" ht="90" x14ac:dyDescent="0.3">
      <c r="A1961" s="28" t="s">
        <v>5585</v>
      </c>
    </row>
    <row r="1962" spans="1:1" ht="90" x14ac:dyDescent="0.3">
      <c r="A1962" s="28" t="s">
        <v>5586</v>
      </c>
    </row>
    <row r="1963" spans="1:1" ht="90" x14ac:dyDescent="0.3">
      <c r="A1963" s="28" t="s">
        <v>5588</v>
      </c>
    </row>
    <row r="1964" spans="1:1" ht="90" x14ac:dyDescent="0.3">
      <c r="A1964" s="28" t="s">
        <v>5589</v>
      </c>
    </row>
    <row r="1965" spans="1:1" ht="90" x14ac:dyDescent="0.3">
      <c r="A1965" s="28" t="s">
        <v>5591</v>
      </c>
    </row>
    <row r="1966" spans="1:1" ht="90" x14ac:dyDescent="0.3">
      <c r="A1966" s="28" t="s">
        <v>5599</v>
      </c>
    </row>
    <row r="1967" spans="1:1" ht="90" x14ac:dyDescent="0.3">
      <c r="A1967" s="28" t="s">
        <v>5600</v>
      </c>
    </row>
    <row r="1968" spans="1:1" ht="90" x14ac:dyDescent="0.3">
      <c r="A1968" s="28" t="s">
        <v>5601</v>
      </c>
    </row>
    <row r="1969" spans="1:1" ht="90" x14ac:dyDescent="0.3">
      <c r="A1969" s="28" t="s">
        <v>5603</v>
      </c>
    </row>
    <row r="1970" spans="1:1" ht="90" x14ac:dyDescent="0.3">
      <c r="A1970" s="28" t="s">
        <v>5604</v>
      </c>
    </row>
    <row r="1971" spans="1:1" ht="75" x14ac:dyDescent="0.3">
      <c r="A1971" s="28" t="s">
        <v>5606</v>
      </c>
    </row>
    <row r="1972" spans="1:1" ht="75" x14ac:dyDescent="0.3">
      <c r="A1972" s="28" t="s">
        <v>5614</v>
      </c>
    </row>
    <row r="1973" spans="1:1" ht="75" x14ac:dyDescent="0.3">
      <c r="A1973" s="28" t="s">
        <v>5615</v>
      </c>
    </row>
    <row r="1974" spans="1:1" ht="75" x14ac:dyDescent="0.3">
      <c r="A1974" s="28" t="s">
        <v>5616</v>
      </c>
    </row>
    <row r="1975" spans="1:1" ht="75" x14ac:dyDescent="0.3">
      <c r="A1975" s="28" t="s">
        <v>5617</v>
      </c>
    </row>
    <row r="1976" spans="1:1" ht="75" x14ac:dyDescent="0.3">
      <c r="A1976" s="28" t="s">
        <v>5618</v>
      </c>
    </row>
    <row r="1977" spans="1:1" ht="90" x14ac:dyDescent="0.3">
      <c r="A1977" s="28" t="s">
        <v>5620</v>
      </c>
    </row>
    <row r="1978" spans="1:1" ht="75" x14ac:dyDescent="0.3">
      <c r="A1978" s="28" t="s">
        <v>5629</v>
      </c>
    </row>
    <row r="1979" spans="1:1" ht="90" x14ac:dyDescent="0.3">
      <c r="A1979" s="28" t="s">
        <v>5630</v>
      </c>
    </row>
    <row r="1980" spans="1:1" ht="90" x14ac:dyDescent="0.3">
      <c r="A1980" s="28" t="s">
        <v>5632</v>
      </c>
    </row>
    <row r="1981" spans="1:1" ht="75" x14ac:dyDescent="0.3">
      <c r="A1981" s="28" t="s">
        <v>5636</v>
      </c>
    </row>
    <row r="1982" spans="1:1" ht="75" x14ac:dyDescent="0.3">
      <c r="A1982" s="28" t="s">
        <v>5637</v>
      </c>
    </row>
    <row r="1983" spans="1:1" ht="90" x14ac:dyDescent="0.3">
      <c r="A1983" s="28" t="s">
        <v>5639</v>
      </c>
    </row>
    <row r="1984" spans="1:1" ht="75" x14ac:dyDescent="0.3">
      <c r="A1984" s="28" t="s">
        <v>5642</v>
      </c>
    </row>
    <row r="1985" spans="1:1" ht="90" x14ac:dyDescent="0.3">
      <c r="A1985" s="28" t="s">
        <v>5643</v>
      </c>
    </row>
    <row r="1986" spans="1:1" ht="60" x14ac:dyDescent="0.3">
      <c r="A1986" s="28" t="s">
        <v>5645</v>
      </c>
    </row>
    <row r="1987" spans="1:1" ht="60" x14ac:dyDescent="0.3">
      <c r="A1987" s="28" t="s">
        <v>5651</v>
      </c>
    </row>
    <row r="1988" spans="1:1" ht="60" x14ac:dyDescent="0.3">
      <c r="A1988" s="28" t="s">
        <v>5652</v>
      </c>
    </row>
    <row r="1989" spans="1:1" ht="60" x14ac:dyDescent="0.3">
      <c r="A1989" s="28" t="s">
        <v>5653</v>
      </c>
    </row>
    <row r="1990" spans="1:1" ht="60" x14ac:dyDescent="0.3">
      <c r="A1990" s="28" t="s">
        <v>5654</v>
      </c>
    </row>
    <row r="1991" spans="1:1" ht="60" x14ac:dyDescent="0.3">
      <c r="A1991" s="28" t="s">
        <v>5657</v>
      </c>
    </row>
    <row r="1992" spans="1:1" ht="60" x14ac:dyDescent="0.3">
      <c r="A1992" s="28" t="s">
        <v>5658</v>
      </c>
    </row>
    <row r="1993" spans="1:1" ht="60" x14ac:dyDescent="0.3">
      <c r="A1993" s="28" t="s">
        <v>5659</v>
      </c>
    </row>
    <row r="1994" spans="1:1" ht="60" x14ac:dyDescent="0.3">
      <c r="A1994" s="28" t="s">
        <v>5660</v>
      </c>
    </row>
    <row r="1995" spans="1:1" ht="60" x14ac:dyDescent="0.3">
      <c r="A1995" s="28" t="s">
        <v>5662</v>
      </c>
    </row>
    <row r="1996" spans="1:1" ht="60" x14ac:dyDescent="0.3">
      <c r="A1996" s="28" t="s">
        <v>5663</v>
      </c>
    </row>
    <row r="1997" spans="1:1" ht="60" x14ac:dyDescent="0.3">
      <c r="A1997" s="28" t="s">
        <v>5665</v>
      </c>
    </row>
    <row r="1998" spans="1:1" ht="60" x14ac:dyDescent="0.3">
      <c r="A1998" s="28" t="s">
        <v>5666</v>
      </c>
    </row>
    <row r="1999" spans="1:1" ht="60" x14ac:dyDescent="0.3">
      <c r="A1999" s="28" t="s">
        <v>5668</v>
      </c>
    </row>
    <row r="2000" spans="1:1" ht="60" x14ac:dyDescent="0.3">
      <c r="A2000" s="28" t="s">
        <v>5670</v>
      </c>
    </row>
    <row r="2001" spans="1:1" ht="60" x14ac:dyDescent="0.3">
      <c r="A2001" s="28" t="s">
        <v>5671</v>
      </c>
    </row>
    <row r="2002" spans="1:1" ht="60" x14ac:dyDescent="0.3">
      <c r="A2002" s="28" t="s">
        <v>5673</v>
      </c>
    </row>
    <row r="2003" spans="1:1" ht="60" x14ac:dyDescent="0.3">
      <c r="A2003" s="28" t="s">
        <v>5675</v>
      </c>
    </row>
    <row r="2004" spans="1:1" ht="60" x14ac:dyDescent="0.3">
      <c r="A2004" s="28" t="s">
        <v>5678</v>
      </c>
    </row>
    <row r="2005" spans="1:1" ht="60" x14ac:dyDescent="0.3">
      <c r="A2005" s="28" t="s">
        <v>5686</v>
      </c>
    </row>
    <row r="2006" spans="1:1" ht="60" x14ac:dyDescent="0.3">
      <c r="A2006" s="28" t="s">
        <v>5687</v>
      </c>
    </row>
    <row r="2007" spans="1:1" ht="60" x14ac:dyDescent="0.3">
      <c r="A2007" s="28" t="s">
        <v>5689</v>
      </c>
    </row>
    <row r="2008" spans="1:1" ht="60" x14ac:dyDescent="0.3">
      <c r="A2008" s="28" t="s">
        <v>5690</v>
      </c>
    </row>
    <row r="2009" spans="1:1" ht="60" x14ac:dyDescent="0.3">
      <c r="A2009" s="28" t="s">
        <v>5691</v>
      </c>
    </row>
    <row r="2010" spans="1:1" ht="75" x14ac:dyDescent="0.3">
      <c r="A2010" s="28" t="s">
        <v>4223</v>
      </c>
    </row>
    <row r="2011" spans="1:1" ht="75" x14ac:dyDescent="0.3">
      <c r="A2011" s="28" t="s">
        <v>4236</v>
      </c>
    </row>
    <row r="2012" spans="1:1" ht="75" x14ac:dyDescent="0.3">
      <c r="A2012" s="28" t="s">
        <v>5700</v>
      </c>
    </row>
    <row r="2013" spans="1:1" ht="75" x14ac:dyDescent="0.3">
      <c r="A2013" s="28" t="s">
        <v>5704</v>
      </c>
    </row>
    <row r="2014" spans="1:1" ht="75" x14ac:dyDescent="0.3">
      <c r="A2014" s="28" t="s">
        <v>5705</v>
      </c>
    </row>
    <row r="2015" spans="1:1" ht="75" x14ac:dyDescent="0.3">
      <c r="A2015" s="28" t="s">
        <v>5708</v>
      </c>
    </row>
    <row r="2016" spans="1:1" ht="75" x14ac:dyDescent="0.3">
      <c r="A2016" s="28" t="s">
        <v>5710</v>
      </c>
    </row>
    <row r="2017" spans="1:1" ht="75" x14ac:dyDescent="0.3">
      <c r="A2017" s="28" t="s">
        <v>5714</v>
      </c>
    </row>
    <row r="2018" spans="1:1" ht="75" x14ac:dyDescent="0.3">
      <c r="A2018" s="28" t="s">
        <v>5715</v>
      </c>
    </row>
    <row r="2019" spans="1:1" ht="75" x14ac:dyDescent="0.3">
      <c r="A2019" s="28" t="s">
        <v>5716</v>
      </c>
    </row>
    <row r="2020" spans="1:1" ht="75" x14ac:dyDescent="0.3">
      <c r="A2020" s="28" t="s">
        <v>5717</v>
      </c>
    </row>
    <row r="2021" spans="1:1" ht="75" x14ac:dyDescent="0.3">
      <c r="A2021" s="28" t="s">
        <v>5718</v>
      </c>
    </row>
    <row r="2022" spans="1:1" ht="75" x14ac:dyDescent="0.3">
      <c r="A2022" s="28" t="s">
        <v>5719</v>
      </c>
    </row>
    <row r="2023" spans="1:1" ht="75" x14ac:dyDescent="0.3">
      <c r="A2023" s="28" t="s">
        <v>5723</v>
      </c>
    </row>
    <row r="2024" spans="1:1" ht="75" x14ac:dyDescent="0.3">
      <c r="A2024" s="28" t="s">
        <v>5724</v>
      </c>
    </row>
    <row r="2025" spans="1:1" ht="75" x14ac:dyDescent="0.3">
      <c r="A2025" s="28" t="s">
        <v>5726</v>
      </c>
    </row>
    <row r="2026" spans="1:1" ht="75" x14ac:dyDescent="0.3">
      <c r="A2026" s="28" t="s">
        <v>5729</v>
      </c>
    </row>
    <row r="2027" spans="1:1" ht="75" x14ac:dyDescent="0.3">
      <c r="A2027" s="28" t="s">
        <v>5730</v>
      </c>
    </row>
    <row r="2028" spans="1:1" ht="105" x14ac:dyDescent="0.3">
      <c r="A2028" s="28" t="s">
        <v>5734</v>
      </c>
    </row>
    <row r="2029" spans="1:1" ht="105" x14ac:dyDescent="0.3">
      <c r="A2029" s="28" t="s">
        <v>5740</v>
      </c>
    </row>
    <row r="2030" spans="1:1" ht="105" x14ac:dyDescent="0.3">
      <c r="A2030" s="28" t="s">
        <v>5741</v>
      </c>
    </row>
    <row r="2031" spans="1:1" ht="105" x14ac:dyDescent="0.3">
      <c r="A2031" s="28" t="s">
        <v>5742</v>
      </c>
    </row>
    <row r="2032" spans="1:1" ht="105" x14ac:dyDescent="0.3">
      <c r="A2032" s="28" t="s">
        <v>5743</v>
      </c>
    </row>
    <row r="2033" spans="1:1" ht="105" x14ac:dyDescent="0.3">
      <c r="A2033" s="28" t="s">
        <v>5744</v>
      </c>
    </row>
    <row r="2034" spans="1:1" ht="105" x14ac:dyDescent="0.3">
      <c r="A2034" s="28" t="s">
        <v>5745</v>
      </c>
    </row>
    <row r="2035" spans="1:1" ht="105" x14ac:dyDescent="0.3">
      <c r="A2035" s="28" t="s">
        <v>5747</v>
      </c>
    </row>
    <row r="2036" spans="1:1" ht="105" x14ac:dyDescent="0.3">
      <c r="A2036" s="28" t="s">
        <v>5748</v>
      </c>
    </row>
    <row r="2037" spans="1:1" ht="45" x14ac:dyDescent="0.3">
      <c r="A2037" s="19" t="s">
        <v>5750</v>
      </c>
    </row>
    <row r="2038" spans="1:1" ht="60" x14ac:dyDescent="0.3">
      <c r="A2038" s="19" t="s">
        <v>5758</v>
      </c>
    </row>
    <row r="2039" spans="1:1" ht="60" x14ac:dyDescent="0.3">
      <c r="A2039" s="19" t="s">
        <v>5759</v>
      </c>
    </row>
    <row r="2040" spans="1:1" ht="45" x14ac:dyDescent="0.3">
      <c r="A2040" s="19" t="s">
        <v>5760</v>
      </c>
    </row>
    <row r="2041" spans="1:1" ht="105" x14ac:dyDescent="0.3">
      <c r="A2041" s="28" t="s">
        <v>5762</v>
      </c>
    </row>
    <row r="2042" spans="1:1" ht="90" x14ac:dyDescent="0.3">
      <c r="A2042" s="28" t="s">
        <v>5769</v>
      </c>
    </row>
    <row r="2043" spans="1:1" ht="90" x14ac:dyDescent="0.3">
      <c r="A2043" s="28" t="s">
        <v>5770</v>
      </c>
    </row>
    <row r="2044" spans="1:1" ht="90" x14ac:dyDescent="0.3">
      <c r="A2044" s="28" t="s">
        <v>5771</v>
      </c>
    </row>
    <row r="2045" spans="1:1" ht="105" x14ac:dyDescent="0.3">
      <c r="A2045" s="28" t="s">
        <v>5772</v>
      </c>
    </row>
    <row r="2046" spans="1:1" ht="90" x14ac:dyDescent="0.3">
      <c r="A2046" s="28" t="s">
        <v>5773</v>
      </c>
    </row>
    <row r="2047" spans="1:1" ht="105" x14ac:dyDescent="0.3">
      <c r="A2047" s="28" t="s">
        <v>5774</v>
      </c>
    </row>
    <row r="2048" spans="1:1" ht="105" x14ac:dyDescent="0.3">
      <c r="A2048" s="28" t="s">
        <v>5776</v>
      </c>
    </row>
    <row r="2049" spans="1:1" ht="90" x14ac:dyDescent="0.3">
      <c r="A2049" s="28" t="s">
        <v>5777</v>
      </c>
    </row>
    <row r="2050" spans="1:1" ht="90" x14ac:dyDescent="0.3">
      <c r="A2050" s="28" t="s">
        <v>5779</v>
      </c>
    </row>
    <row r="2051" spans="1:1" ht="90" x14ac:dyDescent="0.3">
      <c r="A2051" s="28" t="s">
        <v>5790</v>
      </c>
    </row>
    <row r="2052" spans="1:1" ht="90" x14ac:dyDescent="0.3">
      <c r="A2052" s="28" t="s">
        <v>5791</v>
      </c>
    </row>
    <row r="2053" spans="1:1" ht="90" x14ac:dyDescent="0.3">
      <c r="A2053" s="28" t="s">
        <v>5792</v>
      </c>
    </row>
    <row r="2054" spans="1:1" ht="90" x14ac:dyDescent="0.3">
      <c r="A2054" s="28" t="s">
        <v>5793</v>
      </c>
    </row>
    <row r="2055" spans="1:1" ht="90" x14ac:dyDescent="0.3">
      <c r="A2055" s="28" t="s">
        <v>5796</v>
      </c>
    </row>
    <row r="2056" spans="1:1" ht="90" x14ac:dyDescent="0.3">
      <c r="A2056" s="28" t="s">
        <v>5797</v>
      </c>
    </row>
    <row r="2057" spans="1:1" ht="90" x14ac:dyDescent="0.3">
      <c r="A2057" s="28" t="s">
        <v>5800</v>
      </c>
    </row>
    <row r="2058" spans="1:1" ht="90" x14ac:dyDescent="0.3">
      <c r="A2058" s="28" t="s">
        <v>5801</v>
      </c>
    </row>
    <row r="2059" spans="1:1" ht="105" x14ac:dyDescent="0.3">
      <c r="A2059" s="28" t="s">
        <v>5803</v>
      </c>
    </row>
    <row r="2060" spans="1:1" ht="105" x14ac:dyDescent="0.3">
      <c r="A2060" s="28" t="s">
        <v>5811</v>
      </c>
    </row>
    <row r="2061" spans="1:1" ht="105" x14ac:dyDescent="0.3">
      <c r="A2061" s="28" t="s">
        <v>5812</v>
      </c>
    </row>
    <row r="2062" spans="1:1" ht="105" x14ac:dyDescent="0.3">
      <c r="A2062" s="28" t="s">
        <v>5813</v>
      </c>
    </row>
    <row r="2063" spans="1:1" ht="105" x14ac:dyDescent="0.3">
      <c r="A2063" s="28" t="s">
        <v>5814</v>
      </c>
    </row>
    <row r="2064" spans="1:1" ht="105" x14ac:dyDescent="0.3">
      <c r="A2064" s="28" t="s">
        <v>5815</v>
      </c>
    </row>
    <row r="2065" spans="1:1" ht="105" x14ac:dyDescent="0.3">
      <c r="A2065" s="28" t="s">
        <v>5816</v>
      </c>
    </row>
    <row r="2066" spans="1:1" ht="105" x14ac:dyDescent="0.3">
      <c r="A2066" s="28" t="s">
        <v>5818</v>
      </c>
    </row>
    <row r="2067" spans="1:1" ht="105" x14ac:dyDescent="0.3">
      <c r="A2067" s="28" t="s">
        <v>5819</v>
      </c>
    </row>
    <row r="2068" spans="1:1" ht="105" x14ac:dyDescent="0.3">
      <c r="A2068" s="28" t="s">
        <v>5821</v>
      </c>
    </row>
    <row r="2069" spans="1:1" ht="105" x14ac:dyDescent="0.3">
      <c r="A2069" s="28" t="s">
        <v>5827</v>
      </c>
    </row>
    <row r="2070" spans="1:1" ht="105" x14ac:dyDescent="0.3">
      <c r="A2070" s="28" t="s">
        <v>5828</v>
      </c>
    </row>
    <row r="2071" spans="1:1" ht="105" x14ac:dyDescent="0.3">
      <c r="A2071" s="28" t="s">
        <v>5829</v>
      </c>
    </row>
    <row r="2072" spans="1:1" ht="105" x14ac:dyDescent="0.3">
      <c r="A2072" s="28" t="s">
        <v>5830</v>
      </c>
    </row>
    <row r="2073" spans="1:1" ht="105" x14ac:dyDescent="0.3">
      <c r="A2073" s="28" t="s">
        <v>5831</v>
      </c>
    </row>
    <row r="2074" spans="1:1" ht="90" x14ac:dyDescent="0.3">
      <c r="A2074" s="28" t="s">
        <v>5832</v>
      </c>
    </row>
    <row r="2075" spans="1:1" ht="75" x14ac:dyDescent="0.3">
      <c r="A2075" s="28" t="s">
        <v>5835</v>
      </c>
    </row>
    <row r="2076" spans="1:1" ht="75" x14ac:dyDescent="0.3">
      <c r="A2076" s="28" t="s">
        <v>5836</v>
      </c>
    </row>
    <row r="2077" spans="1:1" ht="75" x14ac:dyDescent="0.3">
      <c r="A2077" s="28" t="s">
        <v>5838</v>
      </c>
    </row>
    <row r="2078" spans="1:1" ht="60" x14ac:dyDescent="0.3">
      <c r="A2078" s="28" t="s">
        <v>5844</v>
      </c>
    </row>
    <row r="2079" spans="1:1" ht="75" x14ac:dyDescent="0.3">
      <c r="A2079" s="28" t="s">
        <v>5845</v>
      </c>
    </row>
    <row r="2080" spans="1:1" ht="75" x14ac:dyDescent="0.3">
      <c r="A2080" s="28" t="s">
        <v>5849</v>
      </c>
    </row>
    <row r="2081" spans="1:1" ht="75" x14ac:dyDescent="0.3">
      <c r="A2081" s="28" t="s">
        <v>5850</v>
      </c>
    </row>
    <row r="2082" spans="1:1" ht="60" x14ac:dyDescent="0.3">
      <c r="A2082" s="28" t="s">
        <v>5854</v>
      </c>
    </row>
    <row r="2083" spans="1:1" ht="75" x14ac:dyDescent="0.3">
      <c r="A2083" s="28" t="s">
        <v>5855</v>
      </c>
    </row>
    <row r="2084" spans="1:1" ht="75" x14ac:dyDescent="0.3">
      <c r="A2084" s="28" t="s">
        <v>5857</v>
      </c>
    </row>
    <row r="2085" spans="1:1" ht="75" x14ac:dyDescent="0.3">
      <c r="A2085" s="28" t="s">
        <v>5858</v>
      </c>
    </row>
    <row r="2086" spans="1:1" ht="60" x14ac:dyDescent="0.3">
      <c r="A2086" s="28" t="s">
        <v>5859</v>
      </c>
    </row>
    <row r="2087" spans="1:1" ht="75" x14ac:dyDescent="0.3">
      <c r="A2087" s="28" t="s">
        <v>5860</v>
      </c>
    </row>
    <row r="2088" spans="1:1" ht="75" x14ac:dyDescent="0.3">
      <c r="A2088" s="28" t="s">
        <v>5861</v>
      </c>
    </row>
    <row r="2089" spans="1:1" ht="75" x14ac:dyDescent="0.3">
      <c r="A2089" s="28" t="s">
        <v>5862</v>
      </c>
    </row>
    <row r="2090" spans="1:1" ht="75" x14ac:dyDescent="0.3">
      <c r="A2090" s="28" t="s">
        <v>5864</v>
      </c>
    </row>
    <row r="2091" spans="1:1" ht="75" x14ac:dyDescent="0.3">
      <c r="A2091" s="28" t="s">
        <v>5866</v>
      </c>
    </row>
    <row r="2092" spans="1:1" ht="75" x14ac:dyDescent="0.3">
      <c r="A2092" s="28" t="s">
        <v>5868</v>
      </c>
    </row>
    <row r="2093" spans="1:1" ht="75" x14ac:dyDescent="0.3">
      <c r="A2093" s="28" t="s">
        <v>5869</v>
      </c>
    </row>
    <row r="2094" spans="1:1" ht="75" x14ac:dyDescent="0.3">
      <c r="A2094" s="28" t="s">
        <v>5871</v>
      </c>
    </row>
    <row r="2095" spans="1:1" ht="45" x14ac:dyDescent="0.3">
      <c r="A2095" s="19" t="s">
        <v>5874</v>
      </c>
    </row>
    <row r="2096" spans="1:1" ht="30" x14ac:dyDescent="0.3">
      <c r="A2096" s="19" t="s">
        <v>5877</v>
      </c>
    </row>
    <row r="2097" spans="1:1" ht="45" x14ac:dyDescent="0.3">
      <c r="A2097" s="19" t="s">
        <v>5878</v>
      </c>
    </row>
    <row r="2098" spans="1:1" ht="45" x14ac:dyDescent="0.3">
      <c r="A2098" s="19" t="s">
        <v>5880</v>
      </c>
    </row>
    <row r="2099" spans="1:1" ht="45" x14ac:dyDescent="0.25">
      <c r="A2099" s="49" t="s">
        <v>5885</v>
      </c>
    </row>
    <row r="2100" spans="1:1" ht="45" x14ac:dyDescent="0.3">
      <c r="A2100" s="19" t="s">
        <v>5886</v>
      </c>
    </row>
    <row r="2101" spans="1:1" ht="105" x14ac:dyDescent="0.3">
      <c r="A2101" s="28" t="s">
        <v>5888</v>
      </c>
    </row>
    <row r="2102" spans="1:1" ht="105" x14ac:dyDescent="0.3">
      <c r="A2102" s="28" t="s">
        <v>5895</v>
      </c>
    </row>
    <row r="2103" spans="1:1" ht="105" x14ac:dyDescent="0.3">
      <c r="A2103" s="28" t="s">
        <v>5897</v>
      </c>
    </row>
    <row r="2104" spans="1:1" ht="105" x14ac:dyDescent="0.3">
      <c r="A2104" s="28" t="s">
        <v>5898</v>
      </c>
    </row>
    <row r="2105" spans="1:1" ht="105" x14ac:dyDescent="0.3">
      <c r="A2105" s="28" t="s">
        <v>5905</v>
      </c>
    </row>
    <row r="2106" spans="1:1" ht="105" x14ac:dyDescent="0.3">
      <c r="A2106" s="28" t="s">
        <v>5906</v>
      </c>
    </row>
    <row r="2107" spans="1:1" ht="105" x14ac:dyDescent="0.3">
      <c r="A2107" s="28" t="s">
        <v>5907</v>
      </c>
    </row>
    <row r="2108" spans="1:1" ht="105" x14ac:dyDescent="0.3">
      <c r="A2108" s="28" t="s">
        <v>5914</v>
      </c>
    </row>
    <row r="2109" spans="1:1" ht="105" x14ac:dyDescent="0.3">
      <c r="A2109" s="28" t="s">
        <v>5916</v>
      </c>
    </row>
    <row r="2110" spans="1:1" ht="105" x14ac:dyDescent="0.3">
      <c r="A2110" s="28" t="s">
        <v>5917</v>
      </c>
    </row>
    <row r="2111" spans="1:1" ht="105" x14ac:dyDescent="0.3">
      <c r="A2111" s="28" t="s">
        <v>5925</v>
      </c>
    </row>
    <row r="2112" spans="1:1" ht="105" x14ac:dyDescent="0.3">
      <c r="A2112" s="28" t="s">
        <v>5927</v>
      </c>
    </row>
    <row r="2113" spans="1:1" ht="105" x14ac:dyDescent="0.3">
      <c r="A2113" s="28" t="s">
        <v>5928</v>
      </c>
    </row>
    <row r="2114" spans="1:1" ht="105" x14ac:dyDescent="0.3">
      <c r="A2114" s="28" t="s">
        <v>5932</v>
      </c>
    </row>
    <row r="2115" spans="1:1" ht="105" x14ac:dyDescent="0.3">
      <c r="A2115" s="28" t="s">
        <v>5934</v>
      </c>
    </row>
    <row r="2116" spans="1:1" ht="105" x14ac:dyDescent="0.3">
      <c r="A2116" s="28" t="s">
        <v>5935</v>
      </c>
    </row>
    <row r="2117" spans="1:1" ht="105" x14ac:dyDescent="0.3">
      <c r="A2117" s="28" t="s">
        <v>5940</v>
      </c>
    </row>
    <row r="2118" spans="1:1" ht="105" x14ac:dyDescent="0.3">
      <c r="A2118" s="28" t="s">
        <v>5941</v>
      </c>
    </row>
    <row r="2119" spans="1:1" ht="120" x14ac:dyDescent="0.3">
      <c r="A2119" s="28" t="s">
        <v>5943</v>
      </c>
    </row>
    <row r="2120" spans="1:1" ht="120" x14ac:dyDescent="0.3">
      <c r="A2120" s="28" t="s">
        <v>5949</v>
      </c>
    </row>
    <row r="2121" spans="1:1" ht="120" x14ac:dyDescent="0.3">
      <c r="A2121" s="28" t="s">
        <v>5950</v>
      </c>
    </row>
    <row r="2122" spans="1:1" ht="120" x14ac:dyDescent="0.3">
      <c r="A2122" s="28" t="s">
        <v>5951</v>
      </c>
    </row>
    <row r="2123" spans="1:1" ht="120" x14ac:dyDescent="0.3">
      <c r="A2123" s="28" t="s">
        <v>5952</v>
      </c>
    </row>
    <row r="2124" spans="1:1" ht="120" x14ac:dyDescent="0.3">
      <c r="A2124" s="28" t="s">
        <v>5953</v>
      </c>
    </row>
    <row r="2125" spans="1:1" ht="120" x14ac:dyDescent="0.3">
      <c r="A2125" s="28" t="s">
        <v>5954</v>
      </c>
    </row>
    <row r="2126" spans="1:1" ht="120" x14ac:dyDescent="0.3">
      <c r="A2126" s="28" t="s">
        <v>5955</v>
      </c>
    </row>
    <row r="2127" spans="1:1" ht="120" x14ac:dyDescent="0.3">
      <c r="A2127" s="28" t="s">
        <v>5956</v>
      </c>
    </row>
    <row r="2128" spans="1:1" ht="120" x14ac:dyDescent="0.3">
      <c r="A2128" s="28" t="s">
        <v>5957</v>
      </c>
    </row>
    <row r="2129" spans="1:1" ht="120" x14ac:dyDescent="0.3">
      <c r="A2129" s="28" t="s">
        <v>5958</v>
      </c>
    </row>
    <row r="2130" spans="1:1" ht="120" x14ac:dyDescent="0.3">
      <c r="A2130" s="28" t="s">
        <v>5959</v>
      </c>
    </row>
    <row r="2131" spans="1:1" ht="120" x14ac:dyDescent="0.3">
      <c r="A2131" s="28" t="s">
        <v>5960</v>
      </c>
    </row>
    <row r="2132" spans="1:1" ht="120" x14ac:dyDescent="0.3">
      <c r="A2132" s="28" t="s">
        <v>5961</v>
      </c>
    </row>
    <row r="2133" spans="1:1" ht="120" x14ac:dyDescent="0.3">
      <c r="A2133" s="28" t="s">
        <v>5962</v>
      </c>
    </row>
    <row r="2134" spans="1:1" ht="120" x14ac:dyDescent="0.3">
      <c r="A2134" s="28" t="s">
        <v>5963</v>
      </c>
    </row>
    <row r="2135" spans="1:1" ht="120" x14ac:dyDescent="0.3">
      <c r="A2135" s="28" t="s">
        <v>5964</v>
      </c>
    </row>
    <row r="2136" spans="1:1" ht="120" x14ac:dyDescent="0.3">
      <c r="A2136" s="28" t="s">
        <v>5965</v>
      </c>
    </row>
    <row r="2137" spans="1:1" ht="105" x14ac:dyDescent="0.3">
      <c r="A2137" s="28" t="s">
        <v>5968</v>
      </c>
    </row>
    <row r="2138" spans="1:1" ht="105" x14ac:dyDescent="0.3">
      <c r="A2138" s="28" t="s">
        <v>5973</v>
      </c>
    </row>
    <row r="2139" spans="1:1" ht="105" x14ac:dyDescent="0.3">
      <c r="A2139" s="28" t="s">
        <v>5974</v>
      </c>
    </row>
    <row r="2140" spans="1:1" ht="105" x14ac:dyDescent="0.3">
      <c r="A2140" s="28" t="s">
        <v>5975</v>
      </c>
    </row>
    <row r="2141" spans="1:1" ht="105" x14ac:dyDescent="0.3">
      <c r="A2141" s="28" t="s">
        <v>5976</v>
      </c>
    </row>
    <row r="2142" spans="1:1" ht="105" x14ac:dyDescent="0.3">
      <c r="A2142" s="28" t="s">
        <v>5977</v>
      </c>
    </row>
    <row r="2143" spans="1:1" ht="105" x14ac:dyDescent="0.3">
      <c r="A2143" s="28" t="s">
        <v>5978</v>
      </c>
    </row>
    <row r="2144" spans="1:1" ht="105" x14ac:dyDescent="0.3">
      <c r="A2144" s="28" t="s">
        <v>5979</v>
      </c>
    </row>
    <row r="2145" spans="1:1" ht="105" x14ac:dyDescent="0.3">
      <c r="A2145" s="28" t="s">
        <v>5980</v>
      </c>
    </row>
    <row r="2146" spans="1:1" ht="105" x14ac:dyDescent="0.3">
      <c r="A2146" s="28" t="s">
        <v>5981</v>
      </c>
    </row>
    <row r="2147" spans="1:1" ht="105" x14ac:dyDescent="0.3">
      <c r="A2147" s="28" t="s">
        <v>5982</v>
      </c>
    </row>
    <row r="2148" spans="1:1" ht="105" x14ac:dyDescent="0.3">
      <c r="A2148" s="28" t="s">
        <v>5983</v>
      </c>
    </row>
    <row r="2149" spans="1:1" ht="105" x14ac:dyDescent="0.3">
      <c r="A2149" s="28" t="s">
        <v>5984</v>
      </c>
    </row>
    <row r="2150" spans="1:1" ht="105" x14ac:dyDescent="0.3">
      <c r="A2150" s="28" t="s">
        <v>5986</v>
      </c>
    </row>
    <row r="2151" spans="1:1" ht="105" x14ac:dyDescent="0.3">
      <c r="A2151" s="28" t="s">
        <v>5987</v>
      </c>
    </row>
    <row r="2152" spans="1:1" ht="105" x14ac:dyDescent="0.3">
      <c r="A2152" s="28" t="s">
        <v>5988</v>
      </c>
    </row>
    <row r="2153" spans="1:1" ht="105" x14ac:dyDescent="0.3">
      <c r="A2153" s="28" t="s">
        <v>5989</v>
      </c>
    </row>
    <row r="2154" spans="1:1" ht="105" x14ac:dyDescent="0.3">
      <c r="A2154" s="28" t="s">
        <v>5990</v>
      </c>
    </row>
    <row r="2155" spans="1:1" ht="90" x14ac:dyDescent="0.3">
      <c r="A2155" s="56" t="s">
        <v>3126</v>
      </c>
    </row>
    <row r="2156" spans="1:1" ht="90" x14ac:dyDescent="0.3">
      <c r="A2156" s="56" t="s">
        <v>5997</v>
      </c>
    </row>
    <row r="2157" spans="1:1" ht="90" x14ac:dyDescent="0.3">
      <c r="A2157" s="56" t="s">
        <v>3136</v>
      </c>
    </row>
    <row r="2158" spans="1:1" ht="90" x14ac:dyDescent="0.3">
      <c r="A2158" s="56" t="s">
        <v>3137</v>
      </c>
    </row>
    <row r="2159" spans="1:1" ht="90" x14ac:dyDescent="0.3">
      <c r="A2159" s="56" t="s">
        <v>5998</v>
      </c>
    </row>
    <row r="2160" spans="1:1" ht="90" x14ac:dyDescent="0.3">
      <c r="A2160" s="56" t="s">
        <v>3138</v>
      </c>
    </row>
    <row r="2161" spans="1:1" ht="90" x14ac:dyDescent="0.3">
      <c r="A2161" s="56" t="s">
        <v>3139</v>
      </c>
    </row>
    <row r="2162" spans="1:1" ht="105" x14ac:dyDescent="0.3">
      <c r="A2162" s="28" t="s">
        <v>5999</v>
      </c>
    </row>
    <row r="2163" spans="1:1" ht="105" x14ac:dyDescent="0.3">
      <c r="A2163" s="28" t="s">
        <v>6001</v>
      </c>
    </row>
    <row r="2164" spans="1:1" ht="90" x14ac:dyDescent="0.3">
      <c r="A2164" s="28" t="s">
        <v>6002</v>
      </c>
    </row>
    <row r="2165" spans="1:1" ht="90" x14ac:dyDescent="0.3">
      <c r="A2165" s="28" t="s">
        <v>6003</v>
      </c>
    </row>
    <row r="2166" spans="1:1" ht="90" x14ac:dyDescent="0.3">
      <c r="A2166" s="28" t="s">
        <v>6004</v>
      </c>
    </row>
    <row r="2167" spans="1:1" ht="90" x14ac:dyDescent="0.3">
      <c r="A2167" s="28" t="s">
        <v>6005</v>
      </c>
    </row>
    <row r="2168" spans="1:1" ht="90" x14ac:dyDescent="0.3">
      <c r="A2168" s="28" t="s">
        <v>6006</v>
      </c>
    </row>
    <row r="2169" spans="1:1" ht="90" x14ac:dyDescent="0.3">
      <c r="A2169" s="28" t="s">
        <v>6007</v>
      </c>
    </row>
    <row r="2170" spans="1:1" ht="90" x14ac:dyDescent="0.3">
      <c r="A2170" s="28" t="s">
        <v>6008</v>
      </c>
    </row>
    <row r="2171" spans="1:1" ht="105" x14ac:dyDescent="0.3">
      <c r="A2171" s="28" t="s">
        <v>6011</v>
      </c>
    </row>
    <row r="2172" spans="1:1" ht="120" x14ac:dyDescent="0.3">
      <c r="A2172" s="28" t="s">
        <v>6017</v>
      </c>
    </row>
    <row r="2173" spans="1:1" ht="105" x14ac:dyDescent="0.3">
      <c r="A2173" s="28" t="s">
        <v>6018</v>
      </c>
    </row>
    <row r="2174" spans="1:1" ht="120" x14ac:dyDescent="0.3">
      <c r="A2174" s="28" t="s">
        <v>6019</v>
      </c>
    </row>
    <row r="2175" spans="1:1" ht="105" x14ac:dyDescent="0.3">
      <c r="A2175" s="28" t="s">
        <v>6020</v>
      </c>
    </row>
    <row r="2176" spans="1:1" ht="90" x14ac:dyDescent="0.3">
      <c r="A2176" s="28" t="s">
        <v>6021</v>
      </c>
    </row>
    <row r="2177" spans="1:1" ht="90" x14ac:dyDescent="0.3">
      <c r="A2177" s="28" t="s">
        <v>6023</v>
      </c>
    </row>
    <row r="2178" spans="1:1" ht="75" x14ac:dyDescent="0.3">
      <c r="A2178" s="28" t="s">
        <v>6024</v>
      </c>
    </row>
    <row r="2179" spans="1:1" ht="75" x14ac:dyDescent="0.3">
      <c r="A2179" s="28" t="s">
        <v>6025</v>
      </c>
    </row>
    <row r="2180" spans="1:1" ht="90" x14ac:dyDescent="0.3">
      <c r="A2180" s="28" t="s">
        <v>6026</v>
      </c>
    </row>
    <row r="2181" spans="1:1" ht="75" x14ac:dyDescent="0.3">
      <c r="A2181" s="28" t="s">
        <v>6027</v>
      </c>
    </row>
    <row r="2182" spans="1:1" ht="75" x14ac:dyDescent="0.3">
      <c r="A2182" s="28" t="s">
        <v>6028</v>
      </c>
    </row>
    <row r="2183" spans="1:1" ht="90" x14ac:dyDescent="0.3">
      <c r="A2183" s="28" t="s">
        <v>6029</v>
      </c>
    </row>
    <row r="2184" spans="1:1" ht="75" x14ac:dyDescent="0.3">
      <c r="A2184" s="28" t="s">
        <v>6030</v>
      </c>
    </row>
    <row r="2185" spans="1:1" ht="105" x14ac:dyDescent="0.3">
      <c r="A2185" s="28" t="s">
        <v>6033</v>
      </c>
    </row>
    <row r="2186" spans="1:1" ht="105" x14ac:dyDescent="0.3">
      <c r="A2186" s="28" t="s">
        <v>6035</v>
      </c>
    </row>
    <row r="2187" spans="1:1" ht="105" x14ac:dyDescent="0.3">
      <c r="A2187" s="28" t="s">
        <v>6036</v>
      </c>
    </row>
    <row r="2188" spans="1:1" ht="105" x14ac:dyDescent="0.3">
      <c r="A2188" s="28" t="s">
        <v>6037</v>
      </c>
    </row>
    <row r="2189" spans="1:1" ht="75" x14ac:dyDescent="0.3">
      <c r="A2189" s="28" t="s">
        <v>6038</v>
      </c>
    </row>
    <row r="2190" spans="1:1" ht="75" x14ac:dyDescent="0.3">
      <c r="A2190" s="28" t="s">
        <v>6040</v>
      </c>
    </row>
    <row r="2191" spans="1:1" ht="75" x14ac:dyDescent="0.3">
      <c r="A2191" s="28" t="s">
        <v>6041</v>
      </c>
    </row>
    <row r="2192" spans="1:1" ht="75" x14ac:dyDescent="0.3">
      <c r="A2192" s="28" t="s">
        <v>6042</v>
      </c>
    </row>
    <row r="2193" spans="1:1" ht="75" x14ac:dyDescent="0.3">
      <c r="A2193" s="28" t="s">
        <v>6043</v>
      </c>
    </row>
    <row r="2194" spans="1:1" ht="75" x14ac:dyDescent="0.3">
      <c r="A2194" s="28" t="s">
        <v>6044</v>
      </c>
    </row>
    <row r="2195" spans="1:1" ht="105" x14ac:dyDescent="0.3">
      <c r="A2195" s="28" t="s">
        <v>6046</v>
      </c>
    </row>
    <row r="2196" spans="1:1" ht="90" x14ac:dyDescent="0.3">
      <c r="A2196" s="28" t="s">
        <v>6054</v>
      </c>
    </row>
    <row r="2197" spans="1:1" ht="90" x14ac:dyDescent="0.3">
      <c r="A2197" s="28" t="s">
        <v>6055</v>
      </c>
    </row>
    <row r="2198" spans="1:1" ht="90" x14ac:dyDescent="0.3">
      <c r="A2198" s="28" t="s">
        <v>6056</v>
      </c>
    </row>
    <row r="2199" spans="1:1" ht="90" x14ac:dyDescent="0.3">
      <c r="A2199" s="28" t="s">
        <v>6057</v>
      </c>
    </row>
    <row r="2200" spans="1:1" ht="90" x14ac:dyDescent="0.3">
      <c r="A2200" s="28" t="s">
        <v>6058</v>
      </c>
    </row>
    <row r="2201" spans="1:1" ht="75" x14ac:dyDescent="0.25">
      <c r="A2201" s="49" t="s">
        <v>6059</v>
      </c>
    </row>
    <row r="2202" spans="1:1" ht="75" x14ac:dyDescent="0.3">
      <c r="A2202" s="19" t="s">
        <v>6064</v>
      </c>
    </row>
    <row r="2203" spans="1:1" ht="105" x14ac:dyDescent="0.3">
      <c r="A2203" s="28" t="s">
        <v>6068</v>
      </c>
    </row>
    <row r="2204" spans="1:1" ht="135" x14ac:dyDescent="0.3">
      <c r="A2204" s="28" t="s">
        <v>6073</v>
      </c>
    </row>
    <row r="2205" spans="1:1" ht="135" x14ac:dyDescent="0.3">
      <c r="A2205" s="28" t="s">
        <v>6075</v>
      </c>
    </row>
    <row r="2206" spans="1:1" ht="135" x14ac:dyDescent="0.3">
      <c r="A2206" s="28" t="s">
        <v>6076</v>
      </c>
    </row>
    <row r="2207" spans="1:1" ht="135" x14ac:dyDescent="0.3">
      <c r="A2207" s="28" t="s">
        <v>6077</v>
      </c>
    </row>
    <row r="2208" spans="1:1" ht="135" x14ac:dyDescent="0.3">
      <c r="A2208" s="28" t="s">
        <v>6078</v>
      </c>
    </row>
    <row r="2209" spans="1:1" ht="135" x14ac:dyDescent="0.3">
      <c r="A2209" s="28" t="s">
        <v>6079</v>
      </c>
    </row>
    <row r="2210" spans="1:1" ht="135" x14ac:dyDescent="0.3">
      <c r="A2210" s="28" t="s">
        <v>6080</v>
      </c>
    </row>
    <row r="2211" spans="1:1" ht="135" x14ac:dyDescent="0.3">
      <c r="A2211" s="28" t="s">
        <v>6081</v>
      </c>
    </row>
    <row r="2212" spans="1:1" ht="135" x14ac:dyDescent="0.3">
      <c r="A2212" s="28" t="s">
        <v>6082</v>
      </c>
    </row>
    <row r="2213" spans="1:1" ht="135" x14ac:dyDescent="0.3">
      <c r="A2213" s="28" t="s">
        <v>6085</v>
      </c>
    </row>
    <row r="2214" spans="1:1" ht="135" x14ac:dyDescent="0.3">
      <c r="A2214" s="28" t="s">
        <v>6086</v>
      </c>
    </row>
    <row r="2215" spans="1:1" x14ac:dyDescent="0.3">
      <c r="A2215" s="64" t="s">
        <v>6089</v>
      </c>
    </row>
    <row r="2216" spans="1:1" x14ac:dyDescent="0.3">
      <c r="A2216" s="65"/>
    </row>
    <row r="2217" spans="1:1" ht="165" x14ac:dyDescent="0.3">
      <c r="A2217" s="28" t="s">
        <v>6091</v>
      </c>
    </row>
    <row r="2218" spans="1:1" ht="165" x14ac:dyDescent="0.3">
      <c r="A2218" s="28" t="s">
        <v>6095</v>
      </c>
    </row>
    <row r="2219" spans="1:1" ht="165" x14ac:dyDescent="0.3">
      <c r="A2219" s="28" t="s">
        <v>6097</v>
      </c>
    </row>
    <row r="2220" spans="1:1" ht="165" x14ac:dyDescent="0.3">
      <c r="A2220" s="28" t="s">
        <v>6098</v>
      </c>
    </row>
    <row r="2221" spans="1:1" ht="165" x14ac:dyDescent="0.3">
      <c r="A2221" s="28" t="s">
        <v>6099</v>
      </c>
    </row>
    <row r="2222" spans="1:1" ht="165" x14ac:dyDescent="0.3">
      <c r="A2222" s="28" t="s">
        <v>6100</v>
      </c>
    </row>
    <row r="2223" spans="1:1" ht="165" x14ac:dyDescent="0.3">
      <c r="A2223" s="28" t="s">
        <v>6101</v>
      </c>
    </row>
    <row r="2224" spans="1:1" ht="165" x14ac:dyDescent="0.3">
      <c r="A2224" s="28" t="s">
        <v>6102</v>
      </c>
    </row>
    <row r="2225" spans="1:1" ht="165" x14ac:dyDescent="0.3">
      <c r="A2225" s="28" t="s">
        <v>6103</v>
      </c>
    </row>
    <row r="2226" spans="1:1" ht="165" x14ac:dyDescent="0.3">
      <c r="A2226" s="28" t="s">
        <v>6105</v>
      </c>
    </row>
    <row r="2227" spans="1:1" ht="165" x14ac:dyDescent="0.3">
      <c r="A2227" s="28" t="s">
        <v>6106</v>
      </c>
    </row>
    <row r="2228" spans="1:1" ht="165" x14ac:dyDescent="0.3">
      <c r="A2228" s="28" t="s">
        <v>6107</v>
      </c>
    </row>
    <row r="2229" spans="1:1" ht="75" x14ac:dyDescent="0.3">
      <c r="A2229" s="28" t="s">
        <v>6108</v>
      </c>
    </row>
    <row r="2230" spans="1:1" ht="75" x14ac:dyDescent="0.3">
      <c r="A2230" s="28" t="s">
        <v>6115</v>
      </c>
    </row>
    <row r="2231" spans="1:1" ht="75" x14ac:dyDescent="0.3">
      <c r="A2231" s="28" t="s">
        <v>6116</v>
      </c>
    </row>
    <row r="2232" spans="1:1" ht="75" x14ac:dyDescent="0.3">
      <c r="A2232" s="28" t="s">
        <v>6117</v>
      </c>
    </row>
    <row r="2233" spans="1:1" ht="75" x14ac:dyDescent="0.3">
      <c r="A2233" s="28" t="s">
        <v>6118</v>
      </c>
    </row>
    <row r="2234" spans="1:1" ht="75" x14ac:dyDescent="0.3">
      <c r="A2234" s="28" t="s">
        <v>6119</v>
      </c>
    </row>
    <row r="2235" spans="1:1" ht="75" x14ac:dyDescent="0.3">
      <c r="A2235" s="28" t="s">
        <v>6120</v>
      </c>
    </row>
    <row r="2236" spans="1:1" ht="75" x14ac:dyDescent="0.3">
      <c r="A2236" s="28" t="s">
        <v>6121</v>
      </c>
    </row>
    <row r="2237" spans="1:1" ht="75" x14ac:dyDescent="0.3">
      <c r="A2237" s="28" t="s">
        <v>6122</v>
      </c>
    </row>
    <row r="2238" spans="1:1" ht="75" x14ac:dyDescent="0.3">
      <c r="A2238" s="28" t="s">
        <v>6123</v>
      </c>
    </row>
    <row r="2239" spans="1:1" ht="75" x14ac:dyDescent="0.3">
      <c r="A2239" s="28" t="s">
        <v>6124</v>
      </c>
    </row>
    <row r="2240" spans="1:1" ht="75" x14ac:dyDescent="0.3">
      <c r="A2240" s="28" t="s">
        <v>6126</v>
      </c>
    </row>
    <row r="2241" spans="1:1" ht="75" x14ac:dyDescent="0.3">
      <c r="A2241" s="28" t="s">
        <v>6128</v>
      </c>
    </row>
    <row r="2242" spans="1:1" ht="75" x14ac:dyDescent="0.3">
      <c r="A2242" s="28" t="s">
        <v>6129</v>
      </c>
    </row>
    <row r="2243" spans="1:1" ht="75" x14ac:dyDescent="0.3">
      <c r="A2243" s="28" t="s">
        <v>6130</v>
      </c>
    </row>
    <row r="2244" spans="1:1" ht="75" x14ac:dyDescent="0.3">
      <c r="A2244" s="28" t="s">
        <v>6131</v>
      </c>
    </row>
    <row r="2245" spans="1:1" ht="75" x14ac:dyDescent="0.3">
      <c r="A2245" s="28" t="s">
        <v>6132</v>
      </c>
    </row>
    <row r="2246" spans="1:1" ht="75" x14ac:dyDescent="0.3">
      <c r="A2246" s="28" t="s">
        <v>6135</v>
      </c>
    </row>
    <row r="2247" spans="1:1" ht="75" x14ac:dyDescent="0.3">
      <c r="A2247" s="28" t="s">
        <v>6136</v>
      </c>
    </row>
    <row r="2248" spans="1:1" ht="75" x14ac:dyDescent="0.3">
      <c r="A2248" s="28" t="s">
        <v>6137</v>
      </c>
    </row>
    <row r="2249" spans="1:1" ht="75" x14ac:dyDescent="0.3">
      <c r="A2249" s="28" t="s">
        <v>6138</v>
      </c>
    </row>
    <row r="2250" spans="1:1" ht="75" x14ac:dyDescent="0.3">
      <c r="A2250" s="28" t="s">
        <v>6139</v>
      </c>
    </row>
    <row r="2251" spans="1:1" ht="75" x14ac:dyDescent="0.3">
      <c r="A2251" s="28" t="s">
        <v>6140</v>
      </c>
    </row>
    <row r="2252" spans="1:1" ht="75" x14ac:dyDescent="0.3">
      <c r="A2252" s="28" t="s">
        <v>6141</v>
      </c>
    </row>
    <row r="2253" spans="1:1" ht="60" x14ac:dyDescent="0.25">
      <c r="A2253" s="49" t="s">
        <v>6143</v>
      </c>
    </row>
    <row r="2254" spans="1:1" ht="60" x14ac:dyDescent="0.3">
      <c r="A2254" s="19" t="s">
        <v>6149</v>
      </c>
    </row>
    <row r="2255" spans="1:1" ht="45" x14ac:dyDescent="0.25">
      <c r="A2255" s="35" t="s">
        <v>6153</v>
      </c>
    </row>
    <row r="2256" spans="1:1" ht="15.5" x14ac:dyDescent="0.35">
      <c r="A2256" s="52"/>
    </row>
    <row r="2257" spans="1:1" ht="15.5" x14ac:dyDescent="0.35">
      <c r="A2257" s="58"/>
    </row>
    <row r="2258" spans="1:1" x14ac:dyDescent="0.3">
      <c r="A2258" s="63" t="s">
        <v>6157</v>
      </c>
    </row>
    <row r="2259" spans="1:1" x14ac:dyDescent="0.3">
      <c r="A2259" s="63"/>
    </row>
    <row r="2260" spans="1:1" ht="15.5" x14ac:dyDescent="0.35">
      <c r="A2260" s="58"/>
    </row>
    <row r="2261" spans="1:1" ht="15.5" x14ac:dyDescent="0.35">
      <c r="A2261" s="39"/>
    </row>
    <row r="2262" spans="1:1" ht="15.5" x14ac:dyDescent="0.35">
      <c r="A2262" s="57"/>
    </row>
    <row r="2263" spans="1:1" ht="45" x14ac:dyDescent="0.3">
      <c r="A2263" s="41" t="s">
        <v>6164</v>
      </c>
    </row>
    <row r="2264" spans="1:1" ht="60" x14ac:dyDescent="0.3">
      <c r="A2264" s="28" t="s">
        <v>6165</v>
      </c>
    </row>
    <row r="2265" spans="1:1" ht="60" x14ac:dyDescent="0.3">
      <c r="A2265" s="28" t="s">
        <v>6170</v>
      </c>
    </row>
    <row r="2266" spans="1:1" ht="60" x14ac:dyDescent="0.3">
      <c r="A2266" s="28" t="s">
        <v>6171</v>
      </c>
    </row>
    <row r="2267" spans="1:1" ht="60" x14ac:dyDescent="0.3">
      <c r="A2267" s="28" t="s">
        <v>6172</v>
      </c>
    </row>
    <row r="2268" spans="1:1" ht="60" x14ac:dyDescent="0.3">
      <c r="A2268" s="28" t="s">
        <v>6173</v>
      </c>
    </row>
    <row r="2269" spans="1:1" ht="60" x14ac:dyDescent="0.3">
      <c r="A2269" s="28" t="s">
        <v>6174</v>
      </c>
    </row>
    <row r="2270" spans="1:1" ht="60" x14ac:dyDescent="0.3">
      <c r="A2270" s="28" t="s">
        <v>6175</v>
      </c>
    </row>
    <row r="2271" spans="1:1" ht="60" x14ac:dyDescent="0.3">
      <c r="A2271" s="28" t="s">
        <v>6176</v>
      </c>
    </row>
    <row r="2272" spans="1:1" ht="60" x14ac:dyDescent="0.3">
      <c r="A2272" s="28" t="s">
        <v>6177</v>
      </c>
    </row>
    <row r="2273" spans="1:1" ht="60" x14ac:dyDescent="0.3">
      <c r="A2273" s="28" t="s">
        <v>6178</v>
      </c>
    </row>
    <row r="2274" spans="1:1" ht="60" x14ac:dyDescent="0.3">
      <c r="A2274" s="28" t="s">
        <v>6179</v>
      </c>
    </row>
    <row r="2275" spans="1:1" ht="60" x14ac:dyDescent="0.3">
      <c r="A2275" s="28" t="s">
        <v>6180</v>
      </c>
    </row>
    <row r="2276" spans="1:1" ht="60" x14ac:dyDescent="0.3">
      <c r="A2276" s="28" t="s">
        <v>6181</v>
      </c>
    </row>
    <row r="2277" spans="1:1" x14ac:dyDescent="0.3">
      <c r="A2277" s="64" t="s">
        <v>6182</v>
      </c>
    </row>
    <row r="2278" spans="1:1" x14ac:dyDescent="0.3">
      <c r="A2278" s="65"/>
    </row>
    <row r="2279" spans="1:1" x14ac:dyDescent="0.3">
      <c r="A2279" s="61" t="s">
        <v>6185</v>
      </c>
    </row>
    <row r="2280" spans="1:1" x14ac:dyDescent="0.3">
      <c r="A2280" s="62"/>
    </row>
    <row r="2281" spans="1:1" ht="60" x14ac:dyDescent="0.3">
      <c r="A2281" s="28" t="s">
        <v>6189</v>
      </c>
    </row>
    <row r="2282" spans="1:1" ht="60" x14ac:dyDescent="0.3">
      <c r="A2282" s="28" t="s">
        <v>6191</v>
      </c>
    </row>
    <row r="2283" spans="1:1" ht="60" x14ac:dyDescent="0.3">
      <c r="A2283" s="28" t="s">
        <v>6192</v>
      </c>
    </row>
    <row r="2284" spans="1:1" ht="60" x14ac:dyDescent="0.3">
      <c r="A2284" s="28" t="s">
        <v>6193</v>
      </c>
    </row>
    <row r="2285" spans="1:1" ht="60" x14ac:dyDescent="0.3">
      <c r="A2285" s="28" t="s">
        <v>6194</v>
      </c>
    </row>
    <row r="2286" spans="1:1" ht="60" x14ac:dyDescent="0.3">
      <c r="A2286" s="28" t="s">
        <v>6195</v>
      </c>
    </row>
    <row r="2287" spans="1:1" ht="60" x14ac:dyDescent="0.3">
      <c r="A2287" s="28" t="s">
        <v>6196</v>
      </c>
    </row>
    <row r="2288" spans="1:1" ht="60" x14ac:dyDescent="0.3">
      <c r="A2288" s="28" t="s">
        <v>6197</v>
      </c>
    </row>
    <row r="2289" spans="1:1" ht="60" x14ac:dyDescent="0.3">
      <c r="A2289" s="28" t="s">
        <v>6198</v>
      </c>
    </row>
    <row r="2290" spans="1:1" ht="60" x14ac:dyDescent="0.3">
      <c r="A2290" s="28" t="s">
        <v>6199</v>
      </c>
    </row>
    <row r="2291" spans="1:1" ht="60" x14ac:dyDescent="0.3">
      <c r="A2291" s="28" t="s">
        <v>6200</v>
      </c>
    </row>
    <row r="2292" spans="1:1" ht="60" x14ac:dyDescent="0.3">
      <c r="A2292" s="28" t="s">
        <v>6201</v>
      </c>
    </row>
    <row r="2293" spans="1:1" ht="60" x14ac:dyDescent="0.3">
      <c r="A2293" s="28" t="s">
        <v>6202</v>
      </c>
    </row>
    <row r="2294" spans="1:1" ht="75" x14ac:dyDescent="0.3">
      <c r="A2294" s="28" t="s">
        <v>6203</v>
      </c>
    </row>
    <row r="2295" spans="1:1" ht="75" x14ac:dyDescent="0.3">
      <c r="A2295" s="28" t="s">
        <v>6212</v>
      </c>
    </row>
    <row r="2296" spans="1:1" ht="75" x14ac:dyDescent="0.3">
      <c r="A2296" s="28" t="s">
        <v>6213</v>
      </c>
    </row>
    <row r="2297" spans="1:1" ht="75" x14ac:dyDescent="0.3">
      <c r="A2297" s="28" t="s">
        <v>6214</v>
      </c>
    </row>
    <row r="2298" spans="1:1" ht="75" x14ac:dyDescent="0.3">
      <c r="A2298" s="28" t="s">
        <v>6215</v>
      </c>
    </row>
    <row r="2299" spans="1:1" ht="75" x14ac:dyDescent="0.3">
      <c r="A2299" s="28" t="s">
        <v>6216</v>
      </c>
    </row>
    <row r="2300" spans="1:1" ht="75" x14ac:dyDescent="0.3">
      <c r="A2300" s="28" t="s">
        <v>6217</v>
      </c>
    </row>
    <row r="2301" spans="1:1" ht="75" x14ac:dyDescent="0.3">
      <c r="A2301" s="28" t="s">
        <v>6218</v>
      </c>
    </row>
    <row r="2302" spans="1:1" ht="75" x14ac:dyDescent="0.3">
      <c r="A2302" s="28" t="s">
        <v>6219</v>
      </c>
    </row>
    <row r="2303" spans="1:1" ht="75" x14ac:dyDescent="0.3">
      <c r="A2303" s="28" t="s">
        <v>6220</v>
      </c>
    </row>
    <row r="2304" spans="1:1" ht="75" x14ac:dyDescent="0.3">
      <c r="A2304" s="28" t="s">
        <v>6221</v>
      </c>
    </row>
    <row r="2305" spans="1:1" ht="75" x14ac:dyDescent="0.3">
      <c r="A2305" s="28" t="s">
        <v>6223</v>
      </c>
    </row>
    <row r="2306" spans="1:1" ht="75" x14ac:dyDescent="0.3">
      <c r="A2306" s="28" t="s">
        <v>6224</v>
      </c>
    </row>
    <row r="2307" spans="1:1" ht="75" x14ac:dyDescent="0.3">
      <c r="A2307" s="28" t="s">
        <v>6225</v>
      </c>
    </row>
    <row r="2308" spans="1:1" ht="75" x14ac:dyDescent="0.3">
      <c r="A2308" s="28" t="s">
        <v>6226</v>
      </c>
    </row>
    <row r="2309" spans="1:1" ht="75" x14ac:dyDescent="0.3">
      <c r="A2309" s="28" t="s">
        <v>6227</v>
      </c>
    </row>
    <row r="2310" spans="1:1" ht="75" x14ac:dyDescent="0.3">
      <c r="A2310" s="28" t="s">
        <v>6228</v>
      </c>
    </row>
    <row r="2311" spans="1:1" ht="75" x14ac:dyDescent="0.3">
      <c r="A2311" s="28" t="s">
        <v>6229</v>
      </c>
    </row>
    <row r="2312" spans="1:1" ht="75" x14ac:dyDescent="0.3">
      <c r="A2312" s="28" t="s">
        <v>6230</v>
      </c>
    </row>
    <row r="2313" spans="1:1" ht="75" x14ac:dyDescent="0.3">
      <c r="A2313" s="28" t="s">
        <v>6231</v>
      </c>
    </row>
    <row r="2314" spans="1:1" ht="75" x14ac:dyDescent="0.3">
      <c r="A2314" s="28" t="s">
        <v>6232</v>
      </c>
    </row>
    <row r="2315" spans="1:1" ht="75" x14ac:dyDescent="0.3">
      <c r="A2315" s="28" t="s">
        <v>6233</v>
      </c>
    </row>
    <row r="2316" spans="1:1" ht="75" x14ac:dyDescent="0.3">
      <c r="A2316" s="28" t="s">
        <v>6234</v>
      </c>
    </row>
    <row r="2317" spans="1:1" ht="75" x14ac:dyDescent="0.3">
      <c r="A2317" s="28" t="s">
        <v>6235</v>
      </c>
    </row>
    <row r="2318" spans="1:1" ht="60" x14ac:dyDescent="0.3">
      <c r="A2318" s="28" t="s">
        <v>6236</v>
      </c>
    </row>
    <row r="2319" spans="1:1" ht="60" x14ac:dyDescent="0.3">
      <c r="A2319" s="28" t="s">
        <v>6240</v>
      </c>
    </row>
    <row r="2320" spans="1:1" x14ac:dyDescent="0.3">
      <c r="A2320" s="64" t="s">
        <v>6241</v>
      </c>
    </row>
    <row r="2321" spans="1:1" x14ac:dyDescent="0.3">
      <c r="A2321" s="65"/>
    </row>
    <row r="2322" spans="1:1" ht="60" x14ac:dyDescent="0.3">
      <c r="A2322" s="28" t="s">
        <v>6244</v>
      </c>
    </row>
    <row r="2323" spans="1:1" ht="60" x14ac:dyDescent="0.3">
      <c r="A2323" s="28" t="s">
        <v>6248</v>
      </c>
    </row>
    <row r="2324" spans="1:1" ht="60" x14ac:dyDescent="0.3">
      <c r="A2324" s="28" t="s">
        <v>6249</v>
      </c>
    </row>
    <row r="2325" spans="1:1" ht="60" x14ac:dyDescent="0.3">
      <c r="A2325" s="28" t="s">
        <v>6250</v>
      </c>
    </row>
    <row r="2326" spans="1:1" ht="60" x14ac:dyDescent="0.3">
      <c r="A2326" s="28" t="s">
        <v>6251</v>
      </c>
    </row>
    <row r="2327" spans="1:1" ht="75" x14ac:dyDescent="0.3">
      <c r="A2327" s="28" t="s">
        <v>6254</v>
      </c>
    </row>
    <row r="2328" spans="1:1" ht="60" x14ac:dyDescent="0.3">
      <c r="A2328" s="28" t="s">
        <v>6255</v>
      </c>
    </row>
    <row r="2329" spans="1:1" ht="60" x14ac:dyDescent="0.3">
      <c r="A2329" s="28" t="s">
        <v>6258</v>
      </c>
    </row>
    <row r="2330" spans="1:1" x14ac:dyDescent="0.3">
      <c r="A2330" s="64" t="s">
        <v>6260</v>
      </c>
    </row>
    <row r="2331" spans="1:1" x14ac:dyDescent="0.3">
      <c r="A2331" s="65"/>
    </row>
    <row r="2332" spans="1:1" ht="60" x14ac:dyDescent="0.3">
      <c r="A2332" s="28" t="s">
        <v>6266</v>
      </c>
    </row>
    <row r="2333" spans="1:1" ht="75" x14ac:dyDescent="0.3">
      <c r="A2333" s="28" t="s">
        <v>6267</v>
      </c>
    </row>
    <row r="2334" spans="1:1" ht="60" x14ac:dyDescent="0.3">
      <c r="A2334" s="28" t="s">
        <v>6272</v>
      </c>
    </row>
    <row r="2335" spans="1:1" ht="60" x14ac:dyDescent="0.3">
      <c r="A2335" s="28" t="s">
        <v>6274</v>
      </c>
    </row>
    <row r="2336" spans="1:1" ht="90" x14ac:dyDescent="0.3">
      <c r="A2336" s="28" t="s">
        <v>6275</v>
      </c>
    </row>
    <row r="2337" spans="1:1" ht="90" x14ac:dyDescent="0.3">
      <c r="A2337" s="28" t="s">
        <v>6276</v>
      </c>
    </row>
    <row r="2338" spans="1:1" ht="75" x14ac:dyDescent="0.3">
      <c r="A2338" s="28" t="s">
        <v>6279</v>
      </c>
    </row>
    <row r="2339" spans="1:1" ht="90" x14ac:dyDescent="0.3">
      <c r="A2339" s="28" t="s">
        <v>6280</v>
      </c>
    </row>
    <row r="2340" spans="1:1" ht="90" x14ac:dyDescent="0.3">
      <c r="A2340" s="28" t="s">
        <v>6281</v>
      </c>
    </row>
    <row r="2341" spans="1:1" ht="75" x14ac:dyDescent="0.3">
      <c r="A2341" s="28" t="s">
        <v>6284</v>
      </c>
    </row>
    <row r="2342" spans="1:1" ht="90" x14ac:dyDescent="0.3">
      <c r="A2342" s="28" t="s">
        <v>6285</v>
      </c>
    </row>
    <row r="2343" spans="1:1" ht="90" x14ac:dyDescent="0.3">
      <c r="A2343" s="28" t="s">
        <v>6286</v>
      </c>
    </row>
    <row r="2344" spans="1:1" ht="90" x14ac:dyDescent="0.3">
      <c r="A2344" s="28" t="s">
        <v>6289</v>
      </c>
    </row>
    <row r="2345" spans="1:1" ht="90" x14ac:dyDescent="0.3">
      <c r="A2345" s="28" t="s">
        <v>6290</v>
      </c>
    </row>
    <row r="2346" spans="1:1" ht="90" x14ac:dyDescent="0.3">
      <c r="A2346" s="28" t="s">
        <v>6292</v>
      </c>
    </row>
    <row r="2347" spans="1:1" ht="75" x14ac:dyDescent="0.3">
      <c r="A2347" s="28" t="s">
        <v>6295</v>
      </c>
    </row>
    <row r="2348" spans="1:1" ht="90" x14ac:dyDescent="0.3">
      <c r="A2348" s="28" t="s">
        <v>6298</v>
      </c>
    </row>
    <row r="2349" spans="1:1" ht="75" x14ac:dyDescent="0.3">
      <c r="A2349" s="28" t="s">
        <v>6306</v>
      </c>
    </row>
    <row r="2350" spans="1:1" ht="75" x14ac:dyDescent="0.3">
      <c r="A2350" s="28" t="s">
        <v>6307</v>
      </c>
    </row>
    <row r="2351" spans="1:1" ht="90" x14ac:dyDescent="0.3">
      <c r="A2351" s="28" t="s">
        <v>6308</v>
      </c>
    </row>
    <row r="2352" spans="1:1" ht="90" x14ac:dyDescent="0.3">
      <c r="A2352" s="28" t="s">
        <v>6311</v>
      </c>
    </row>
    <row r="2353" spans="1:1" ht="90" x14ac:dyDescent="0.3">
      <c r="A2353" s="28" t="s">
        <v>6313</v>
      </c>
    </row>
    <row r="2354" spans="1:1" ht="105" x14ac:dyDescent="0.3">
      <c r="A2354" s="28" t="s">
        <v>6314</v>
      </c>
    </row>
    <row r="2355" spans="1:1" ht="105" x14ac:dyDescent="0.3">
      <c r="A2355" s="28" t="s">
        <v>6315</v>
      </c>
    </row>
    <row r="2356" spans="1:1" ht="90" x14ac:dyDescent="0.3">
      <c r="A2356" s="28" t="s">
        <v>6318</v>
      </c>
    </row>
    <row r="2357" spans="1:1" ht="105" x14ac:dyDescent="0.3">
      <c r="A2357" s="28" t="s">
        <v>6319</v>
      </c>
    </row>
    <row r="2358" spans="1:1" ht="105" x14ac:dyDescent="0.3">
      <c r="A2358" s="28" t="s">
        <v>6320</v>
      </c>
    </row>
    <row r="2359" spans="1:1" ht="105" x14ac:dyDescent="0.3">
      <c r="A2359" s="28" t="s">
        <v>6322</v>
      </c>
    </row>
    <row r="2360" spans="1:1" ht="105" x14ac:dyDescent="0.3">
      <c r="A2360" s="28" t="s">
        <v>6323</v>
      </c>
    </row>
    <row r="2361" spans="1:1" ht="105" x14ac:dyDescent="0.3">
      <c r="A2361" s="28" t="s">
        <v>6324</v>
      </c>
    </row>
    <row r="2362" spans="1:1" ht="105" x14ac:dyDescent="0.3">
      <c r="A2362" s="28" t="s">
        <v>6326</v>
      </c>
    </row>
    <row r="2363" spans="1:1" ht="60" x14ac:dyDescent="0.3">
      <c r="A2363" s="28" t="s">
        <v>6327</v>
      </c>
    </row>
    <row r="2364" spans="1:1" ht="75" x14ac:dyDescent="0.3">
      <c r="A2364" s="28" t="s">
        <v>6335</v>
      </c>
    </row>
    <row r="2365" spans="1:1" ht="60" x14ac:dyDescent="0.3">
      <c r="A2365" s="28" t="s">
        <v>6336</v>
      </c>
    </row>
    <row r="2366" spans="1:1" ht="75" x14ac:dyDescent="0.3">
      <c r="A2366" s="28" t="s">
        <v>6338</v>
      </c>
    </row>
    <row r="2367" spans="1:1" ht="75" x14ac:dyDescent="0.3">
      <c r="A2367" s="28" t="s">
        <v>6339</v>
      </c>
    </row>
    <row r="2368" spans="1:1" ht="75" x14ac:dyDescent="0.3">
      <c r="A2368" s="28" t="s">
        <v>6342</v>
      </c>
    </row>
    <row r="2369" spans="1:1" ht="60" x14ac:dyDescent="0.3">
      <c r="A2369" s="28" t="s">
        <v>6343</v>
      </c>
    </row>
    <row r="2370" spans="1:1" ht="75" x14ac:dyDescent="0.3">
      <c r="A2370" s="28" t="s">
        <v>6346</v>
      </c>
    </row>
    <row r="2371" spans="1:1" ht="60" x14ac:dyDescent="0.3">
      <c r="A2371" s="28" t="s">
        <v>6347</v>
      </c>
    </row>
    <row r="2372" spans="1:1" ht="60" x14ac:dyDescent="0.3">
      <c r="A2372" s="28" t="s">
        <v>6350</v>
      </c>
    </row>
    <row r="2373" spans="1:1" x14ac:dyDescent="0.3">
      <c r="A2373" s="64" t="s">
        <v>6352</v>
      </c>
    </row>
    <row r="2374" spans="1:1" x14ac:dyDescent="0.3">
      <c r="A2374" s="65"/>
    </row>
    <row r="2375" spans="1:1" ht="60" x14ac:dyDescent="0.3">
      <c r="A2375" s="28" t="s">
        <v>6354</v>
      </c>
    </row>
    <row r="2376" spans="1:1" ht="60" x14ac:dyDescent="0.3">
      <c r="A2376" s="28" t="s">
        <v>6355</v>
      </c>
    </row>
    <row r="2377" spans="1:1" ht="75" x14ac:dyDescent="0.3">
      <c r="A2377" s="28" t="s">
        <v>6358</v>
      </c>
    </row>
    <row r="2378" spans="1:1" ht="75" x14ac:dyDescent="0.3">
      <c r="A2378" s="28" t="s">
        <v>6359</v>
      </c>
    </row>
    <row r="2379" spans="1:1" ht="75" x14ac:dyDescent="0.3">
      <c r="A2379" s="28" t="s">
        <v>6360</v>
      </c>
    </row>
    <row r="2380" spans="1:1" ht="75" x14ac:dyDescent="0.3">
      <c r="A2380" s="28" t="s">
        <v>6361</v>
      </c>
    </row>
    <row r="2381" spans="1:1" ht="75" x14ac:dyDescent="0.3">
      <c r="A2381" s="28" t="s">
        <v>6364</v>
      </c>
    </row>
    <row r="2382" spans="1:1" ht="60" x14ac:dyDescent="0.3">
      <c r="A2382" s="28" t="s">
        <v>6365</v>
      </c>
    </row>
    <row r="2383" spans="1:1" ht="60" x14ac:dyDescent="0.3">
      <c r="A2383" s="28" t="s">
        <v>6366</v>
      </c>
    </row>
    <row r="2384" spans="1:1" ht="60" x14ac:dyDescent="0.3">
      <c r="A2384" s="28" t="s">
        <v>6368</v>
      </c>
    </row>
    <row r="2385" spans="1:1" ht="60" x14ac:dyDescent="0.3">
      <c r="A2385" s="28" t="s">
        <v>6370</v>
      </c>
    </row>
    <row r="2386" spans="1:1" ht="60" x14ac:dyDescent="0.3">
      <c r="A2386" s="28" t="s">
        <v>6376</v>
      </c>
    </row>
    <row r="2387" spans="1:1" ht="60" x14ac:dyDescent="0.3">
      <c r="A2387" s="28" t="s">
        <v>6377</v>
      </c>
    </row>
    <row r="2388" spans="1:1" ht="60" x14ac:dyDescent="0.3">
      <c r="A2388" s="28" t="s">
        <v>6379</v>
      </c>
    </row>
    <row r="2389" spans="1:1" ht="60" x14ac:dyDescent="0.3">
      <c r="A2389" s="28" t="s">
        <v>6381</v>
      </c>
    </row>
    <row r="2390" spans="1:1" ht="60" x14ac:dyDescent="0.3">
      <c r="A2390" s="28" t="s">
        <v>6382</v>
      </c>
    </row>
    <row r="2391" spans="1:1" ht="60" x14ac:dyDescent="0.3">
      <c r="A2391" s="28" t="s">
        <v>6383</v>
      </c>
    </row>
    <row r="2392" spans="1:1" ht="90" x14ac:dyDescent="0.3">
      <c r="A2392" s="28" t="s">
        <v>6384</v>
      </c>
    </row>
    <row r="2393" spans="1:1" ht="90" x14ac:dyDescent="0.3">
      <c r="A2393" s="28" t="s">
        <v>6392</v>
      </c>
    </row>
    <row r="2394" spans="1:1" ht="90" x14ac:dyDescent="0.3">
      <c r="A2394" s="28" t="s">
        <v>6393</v>
      </c>
    </row>
    <row r="2395" spans="1:1" ht="90" x14ac:dyDescent="0.3">
      <c r="A2395" s="28" t="s">
        <v>6397</v>
      </c>
    </row>
    <row r="2396" spans="1:1" ht="90" x14ac:dyDescent="0.3">
      <c r="A2396" s="28" t="s">
        <v>6398</v>
      </c>
    </row>
    <row r="2397" spans="1:1" x14ac:dyDescent="0.3">
      <c r="A2397" s="59" t="s">
        <v>6399</v>
      </c>
    </row>
    <row r="2398" spans="1:1" x14ac:dyDescent="0.3">
      <c r="A2398" s="60"/>
    </row>
    <row r="2399" spans="1:1" x14ac:dyDescent="0.3">
      <c r="A2399" s="59" t="s">
        <v>6401</v>
      </c>
    </row>
    <row r="2400" spans="1:1" x14ac:dyDescent="0.3">
      <c r="A2400" s="60"/>
    </row>
    <row r="2401" spans="1:1" ht="90" x14ac:dyDescent="0.3">
      <c r="A2401" s="28" t="s">
        <v>6404</v>
      </c>
    </row>
    <row r="2402" spans="1:1" ht="90" x14ac:dyDescent="0.3">
      <c r="A2402" s="28" t="s">
        <v>6405</v>
      </c>
    </row>
    <row r="2403" spans="1:1" ht="90" x14ac:dyDescent="0.3">
      <c r="A2403" s="28" t="s">
        <v>6409</v>
      </c>
    </row>
    <row r="2404" spans="1:1" ht="90" x14ac:dyDescent="0.3">
      <c r="A2404" s="28" t="s">
        <v>6410</v>
      </c>
    </row>
    <row r="2405" spans="1:1" ht="90" x14ac:dyDescent="0.3">
      <c r="A2405" s="28" t="s">
        <v>6413</v>
      </c>
    </row>
    <row r="2406" spans="1:1" ht="45" x14ac:dyDescent="0.3">
      <c r="A2406" s="28" t="s">
        <v>6415</v>
      </c>
    </row>
    <row r="2407" spans="1:1" ht="45" x14ac:dyDescent="0.3">
      <c r="A2407" s="28" t="s">
        <v>6419</v>
      </c>
    </row>
    <row r="2408" spans="1:1" ht="45" x14ac:dyDescent="0.3">
      <c r="A2408" s="28" t="s">
        <v>6421</v>
      </c>
    </row>
    <row r="2409" spans="1:1" ht="60" x14ac:dyDescent="0.3">
      <c r="A2409" s="28" t="s">
        <v>6422</v>
      </c>
    </row>
    <row r="2410" spans="1:1" ht="60" x14ac:dyDescent="0.3">
      <c r="A2410" s="28" t="s">
        <v>6423</v>
      </c>
    </row>
    <row r="2411" spans="1:1" x14ac:dyDescent="0.3">
      <c r="A2411" s="59" t="s">
        <v>6424</v>
      </c>
    </row>
    <row r="2412" spans="1:1" x14ac:dyDescent="0.3">
      <c r="A2412" s="60"/>
    </row>
    <row r="2413" spans="1:1" x14ac:dyDescent="0.3">
      <c r="A2413" s="61" t="s">
        <v>6427</v>
      </c>
    </row>
    <row r="2414" spans="1:1" x14ac:dyDescent="0.3">
      <c r="A2414" s="62"/>
    </row>
    <row r="2415" spans="1:1" ht="60" x14ac:dyDescent="0.3">
      <c r="A2415" s="28" t="s">
        <v>6430</v>
      </c>
    </row>
    <row r="2416" spans="1:1" ht="60" x14ac:dyDescent="0.3">
      <c r="A2416" s="28" t="s">
        <v>6432</v>
      </c>
    </row>
    <row r="2417" spans="1:1" ht="75" x14ac:dyDescent="0.3">
      <c r="A2417" s="28" t="s">
        <v>6433</v>
      </c>
    </row>
    <row r="2418" spans="1:1" ht="75" x14ac:dyDescent="0.3">
      <c r="A2418" s="28" t="s">
        <v>6434</v>
      </c>
    </row>
    <row r="2419" spans="1:1" ht="75" x14ac:dyDescent="0.3">
      <c r="A2419" s="28" t="s">
        <v>6435</v>
      </c>
    </row>
  </sheetData>
  <mergeCells count="190">
    <mergeCell ref="A100:A101"/>
    <mergeCell ref="A138:A139"/>
    <mergeCell ref="A155:A157"/>
    <mergeCell ref="A160:A164"/>
    <mergeCell ref="A166:A168"/>
    <mergeCell ref="A180:A181"/>
    <mergeCell ref="A44:A45"/>
    <mergeCell ref="A48:A50"/>
    <mergeCell ref="A53:A54"/>
    <mergeCell ref="A79:A80"/>
    <mergeCell ref="A92:A94"/>
    <mergeCell ref="A280:A281"/>
    <mergeCell ref="A284:A285"/>
    <mergeCell ref="A287:A288"/>
    <mergeCell ref="A312:A313"/>
    <mergeCell ref="A314:A315"/>
    <mergeCell ref="A319:A320"/>
    <mergeCell ref="A214:A216"/>
    <mergeCell ref="A217:A219"/>
    <mergeCell ref="A220:A222"/>
    <mergeCell ref="A223:A225"/>
    <mergeCell ref="A226:A227"/>
    <mergeCell ref="A231:A232"/>
    <mergeCell ref="A392:A394"/>
    <mergeCell ref="A396:A399"/>
    <mergeCell ref="A400:A402"/>
    <mergeCell ref="A403:A406"/>
    <mergeCell ref="A407:A410"/>
    <mergeCell ref="A411:A413"/>
    <mergeCell ref="A321:A323"/>
    <mergeCell ref="A324:A325"/>
    <mergeCell ref="A328:A329"/>
    <mergeCell ref="A330:A331"/>
    <mergeCell ref="A335:A336"/>
    <mergeCell ref="A337:A347"/>
    <mergeCell ref="A433:A435"/>
    <mergeCell ref="A436:A438"/>
    <mergeCell ref="A439:A440"/>
    <mergeCell ref="A441:A442"/>
    <mergeCell ref="A443:A444"/>
    <mergeCell ref="A445:A446"/>
    <mergeCell ref="A414:A416"/>
    <mergeCell ref="A417:A419"/>
    <mergeCell ref="A420:A423"/>
    <mergeCell ref="A424:A426"/>
    <mergeCell ref="A427:A428"/>
    <mergeCell ref="A429:A432"/>
    <mergeCell ref="A465:A466"/>
    <mergeCell ref="A469:A470"/>
    <mergeCell ref="A471:A473"/>
    <mergeCell ref="A474:A476"/>
    <mergeCell ref="A477:A479"/>
    <mergeCell ref="A480:A482"/>
    <mergeCell ref="A447:A449"/>
    <mergeCell ref="A450:A452"/>
    <mergeCell ref="A453:A455"/>
    <mergeCell ref="A456:A458"/>
    <mergeCell ref="A459:A461"/>
    <mergeCell ref="A462:A464"/>
    <mergeCell ref="A501:A503"/>
    <mergeCell ref="A504:A506"/>
    <mergeCell ref="A507:A509"/>
    <mergeCell ref="A510:A512"/>
    <mergeCell ref="A513:A515"/>
    <mergeCell ref="A516:A518"/>
    <mergeCell ref="A483:A485"/>
    <mergeCell ref="A486:A488"/>
    <mergeCell ref="A489:A491"/>
    <mergeCell ref="A492:A494"/>
    <mergeCell ref="A495:A497"/>
    <mergeCell ref="A498:A500"/>
    <mergeCell ref="A535:A537"/>
    <mergeCell ref="A538:A540"/>
    <mergeCell ref="A541:A542"/>
    <mergeCell ref="A543:A544"/>
    <mergeCell ref="A545:A546"/>
    <mergeCell ref="A547:A548"/>
    <mergeCell ref="A519:A521"/>
    <mergeCell ref="A522:A524"/>
    <mergeCell ref="A525:A526"/>
    <mergeCell ref="A527:A528"/>
    <mergeCell ref="A529:A531"/>
    <mergeCell ref="A532:A534"/>
    <mergeCell ref="A567:A569"/>
    <mergeCell ref="A570:A572"/>
    <mergeCell ref="A573:A575"/>
    <mergeCell ref="A576:A578"/>
    <mergeCell ref="A579:A581"/>
    <mergeCell ref="A582:A583"/>
    <mergeCell ref="A549:A551"/>
    <mergeCell ref="A552:A554"/>
    <mergeCell ref="A555:A557"/>
    <mergeCell ref="A558:A560"/>
    <mergeCell ref="A561:A563"/>
    <mergeCell ref="A564:A566"/>
    <mergeCell ref="A603:A606"/>
    <mergeCell ref="A607:A610"/>
    <mergeCell ref="A611:A614"/>
    <mergeCell ref="A615:A617"/>
    <mergeCell ref="A622:A623"/>
    <mergeCell ref="A637:A638"/>
    <mergeCell ref="A586:A587"/>
    <mergeCell ref="A588:A590"/>
    <mergeCell ref="A591:A593"/>
    <mergeCell ref="A594:A596"/>
    <mergeCell ref="A597:A599"/>
    <mergeCell ref="A600:A602"/>
    <mergeCell ref="A687:A688"/>
    <mergeCell ref="A689:A691"/>
    <mergeCell ref="A692:A694"/>
    <mergeCell ref="A706:A708"/>
    <mergeCell ref="A709:A710"/>
    <mergeCell ref="A714:A715"/>
    <mergeCell ref="A656:A657"/>
    <mergeCell ref="A677:A678"/>
    <mergeCell ref="A679:A680"/>
    <mergeCell ref="A681:A682"/>
    <mergeCell ref="A683:A684"/>
    <mergeCell ref="A685:A686"/>
    <mergeCell ref="A734:A735"/>
    <mergeCell ref="A736:A737"/>
    <mergeCell ref="A738:A739"/>
    <mergeCell ref="A740:A741"/>
    <mergeCell ref="A742:A743"/>
    <mergeCell ref="A744:A745"/>
    <mergeCell ref="A716:A717"/>
    <mergeCell ref="A719:A722"/>
    <mergeCell ref="A724:A725"/>
    <mergeCell ref="A726:A727"/>
    <mergeCell ref="A729:A730"/>
    <mergeCell ref="A731:A732"/>
    <mergeCell ref="A769:A770"/>
    <mergeCell ref="A812:A813"/>
    <mergeCell ref="A822:A823"/>
    <mergeCell ref="A849:A850"/>
    <mergeCell ref="A853:A854"/>
    <mergeCell ref="A857:A859"/>
    <mergeCell ref="A747:A750"/>
    <mergeCell ref="A753:A756"/>
    <mergeCell ref="A758:A759"/>
    <mergeCell ref="A760:A761"/>
    <mergeCell ref="A763:A764"/>
    <mergeCell ref="A765:A766"/>
    <mergeCell ref="A888:A890"/>
    <mergeCell ref="A900:A903"/>
    <mergeCell ref="A907:A909"/>
    <mergeCell ref="A910:A912"/>
    <mergeCell ref="A913:A915"/>
    <mergeCell ref="A916:A918"/>
    <mergeCell ref="A861:A863"/>
    <mergeCell ref="A865:A866"/>
    <mergeCell ref="A869:A870"/>
    <mergeCell ref="A873:A878"/>
    <mergeCell ref="A879:A882"/>
    <mergeCell ref="A884:A887"/>
    <mergeCell ref="A950:A951"/>
    <mergeCell ref="A1007:A1010"/>
    <mergeCell ref="A1040:A1044"/>
    <mergeCell ref="A1067:A1068"/>
    <mergeCell ref="A1069:A1070"/>
    <mergeCell ref="A1071:A1072"/>
    <mergeCell ref="A919:A921"/>
    <mergeCell ref="A922:A924"/>
    <mergeCell ref="A925:A926"/>
    <mergeCell ref="A927:A928"/>
    <mergeCell ref="A929:A930"/>
    <mergeCell ref="A946:A947"/>
    <mergeCell ref="A1597:A1598"/>
    <mergeCell ref="A1659:A1660"/>
    <mergeCell ref="A1886:A1888"/>
    <mergeCell ref="A1889:A1891"/>
    <mergeCell ref="A1892:A1894"/>
    <mergeCell ref="A1895:A1897"/>
    <mergeCell ref="A1088:A1095"/>
    <mergeCell ref="A1187:A1188"/>
    <mergeCell ref="A1295:A1296"/>
    <mergeCell ref="A1336:A1338"/>
    <mergeCell ref="A1592:A1594"/>
    <mergeCell ref="A1595:A1596"/>
    <mergeCell ref="A2373:A2374"/>
    <mergeCell ref="A2397:A2398"/>
    <mergeCell ref="A2399:A2400"/>
    <mergeCell ref="A2411:A2412"/>
    <mergeCell ref="A2413:A2414"/>
    <mergeCell ref="A2215:A2216"/>
    <mergeCell ref="A2258:A2259"/>
    <mergeCell ref="A2277:A2278"/>
    <mergeCell ref="A2279:A2280"/>
    <mergeCell ref="A2320:A2321"/>
    <mergeCell ref="A2330:A233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E354-0D0C-4C8A-8E53-53C1A317F5D4}">
  <dimension ref="A1:AL2425"/>
  <sheetViews>
    <sheetView workbookViewId="0">
      <selection activeCell="E3" sqref="E1:E1048576"/>
    </sheetView>
  </sheetViews>
  <sheetFormatPr defaultRowHeight="14" x14ac:dyDescent="0.3"/>
  <sheetData>
    <row r="1" spans="1:38" ht="16.5" x14ac:dyDescent="0.3">
      <c r="A1" s="774" t="s">
        <v>649</v>
      </c>
      <c r="B1" s="775"/>
      <c r="C1" s="775"/>
      <c r="D1" s="775"/>
      <c r="E1" s="775"/>
      <c r="F1" s="775"/>
      <c r="G1" s="775"/>
      <c r="H1" s="775"/>
      <c r="I1" s="775"/>
      <c r="J1" s="775"/>
      <c r="K1" s="775"/>
      <c r="L1" s="775"/>
      <c r="M1" s="775"/>
      <c r="N1" s="775"/>
      <c r="O1" s="775"/>
      <c r="P1" s="775"/>
      <c r="Q1" s="775"/>
      <c r="R1" s="775"/>
      <c r="S1" s="775"/>
      <c r="T1" s="775"/>
      <c r="U1" s="775"/>
      <c r="V1" s="775"/>
      <c r="W1" s="775"/>
      <c r="X1" s="775"/>
      <c r="Y1" s="775"/>
      <c r="Z1" s="775"/>
      <c r="AA1" s="775"/>
      <c r="AB1" s="775"/>
      <c r="AC1" s="775"/>
      <c r="AD1" s="775"/>
      <c r="AE1" s="776"/>
      <c r="AF1" s="479"/>
      <c r="AG1" s="480"/>
      <c r="AH1" s="481"/>
      <c r="AI1" s="167"/>
      <c r="AJ1" s="168"/>
      <c r="AK1" s="15"/>
      <c r="AL1" s="15"/>
    </row>
    <row r="2" spans="1:38" ht="15.5" x14ac:dyDescent="0.3">
      <c r="A2" s="777" t="s">
        <v>650</v>
      </c>
      <c r="B2" s="778"/>
      <c r="C2" s="778"/>
      <c r="D2" s="778"/>
      <c r="E2" s="778"/>
      <c r="F2" s="778"/>
      <c r="G2" s="778"/>
      <c r="H2" s="778"/>
      <c r="I2" s="778"/>
      <c r="J2" s="778"/>
      <c r="K2" s="778"/>
      <c r="L2" s="778"/>
      <c r="M2" s="778"/>
      <c r="N2" s="778"/>
      <c r="O2" s="778"/>
      <c r="P2" s="778"/>
      <c r="Q2" s="778"/>
      <c r="R2" s="778"/>
      <c r="S2" s="778"/>
      <c r="T2" s="778"/>
      <c r="U2" s="778"/>
      <c r="V2" s="778"/>
      <c r="W2" s="778"/>
      <c r="X2" s="778"/>
      <c r="Y2" s="778"/>
      <c r="Z2" s="778"/>
      <c r="AA2" s="778"/>
      <c r="AB2" s="778"/>
      <c r="AC2" s="778"/>
      <c r="AD2" s="778"/>
      <c r="AE2" s="778"/>
      <c r="AF2" s="778"/>
      <c r="AG2" s="778"/>
      <c r="AH2" s="778"/>
      <c r="AI2" s="778"/>
      <c r="AJ2" s="778"/>
      <c r="AK2" s="15"/>
      <c r="AL2" s="15"/>
    </row>
    <row r="3" spans="1:38" ht="15.5" x14ac:dyDescent="0.3">
      <c r="A3" s="779" t="s">
        <v>651</v>
      </c>
      <c r="B3" s="781" t="s">
        <v>652</v>
      </c>
      <c r="C3" s="782"/>
      <c r="D3" s="783"/>
      <c r="E3" s="779" t="s">
        <v>648</v>
      </c>
      <c r="F3" s="787" t="s">
        <v>653</v>
      </c>
      <c r="G3" s="788"/>
      <c r="H3" s="789"/>
      <c r="I3" s="761" t="s">
        <v>655</v>
      </c>
      <c r="J3" s="762"/>
      <c r="K3" s="761" t="s">
        <v>656</v>
      </c>
      <c r="L3" s="762"/>
      <c r="M3" s="768" t="s">
        <v>658</v>
      </c>
      <c r="N3" s="769"/>
      <c r="O3" s="770"/>
      <c r="P3" s="761" t="s">
        <v>659</v>
      </c>
      <c r="Q3" s="762"/>
      <c r="R3" s="761" t="s">
        <v>660</v>
      </c>
      <c r="S3" s="762"/>
      <c r="T3" s="768" t="s">
        <v>661</v>
      </c>
      <c r="U3" s="770"/>
      <c r="V3" s="761" t="s">
        <v>662</v>
      </c>
      <c r="W3" s="762"/>
      <c r="X3" s="761" t="s">
        <v>663</v>
      </c>
      <c r="Y3" s="765"/>
      <c r="Z3" s="762"/>
      <c r="AA3" s="761" t="s">
        <v>664</v>
      </c>
      <c r="AB3" s="762"/>
      <c r="AC3" s="88" t="s">
        <v>666</v>
      </c>
      <c r="AD3" s="89"/>
      <c r="AE3" s="767" t="s">
        <v>667</v>
      </c>
      <c r="AF3" s="192" t="s">
        <v>668</v>
      </c>
      <c r="AG3" s="196"/>
      <c r="AH3" s="193"/>
      <c r="AI3" s="759" t="s">
        <v>669</v>
      </c>
      <c r="AJ3" s="549" t="s">
        <v>670</v>
      </c>
      <c r="AK3" s="15"/>
      <c r="AL3" s="15"/>
    </row>
    <row r="4" spans="1:38" ht="15.5" x14ac:dyDescent="0.3">
      <c r="A4" s="780"/>
      <c r="B4" s="784"/>
      <c r="C4" s="785"/>
      <c r="D4" s="786"/>
      <c r="E4" s="780"/>
      <c r="F4" s="790" t="s">
        <v>654</v>
      </c>
      <c r="G4" s="791"/>
      <c r="H4" s="792"/>
      <c r="I4" s="763"/>
      <c r="J4" s="764"/>
      <c r="K4" s="763" t="s">
        <v>657</v>
      </c>
      <c r="L4" s="764"/>
      <c r="M4" s="771"/>
      <c r="N4" s="772"/>
      <c r="O4" s="773"/>
      <c r="P4" s="763"/>
      <c r="Q4" s="764"/>
      <c r="R4" s="763"/>
      <c r="S4" s="764"/>
      <c r="T4" s="771"/>
      <c r="U4" s="773"/>
      <c r="V4" s="763"/>
      <c r="W4" s="764"/>
      <c r="X4" s="763"/>
      <c r="Y4" s="766"/>
      <c r="Z4" s="764"/>
      <c r="AA4" s="763" t="s">
        <v>665</v>
      </c>
      <c r="AB4" s="764"/>
      <c r="AC4" s="117"/>
      <c r="AD4" s="118"/>
      <c r="AE4" s="714"/>
      <c r="AF4" s="194"/>
      <c r="AG4" s="197"/>
      <c r="AH4" s="195"/>
      <c r="AI4" s="760"/>
      <c r="AJ4" s="550"/>
      <c r="AK4" s="15"/>
      <c r="AL4" s="15"/>
    </row>
    <row r="5" spans="1:38" ht="90" x14ac:dyDescent="0.3">
      <c r="A5" s="178"/>
      <c r="B5" s="303" t="s">
        <v>671</v>
      </c>
      <c r="C5" s="344"/>
      <c r="D5" s="304"/>
      <c r="E5" s="19" t="s">
        <v>6436</v>
      </c>
      <c r="F5" s="114" t="s">
        <v>672</v>
      </c>
      <c r="G5" s="115"/>
      <c r="H5" s="116"/>
      <c r="I5" s="460"/>
      <c r="J5" s="461"/>
      <c r="K5" s="460"/>
      <c r="L5" s="461"/>
      <c r="M5" s="349">
        <v>135</v>
      </c>
      <c r="N5" s="423"/>
      <c r="O5" s="350"/>
      <c r="P5" s="460"/>
      <c r="Q5" s="461"/>
      <c r="R5" s="349">
        <v>25</v>
      </c>
      <c r="S5" s="350"/>
      <c r="T5" s="460"/>
      <c r="U5" s="461"/>
      <c r="V5" s="351" t="s">
        <v>673</v>
      </c>
      <c r="W5" s="352"/>
      <c r="X5" s="334">
        <v>258</v>
      </c>
      <c r="Y5" s="335"/>
      <c r="Z5" s="336"/>
      <c r="AA5" s="337" t="s">
        <v>674</v>
      </c>
      <c r="AB5" s="338"/>
      <c r="AC5" s="223" t="s">
        <v>675</v>
      </c>
      <c r="AD5" s="224"/>
      <c r="AE5" s="24" t="s">
        <v>680</v>
      </c>
      <c r="AF5" s="233" t="s">
        <v>683</v>
      </c>
      <c r="AG5" s="305"/>
      <c r="AH5" s="234"/>
      <c r="AI5" s="178"/>
      <c r="AJ5" s="715" t="s">
        <v>684</v>
      </c>
      <c r="AK5" s="15"/>
      <c r="AL5" s="15"/>
    </row>
    <row r="6" spans="1:38" ht="60" x14ac:dyDescent="0.3">
      <c r="A6" s="179"/>
      <c r="B6" s="292"/>
      <c r="C6" s="314"/>
      <c r="D6" s="293"/>
      <c r="E6" s="28" t="s">
        <v>685</v>
      </c>
      <c r="F6" s="124" t="s">
        <v>686</v>
      </c>
      <c r="G6" s="182"/>
      <c r="H6" s="125"/>
      <c r="I6" s="460"/>
      <c r="J6" s="461"/>
      <c r="K6" s="460"/>
      <c r="L6" s="461"/>
      <c r="M6" s="183">
        <v>250</v>
      </c>
      <c r="N6" s="184"/>
      <c r="O6" s="185"/>
      <c r="P6" s="460"/>
      <c r="Q6" s="461"/>
      <c r="R6" s="183">
        <v>46</v>
      </c>
      <c r="S6" s="185"/>
      <c r="T6" s="460"/>
      <c r="U6" s="461"/>
      <c r="V6" s="114" t="s">
        <v>687</v>
      </c>
      <c r="W6" s="116"/>
      <c r="X6" s="227">
        <v>498</v>
      </c>
      <c r="Y6" s="228"/>
      <c r="Z6" s="229"/>
      <c r="AA6" s="110" t="s">
        <v>688</v>
      </c>
      <c r="AB6" s="111"/>
      <c r="AC6" s="239" t="s">
        <v>676</v>
      </c>
      <c r="AD6" s="240"/>
      <c r="AE6" s="31" t="s">
        <v>681</v>
      </c>
      <c r="AF6" s="235"/>
      <c r="AG6" s="270"/>
      <c r="AH6" s="236"/>
      <c r="AI6" s="179"/>
      <c r="AJ6" s="716"/>
      <c r="AK6" s="15"/>
      <c r="AL6" s="15"/>
    </row>
    <row r="7" spans="1:38" ht="75" x14ac:dyDescent="0.3">
      <c r="A7" s="179"/>
      <c r="B7" s="292"/>
      <c r="C7" s="314"/>
      <c r="D7" s="293"/>
      <c r="E7" s="19" t="s">
        <v>689</v>
      </c>
      <c r="F7" s="346" t="s">
        <v>690</v>
      </c>
      <c r="G7" s="347"/>
      <c r="H7" s="348"/>
      <c r="I7" s="460"/>
      <c r="J7" s="461"/>
      <c r="K7" s="460"/>
      <c r="L7" s="461"/>
      <c r="M7" s="349">
        <v>300</v>
      </c>
      <c r="N7" s="423"/>
      <c r="O7" s="350"/>
      <c r="P7" s="460"/>
      <c r="Q7" s="461"/>
      <c r="R7" s="349">
        <v>56</v>
      </c>
      <c r="S7" s="350"/>
      <c r="T7" s="460"/>
      <c r="U7" s="461"/>
      <c r="V7" s="351" t="s">
        <v>691</v>
      </c>
      <c r="W7" s="352"/>
      <c r="X7" s="334">
        <v>598</v>
      </c>
      <c r="Y7" s="335"/>
      <c r="Z7" s="336"/>
      <c r="AA7" s="337" t="s">
        <v>688</v>
      </c>
      <c r="AB7" s="338"/>
      <c r="AC7" s="239" t="s">
        <v>677</v>
      </c>
      <c r="AD7" s="240"/>
      <c r="AE7" s="31" t="s">
        <v>682</v>
      </c>
      <c r="AF7" s="235"/>
      <c r="AG7" s="270"/>
      <c r="AH7" s="236"/>
      <c r="AI7" s="179"/>
      <c r="AJ7" s="716"/>
      <c r="AK7" s="15"/>
      <c r="AL7" s="15"/>
    </row>
    <row r="8" spans="1:38" ht="75" x14ac:dyDescent="0.3">
      <c r="A8" s="179"/>
      <c r="B8" s="292"/>
      <c r="C8" s="314"/>
      <c r="D8" s="293"/>
      <c r="E8" s="28" t="s">
        <v>692</v>
      </c>
      <c r="F8" s="124" t="s">
        <v>686</v>
      </c>
      <c r="G8" s="182"/>
      <c r="H8" s="125"/>
      <c r="I8" s="460"/>
      <c r="J8" s="461"/>
      <c r="K8" s="460"/>
      <c r="L8" s="461"/>
      <c r="M8" s="183">
        <v>300</v>
      </c>
      <c r="N8" s="184"/>
      <c r="O8" s="185"/>
      <c r="P8" s="460"/>
      <c r="Q8" s="461"/>
      <c r="R8" s="183">
        <v>46</v>
      </c>
      <c r="S8" s="185"/>
      <c r="T8" s="460"/>
      <c r="U8" s="461"/>
      <c r="V8" s="114" t="s">
        <v>693</v>
      </c>
      <c r="W8" s="116"/>
      <c r="X8" s="227">
        <v>578</v>
      </c>
      <c r="Y8" s="228"/>
      <c r="Z8" s="229"/>
      <c r="AA8" s="110" t="s">
        <v>688</v>
      </c>
      <c r="AB8" s="111"/>
      <c r="AC8" s="239" t="s">
        <v>678</v>
      </c>
      <c r="AD8" s="240"/>
      <c r="AE8" s="31"/>
      <c r="AF8" s="235"/>
      <c r="AG8" s="270"/>
      <c r="AH8" s="236"/>
      <c r="AI8" s="179"/>
      <c r="AJ8" s="716"/>
      <c r="AK8" s="15"/>
      <c r="AL8" s="15"/>
    </row>
    <row r="9" spans="1:38" ht="75" x14ac:dyDescent="0.3">
      <c r="A9" s="179"/>
      <c r="B9" s="292"/>
      <c r="C9" s="314"/>
      <c r="D9" s="293"/>
      <c r="E9" s="19" t="s">
        <v>694</v>
      </c>
      <c r="F9" s="346" t="s">
        <v>690</v>
      </c>
      <c r="G9" s="347"/>
      <c r="H9" s="348"/>
      <c r="I9" s="460"/>
      <c r="J9" s="461"/>
      <c r="K9" s="460"/>
      <c r="L9" s="461"/>
      <c r="M9" s="349">
        <v>350</v>
      </c>
      <c r="N9" s="423"/>
      <c r="O9" s="350"/>
      <c r="P9" s="460"/>
      <c r="Q9" s="461"/>
      <c r="R9" s="349">
        <v>56</v>
      </c>
      <c r="S9" s="350"/>
      <c r="T9" s="460"/>
      <c r="U9" s="461"/>
      <c r="V9" s="351" t="s">
        <v>695</v>
      </c>
      <c r="W9" s="352"/>
      <c r="X9" s="334">
        <v>678</v>
      </c>
      <c r="Y9" s="335"/>
      <c r="Z9" s="336"/>
      <c r="AA9" s="337" t="s">
        <v>688</v>
      </c>
      <c r="AB9" s="338"/>
      <c r="AC9" s="239" t="s">
        <v>679</v>
      </c>
      <c r="AD9" s="240"/>
      <c r="AE9" s="31"/>
      <c r="AF9" s="235"/>
      <c r="AG9" s="270"/>
      <c r="AH9" s="236"/>
      <c r="AI9" s="179"/>
      <c r="AJ9" s="716"/>
      <c r="AK9" s="15"/>
      <c r="AL9" s="15"/>
    </row>
    <row r="10" spans="1:38" ht="135" x14ac:dyDescent="0.3">
      <c r="A10" s="179"/>
      <c r="B10" s="292"/>
      <c r="C10" s="314"/>
      <c r="D10" s="293"/>
      <c r="E10" s="28" t="s">
        <v>6437</v>
      </c>
      <c r="F10" s="114" t="s">
        <v>696</v>
      </c>
      <c r="G10" s="115"/>
      <c r="H10" s="116"/>
      <c r="I10" s="114" t="s">
        <v>697</v>
      </c>
      <c r="J10" s="116"/>
      <c r="K10" s="460"/>
      <c r="L10" s="461"/>
      <c r="M10" s="183">
        <v>385</v>
      </c>
      <c r="N10" s="184"/>
      <c r="O10" s="185"/>
      <c r="P10" s="460"/>
      <c r="Q10" s="461"/>
      <c r="R10" s="183">
        <v>60</v>
      </c>
      <c r="S10" s="185"/>
      <c r="T10" s="460"/>
      <c r="U10" s="461"/>
      <c r="V10" s="114" t="s">
        <v>698</v>
      </c>
      <c r="W10" s="116"/>
      <c r="X10" s="227">
        <v>720</v>
      </c>
      <c r="Y10" s="228"/>
      <c r="Z10" s="229"/>
      <c r="AA10" s="110" t="s">
        <v>674</v>
      </c>
      <c r="AB10" s="111"/>
      <c r="AC10" s="239"/>
      <c r="AD10" s="240"/>
      <c r="AE10" s="31"/>
      <c r="AF10" s="235"/>
      <c r="AG10" s="270"/>
      <c r="AH10" s="236"/>
      <c r="AI10" s="179"/>
      <c r="AJ10" s="716"/>
      <c r="AK10" s="15"/>
      <c r="AL10" s="15"/>
    </row>
    <row r="11" spans="1:38" ht="135" x14ac:dyDescent="0.3">
      <c r="A11" s="179"/>
      <c r="B11" s="292"/>
      <c r="C11" s="314"/>
      <c r="D11" s="293"/>
      <c r="E11" s="19" t="s">
        <v>6438</v>
      </c>
      <c r="F11" s="114" t="s">
        <v>696</v>
      </c>
      <c r="G11" s="115"/>
      <c r="H11" s="116"/>
      <c r="I11" s="114" t="s">
        <v>697</v>
      </c>
      <c r="J11" s="116"/>
      <c r="K11" s="460"/>
      <c r="L11" s="461"/>
      <c r="M11" s="349">
        <v>435</v>
      </c>
      <c r="N11" s="423"/>
      <c r="O11" s="350"/>
      <c r="P11" s="460"/>
      <c r="Q11" s="461"/>
      <c r="R11" s="349">
        <v>70</v>
      </c>
      <c r="S11" s="350"/>
      <c r="T11" s="460"/>
      <c r="U11" s="461"/>
      <c r="V11" s="351" t="s">
        <v>699</v>
      </c>
      <c r="W11" s="352"/>
      <c r="X11" s="334">
        <v>820</v>
      </c>
      <c r="Y11" s="335"/>
      <c r="Z11" s="336"/>
      <c r="AA11" s="337" t="s">
        <v>674</v>
      </c>
      <c r="AB11" s="338"/>
      <c r="AC11" s="239"/>
      <c r="AD11" s="240"/>
      <c r="AE11" s="31"/>
      <c r="AF11" s="235"/>
      <c r="AG11" s="270"/>
      <c r="AH11" s="236"/>
      <c r="AI11" s="179"/>
      <c r="AJ11" s="716"/>
      <c r="AK11" s="15"/>
      <c r="AL11" s="15"/>
    </row>
    <row r="12" spans="1:38" ht="135" x14ac:dyDescent="0.3">
      <c r="A12" s="179"/>
      <c r="B12" s="292"/>
      <c r="C12" s="314"/>
      <c r="D12" s="293"/>
      <c r="E12" s="19" t="s">
        <v>6439</v>
      </c>
      <c r="F12" s="114" t="s">
        <v>696</v>
      </c>
      <c r="G12" s="115"/>
      <c r="H12" s="116"/>
      <c r="I12" s="114" t="s">
        <v>697</v>
      </c>
      <c r="J12" s="116"/>
      <c r="K12" s="460"/>
      <c r="L12" s="461"/>
      <c r="M12" s="349">
        <v>435</v>
      </c>
      <c r="N12" s="423"/>
      <c r="O12" s="350"/>
      <c r="P12" s="460"/>
      <c r="Q12" s="461"/>
      <c r="R12" s="349">
        <v>60</v>
      </c>
      <c r="S12" s="350"/>
      <c r="T12" s="460"/>
      <c r="U12" s="461"/>
      <c r="V12" s="351" t="s">
        <v>700</v>
      </c>
      <c r="W12" s="352"/>
      <c r="X12" s="334">
        <v>798</v>
      </c>
      <c r="Y12" s="335"/>
      <c r="Z12" s="336"/>
      <c r="AA12" s="337" t="s">
        <v>674</v>
      </c>
      <c r="AB12" s="338"/>
      <c r="AC12" s="239"/>
      <c r="AD12" s="240"/>
      <c r="AE12" s="31"/>
      <c r="AF12" s="235"/>
      <c r="AG12" s="270"/>
      <c r="AH12" s="236"/>
      <c r="AI12" s="179"/>
      <c r="AJ12" s="716"/>
      <c r="AK12" s="15"/>
      <c r="AL12" s="15"/>
    </row>
    <row r="13" spans="1:38" ht="135" x14ac:dyDescent="0.3">
      <c r="A13" s="230"/>
      <c r="B13" s="290"/>
      <c r="C13" s="345"/>
      <c r="D13" s="291"/>
      <c r="E13" s="19" t="s">
        <v>6440</v>
      </c>
      <c r="F13" s="114" t="s">
        <v>696</v>
      </c>
      <c r="G13" s="115"/>
      <c r="H13" s="116"/>
      <c r="I13" s="114" t="s">
        <v>697</v>
      </c>
      <c r="J13" s="116"/>
      <c r="K13" s="460"/>
      <c r="L13" s="461"/>
      <c r="M13" s="349">
        <v>485</v>
      </c>
      <c r="N13" s="423"/>
      <c r="O13" s="350"/>
      <c r="P13" s="460"/>
      <c r="Q13" s="461"/>
      <c r="R13" s="349">
        <v>70</v>
      </c>
      <c r="S13" s="350"/>
      <c r="T13" s="460"/>
      <c r="U13" s="461"/>
      <c r="V13" s="351" t="s">
        <v>701</v>
      </c>
      <c r="W13" s="352"/>
      <c r="X13" s="334">
        <v>898</v>
      </c>
      <c r="Y13" s="335"/>
      <c r="Z13" s="336"/>
      <c r="AA13" s="337" t="s">
        <v>674</v>
      </c>
      <c r="AB13" s="338"/>
      <c r="AC13" s="225"/>
      <c r="AD13" s="226"/>
      <c r="AE13" s="31"/>
      <c r="AF13" s="237"/>
      <c r="AG13" s="306"/>
      <c r="AH13" s="238"/>
      <c r="AI13" s="230"/>
      <c r="AJ13" s="723"/>
      <c r="AK13" s="15"/>
      <c r="AL13" s="15"/>
    </row>
    <row r="14" spans="1:38" ht="90" x14ac:dyDescent="0.3">
      <c r="A14" s="178"/>
      <c r="B14" s="303" t="s">
        <v>702</v>
      </c>
      <c r="C14" s="344"/>
      <c r="D14" s="304"/>
      <c r="E14" s="19" t="s">
        <v>703</v>
      </c>
      <c r="F14" s="88" t="s">
        <v>704</v>
      </c>
      <c r="G14" s="153"/>
      <c r="H14" s="89"/>
      <c r="I14" s="88" t="s">
        <v>705</v>
      </c>
      <c r="J14" s="89"/>
      <c r="K14" s="164"/>
      <c r="L14" s="166"/>
      <c r="M14" s="387">
        <v>363</v>
      </c>
      <c r="N14" s="495"/>
      <c r="O14" s="388"/>
      <c r="P14" s="387">
        <v>6</v>
      </c>
      <c r="Q14" s="388"/>
      <c r="R14" s="387">
        <v>55</v>
      </c>
      <c r="S14" s="388"/>
      <c r="T14" s="387">
        <v>12</v>
      </c>
      <c r="U14" s="388"/>
      <c r="V14" s="387">
        <v>436</v>
      </c>
      <c r="W14" s="388"/>
      <c r="X14" s="252">
        <v>798</v>
      </c>
      <c r="Y14" s="253"/>
      <c r="Z14" s="254"/>
      <c r="AA14" s="192" t="s">
        <v>706</v>
      </c>
      <c r="AB14" s="193"/>
      <c r="AC14" s="223" t="s">
        <v>675</v>
      </c>
      <c r="AD14" s="224"/>
      <c r="AE14" s="24" t="s">
        <v>709</v>
      </c>
      <c r="AF14" s="171" t="s">
        <v>711</v>
      </c>
      <c r="AG14" s="407"/>
      <c r="AH14" s="172"/>
      <c r="AI14" s="178"/>
      <c r="AJ14" s="178"/>
      <c r="AK14" s="15"/>
      <c r="AL14" s="15"/>
    </row>
    <row r="15" spans="1:38" ht="120" x14ac:dyDescent="0.3">
      <c r="A15" s="179"/>
      <c r="B15" s="292"/>
      <c r="C15" s="314"/>
      <c r="D15" s="293"/>
      <c r="E15" s="28" t="s">
        <v>713</v>
      </c>
      <c r="F15" s="117"/>
      <c r="G15" s="154"/>
      <c r="H15" s="118"/>
      <c r="I15" s="117"/>
      <c r="J15" s="118"/>
      <c r="K15" s="214"/>
      <c r="L15" s="216"/>
      <c r="M15" s="389"/>
      <c r="N15" s="496"/>
      <c r="O15" s="390"/>
      <c r="P15" s="389"/>
      <c r="Q15" s="390"/>
      <c r="R15" s="389"/>
      <c r="S15" s="390"/>
      <c r="T15" s="389"/>
      <c r="U15" s="390"/>
      <c r="V15" s="389"/>
      <c r="W15" s="390"/>
      <c r="X15" s="255"/>
      <c r="Y15" s="256"/>
      <c r="Z15" s="257"/>
      <c r="AA15" s="194"/>
      <c r="AB15" s="195"/>
      <c r="AC15" s="239" t="s">
        <v>707</v>
      </c>
      <c r="AD15" s="240"/>
      <c r="AE15" s="31" t="s">
        <v>710</v>
      </c>
      <c r="AF15" s="162" t="s">
        <v>712</v>
      </c>
      <c r="AG15" s="170"/>
      <c r="AH15" s="163"/>
      <c r="AI15" s="179"/>
      <c r="AJ15" s="179"/>
      <c r="AK15" s="15"/>
      <c r="AL15" s="15"/>
    </row>
    <row r="16" spans="1:38" ht="90" x14ac:dyDescent="0.3">
      <c r="A16" s="179"/>
      <c r="B16" s="292"/>
      <c r="C16" s="314"/>
      <c r="D16" s="293"/>
      <c r="E16" s="19" t="s">
        <v>714</v>
      </c>
      <c r="F16" s="88" t="s">
        <v>715</v>
      </c>
      <c r="G16" s="153"/>
      <c r="H16" s="89"/>
      <c r="I16" s="88" t="s">
        <v>716</v>
      </c>
      <c r="J16" s="89"/>
      <c r="K16" s="164"/>
      <c r="L16" s="166"/>
      <c r="M16" s="387">
        <v>486</v>
      </c>
      <c r="N16" s="495"/>
      <c r="O16" s="388"/>
      <c r="P16" s="387">
        <v>8</v>
      </c>
      <c r="Q16" s="388"/>
      <c r="R16" s="387">
        <v>70</v>
      </c>
      <c r="S16" s="388"/>
      <c r="T16" s="387">
        <v>14</v>
      </c>
      <c r="U16" s="388"/>
      <c r="V16" s="387">
        <v>578</v>
      </c>
      <c r="W16" s="388"/>
      <c r="X16" s="252">
        <v>898</v>
      </c>
      <c r="Y16" s="253"/>
      <c r="Z16" s="254"/>
      <c r="AA16" s="192" t="s">
        <v>717</v>
      </c>
      <c r="AB16" s="193"/>
      <c r="AC16" s="239" t="s">
        <v>677</v>
      </c>
      <c r="AD16" s="240"/>
      <c r="AE16" s="31"/>
      <c r="AF16" s="162"/>
      <c r="AG16" s="170"/>
      <c r="AH16" s="163"/>
      <c r="AI16" s="179"/>
      <c r="AJ16" s="179"/>
      <c r="AK16" s="15"/>
      <c r="AL16" s="15"/>
    </row>
    <row r="17" spans="1:38" ht="75" x14ac:dyDescent="0.3">
      <c r="A17" s="179"/>
      <c r="B17" s="292"/>
      <c r="C17" s="314"/>
      <c r="D17" s="293"/>
      <c r="E17" s="28" t="s">
        <v>718</v>
      </c>
      <c r="F17" s="117"/>
      <c r="G17" s="154"/>
      <c r="H17" s="118"/>
      <c r="I17" s="117"/>
      <c r="J17" s="118"/>
      <c r="K17" s="214"/>
      <c r="L17" s="216"/>
      <c r="M17" s="389"/>
      <c r="N17" s="496"/>
      <c r="O17" s="390"/>
      <c r="P17" s="389"/>
      <c r="Q17" s="390"/>
      <c r="R17" s="389"/>
      <c r="S17" s="390"/>
      <c r="T17" s="389"/>
      <c r="U17" s="390"/>
      <c r="V17" s="389"/>
      <c r="W17" s="390"/>
      <c r="X17" s="255"/>
      <c r="Y17" s="256"/>
      <c r="Z17" s="257"/>
      <c r="AA17" s="194"/>
      <c r="AB17" s="195"/>
      <c r="AC17" s="239" t="s">
        <v>678</v>
      </c>
      <c r="AD17" s="240"/>
      <c r="AE17" s="31"/>
      <c r="AF17" s="162"/>
      <c r="AG17" s="170"/>
      <c r="AH17" s="163"/>
      <c r="AI17" s="179"/>
      <c r="AJ17" s="179"/>
      <c r="AK17" s="15"/>
      <c r="AL17" s="15"/>
    </row>
    <row r="18" spans="1:38" ht="90" x14ac:dyDescent="0.3">
      <c r="A18" s="179"/>
      <c r="B18" s="292"/>
      <c r="C18" s="314"/>
      <c r="D18" s="293"/>
      <c r="E18" s="28" t="s">
        <v>719</v>
      </c>
      <c r="F18" s="88" t="s">
        <v>720</v>
      </c>
      <c r="G18" s="153"/>
      <c r="H18" s="89"/>
      <c r="I18" s="88" t="s">
        <v>721</v>
      </c>
      <c r="J18" s="89"/>
      <c r="K18" s="164"/>
      <c r="L18" s="166"/>
      <c r="M18" s="387">
        <v>506</v>
      </c>
      <c r="N18" s="495"/>
      <c r="O18" s="388"/>
      <c r="P18" s="387">
        <v>10</v>
      </c>
      <c r="Q18" s="388"/>
      <c r="R18" s="387">
        <v>85</v>
      </c>
      <c r="S18" s="388"/>
      <c r="T18" s="387">
        <v>16</v>
      </c>
      <c r="U18" s="388"/>
      <c r="V18" s="387">
        <v>617</v>
      </c>
      <c r="W18" s="388"/>
      <c r="X18" s="252">
        <v>1098</v>
      </c>
      <c r="Y18" s="253"/>
      <c r="Z18" s="254"/>
      <c r="AA18" s="192" t="s">
        <v>722</v>
      </c>
      <c r="AB18" s="193"/>
      <c r="AC18" s="239" t="s">
        <v>708</v>
      </c>
      <c r="AD18" s="240"/>
      <c r="AE18" s="31"/>
      <c r="AF18" s="162"/>
      <c r="AG18" s="170"/>
      <c r="AH18" s="163"/>
      <c r="AI18" s="179"/>
      <c r="AJ18" s="179"/>
      <c r="AK18" s="15"/>
      <c r="AL18" s="15"/>
    </row>
    <row r="19" spans="1:38" ht="75" x14ac:dyDescent="0.3">
      <c r="A19" s="230"/>
      <c r="B19" s="290"/>
      <c r="C19" s="345"/>
      <c r="D19" s="291"/>
      <c r="E19" s="28" t="s">
        <v>723</v>
      </c>
      <c r="F19" s="117"/>
      <c r="G19" s="154"/>
      <c r="H19" s="118"/>
      <c r="I19" s="117"/>
      <c r="J19" s="118"/>
      <c r="K19" s="214"/>
      <c r="L19" s="216"/>
      <c r="M19" s="389"/>
      <c r="N19" s="496"/>
      <c r="O19" s="390"/>
      <c r="P19" s="389"/>
      <c r="Q19" s="390"/>
      <c r="R19" s="389"/>
      <c r="S19" s="390"/>
      <c r="T19" s="389"/>
      <c r="U19" s="390"/>
      <c r="V19" s="389"/>
      <c r="W19" s="390"/>
      <c r="X19" s="255"/>
      <c r="Y19" s="256"/>
      <c r="Z19" s="257"/>
      <c r="AA19" s="194"/>
      <c r="AB19" s="195"/>
      <c r="AC19" s="225"/>
      <c r="AD19" s="226"/>
      <c r="AE19" s="31"/>
      <c r="AF19" s="212"/>
      <c r="AG19" s="408"/>
      <c r="AH19" s="213"/>
      <c r="AI19" s="230"/>
      <c r="AJ19" s="230"/>
      <c r="AK19" s="15"/>
      <c r="AL19" s="15"/>
    </row>
    <row r="20" spans="1:38" ht="90" x14ac:dyDescent="0.25">
      <c r="A20" s="178"/>
      <c r="B20" s="303" t="s">
        <v>724</v>
      </c>
      <c r="C20" s="344"/>
      <c r="D20" s="304"/>
      <c r="E20" s="28" t="s">
        <v>725</v>
      </c>
      <c r="F20" s="171" t="s">
        <v>726</v>
      </c>
      <c r="G20" s="407"/>
      <c r="H20" s="172"/>
      <c r="I20" s="171" t="s">
        <v>727</v>
      </c>
      <c r="J20" s="172"/>
      <c r="K20" s="164"/>
      <c r="L20" s="166"/>
      <c r="M20" s="677" t="s">
        <v>728</v>
      </c>
      <c r="N20" s="678"/>
      <c r="O20" s="679"/>
      <c r="P20" s="171" t="s">
        <v>729</v>
      </c>
      <c r="Q20" s="172"/>
      <c r="R20" s="387">
        <v>55</v>
      </c>
      <c r="S20" s="388"/>
      <c r="T20" s="387">
        <v>6</v>
      </c>
      <c r="U20" s="388"/>
      <c r="V20" s="387">
        <v>287</v>
      </c>
      <c r="W20" s="388"/>
      <c r="X20" s="252">
        <v>480</v>
      </c>
      <c r="Y20" s="253"/>
      <c r="Z20" s="254"/>
      <c r="AA20" s="192" t="s">
        <v>688</v>
      </c>
      <c r="AB20" s="193"/>
      <c r="AC20" s="409" t="s">
        <v>675</v>
      </c>
      <c r="AD20" s="411"/>
      <c r="AE20" s="35" t="s">
        <v>732</v>
      </c>
      <c r="AF20" s="303" t="s">
        <v>734</v>
      </c>
      <c r="AG20" s="344"/>
      <c r="AH20" s="304"/>
      <c r="AI20" s="178"/>
      <c r="AJ20" s="178"/>
      <c r="AK20" s="15"/>
      <c r="AL20" s="15"/>
    </row>
    <row r="21" spans="1:38" ht="90" x14ac:dyDescent="0.25">
      <c r="A21" s="179"/>
      <c r="B21" s="292"/>
      <c r="C21" s="314"/>
      <c r="D21" s="293"/>
      <c r="E21" s="28" t="s">
        <v>737</v>
      </c>
      <c r="F21" s="162"/>
      <c r="G21" s="170"/>
      <c r="H21" s="163"/>
      <c r="I21" s="162"/>
      <c r="J21" s="163"/>
      <c r="K21" s="167"/>
      <c r="L21" s="169"/>
      <c r="M21" s="564"/>
      <c r="N21" s="565"/>
      <c r="O21" s="566"/>
      <c r="P21" s="162"/>
      <c r="Q21" s="163"/>
      <c r="R21" s="506"/>
      <c r="S21" s="507"/>
      <c r="T21" s="506"/>
      <c r="U21" s="507"/>
      <c r="V21" s="506"/>
      <c r="W21" s="507"/>
      <c r="X21" s="311"/>
      <c r="Y21" s="312"/>
      <c r="Z21" s="313"/>
      <c r="AA21" s="272"/>
      <c r="AB21" s="273"/>
      <c r="AC21" s="401" t="s">
        <v>730</v>
      </c>
      <c r="AD21" s="403"/>
      <c r="AE21" s="36" t="s">
        <v>681</v>
      </c>
      <c r="AF21" s="292" t="s">
        <v>735</v>
      </c>
      <c r="AG21" s="314"/>
      <c r="AH21" s="293"/>
      <c r="AI21" s="179"/>
      <c r="AJ21" s="179"/>
      <c r="AK21" s="15"/>
      <c r="AL21" s="15"/>
    </row>
    <row r="22" spans="1:38" ht="90" x14ac:dyDescent="0.25">
      <c r="A22" s="179"/>
      <c r="B22" s="292"/>
      <c r="C22" s="314"/>
      <c r="D22" s="293"/>
      <c r="E22" s="28" t="s">
        <v>738</v>
      </c>
      <c r="F22" s="212"/>
      <c r="G22" s="408"/>
      <c r="H22" s="213"/>
      <c r="I22" s="212"/>
      <c r="J22" s="213"/>
      <c r="K22" s="214"/>
      <c r="L22" s="216"/>
      <c r="M22" s="680"/>
      <c r="N22" s="681"/>
      <c r="O22" s="682"/>
      <c r="P22" s="212"/>
      <c r="Q22" s="213"/>
      <c r="R22" s="389"/>
      <c r="S22" s="390"/>
      <c r="T22" s="389"/>
      <c r="U22" s="390"/>
      <c r="V22" s="389"/>
      <c r="W22" s="390"/>
      <c r="X22" s="255"/>
      <c r="Y22" s="256"/>
      <c r="Z22" s="257"/>
      <c r="AA22" s="194"/>
      <c r="AB22" s="195"/>
      <c r="AC22" s="401" t="s">
        <v>677</v>
      </c>
      <c r="AD22" s="403"/>
      <c r="AE22" s="36" t="s">
        <v>733</v>
      </c>
      <c r="AF22" s="292" t="s">
        <v>736</v>
      </c>
      <c r="AG22" s="314"/>
      <c r="AH22" s="293"/>
      <c r="AI22" s="179"/>
      <c r="AJ22" s="179"/>
      <c r="AK22" s="15"/>
      <c r="AL22" s="15"/>
    </row>
    <row r="23" spans="1:38" ht="90" x14ac:dyDescent="0.25">
      <c r="A23" s="179"/>
      <c r="B23" s="292"/>
      <c r="C23" s="314"/>
      <c r="D23" s="293"/>
      <c r="E23" s="19" t="s">
        <v>739</v>
      </c>
      <c r="F23" s="171" t="s">
        <v>740</v>
      </c>
      <c r="G23" s="407"/>
      <c r="H23" s="172"/>
      <c r="I23" s="171" t="s">
        <v>741</v>
      </c>
      <c r="J23" s="172"/>
      <c r="K23" s="164"/>
      <c r="L23" s="166"/>
      <c r="M23" s="677" t="s">
        <v>742</v>
      </c>
      <c r="N23" s="678"/>
      <c r="O23" s="679"/>
      <c r="P23" s="387">
        <v>11</v>
      </c>
      <c r="Q23" s="388"/>
      <c r="R23" s="387">
        <v>60</v>
      </c>
      <c r="S23" s="388"/>
      <c r="T23" s="387">
        <v>7</v>
      </c>
      <c r="U23" s="388"/>
      <c r="V23" s="171" t="s">
        <v>743</v>
      </c>
      <c r="W23" s="172"/>
      <c r="X23" s="252">
        <v>560</v>
      </c>
      <c r="Y23" s="253"/>
      <c r="Z23" s="254"/>
      <c r="AA23" s="192" t="s">
        <v>722</v>
      </c>
      <c r="AB23" s="193"/>
      <c r="AC23" s="401" t="s">
        <v>678</v>
      </c>
      <c r="AD23" s="403"/>
      <c r="AE23" s="36"/>
      <c r="AF23" s="292"/>
      <c r="AG23" s="314"/>
      <c r="AH23" s="293"/>
      <c r="AI23" s="179"/>
      <c r="AJ23" s="179"/>
      <c r="AK23" s="15"/>
      <c r="AL23" s="15"/>
    </row>
    <row r="24" spans="1:38" ht="90" x14ac:dyDescent="0.25">
      <c r="A24" s="179"/>
      <c r="B24" s="292"/>
      <c r="C24" s="314"/>
      <c r="D24" s="293"/>
      <c r="E24" s="28" t="s">
        <v>744</v>
      </c>
      <c r="F24" s="162"/>
      <c r="G24" s="170"/>
      <c r="H24" s="163"/>
      <c r="I24" s="162"/>
      <c r="J24" s="163"/>
      <c r="K24" s="167"/>
      <c r="L24" s="169"/>
      <c r="M24" s="564"/>
      <c r="N24" s="565"/>
      <c r="O24" s="566"/>
      <c r="P24" s="506"/>
      <c r="Q24" s="507"/>
      <c r="R24" s="506"/>
      <c r="S24" s="507"/>
      <c r="T24" s="506"/>
      <c r="U24" s="507"/>
      <c r="V24" s="162"/>
      <c r="W24" s="163"/>
      <c r="X24" s="311"/>
      <c r="Y24" s="312"/>
      <c r="Z24" s="313"/>
      <c r="AA24" s="272"/>
      <c r="AB24" s="273"/>
      <c r="AC24" s="401" t="s">
        <v>731</v>
      </c>
      <c r="AD24" s="403"/>
      <c r="AE24" s="36"/>
      <c r="AF24" s="292"/>
      <c r="AG24" s="314"/>
      <c r="AH24" s="293"/>
      <c r="AI24" s="179"/>
      <c r="AJ24" s="179"/>
      <c r="AK24" s="15"/>
      <c r="AL24" s="15"/>
    </row>
    <row r="25" spans="1:38" ht="90" x14ac:dyDescent="0.25">
      <c r="A25" s="179"/>
      <c r="B25" s="292"/>
      <c r="C25" s="314"/>
      <c r="D25" s="293"/>
      <c r="E25" s="28" t="s">
        <v>745</v>
      </c>
      <c r="F25" s="212"/>
      <c r="G25" s="408"/>
      <c r="H25" s="213"/>
      <c r="I25" s="212"/>
      <c r="J25" s="213"/>
      <c r="K25" s="214"/>
      <c r="L25" s="216"/>
      <c r="M25" s="680"/>
      <c r="N25" s="681"/>
      <c r="O25" s="682"/>
      <c r="P25" s="389"/>
      <c r="Q25" s="390"/>
      <c r="R25" s="389"/>
      <c r="S25" s="390"/>
      <c r="T25" s="389"/>
      <c r="U25" s="390"/>
      <c r="V25" s="212"/>
      <c r="W25" s="213"/>
      <c r="X25" s="255"/>
      <c r="Y25" s="256"/>
      <c r="Z25" s="257"/>
      <c r="AA25" s="194"/>
      <c r="AB25" s="195"/>
      <c r="AC25" s="401"/>
      <c r="AD25" s="403"/>
      <c r="AE25" s="36"/>
      <c r="AF25" s="292"/>
      <c r="AG25" s="314"/>
      <c r="AH25" s="293"/>
      <c r="AI25" s="179"/>
      <c r="AJ25" s="179"/>
      <c r="AK25" s="15"/>
      <c r="AL25" s="15"/>
    </row>
    <row r="26" spans="1:38" ht="90" x14ac:dyDescent="0.25">
      <c r="A26" s="179"/>
      <c r="B26" s="292"/>
      <c r="C26" s="314"/>
      <c r="D26" s="293"/>
      <c r="E26" s="28" t="s">
        <v>746</v>
      </c>
      <c r="F26" s="171" t="s">
        <v>747</v>
      </c>
      <c r="G26" s="407"/>
      <c r="H26" s="172"/>
      <c r="I26" s="171" t="s">
        <v>748</v>
      </c>
      <c r="J26" s="172"/>
      <c r="K26" s="164"/>
      <c r="L26" s="166"/>
      <c r="M26" s="677" t="s">
        <v>750</v>
      </c>
      <c r="N26" s="678"/>
      <c r="O26" s="679"/>
      <c r="P26" s="387">
        <v>14</v>
      </c>
      <c r="Q26" s="388"/>
      <c r="R26" s="387">
        <v>65</v>
      </c>
      <c r="S26" s="388"/>
      <c r="T26" s="387">
        <v>8</v>
      </c>
      <c r="U26" s="388"/>
      <c r="V26" s="171" t="s">
        <v>751</v>
      </c>
      <c r="W26" s="172"/>
      <c r="X26" s="252">
        <v>618</v>
      </c>
      <c r="Y26" s="253"/>
      <c r="Z26" s="254"/>
      <c r="AA26" s="192" t="s">
        <v>722</v>
      </c>
      <c r="AB26" s="193"/>
      <c r="AC26" s="401"/>
      <c r="AD26" s="403"/>
      <c r="AE26" s="36"/>
      <c r="AF26" s="292"/>
      <c r="AG26" s="314"/>
      <c r="AH26" s="293"/>
      <c r="AI26" s="179"/>
      <c r="AJ26" s="179"/>
      <c r="AK26" s="15"/>
      <c r="AL26" s="15"/>
    </row>
    <row r="27" spans="1:38" ht="90" x14ac:dyDescent="0.25">
      <c r="A27" s="179"/>
      <c r="B27" s="292"/>
      <c r="C27" s="314"/>
      <c r="D27" s="293"/>
      <c r="E27" s="28" t="s">
        <v>752</v>
      </c>
      <c r="F27" s="162"/>
      <c r="G27" s="170"/>
      <c r="H27" s="163"/>
      <c r="I27" s="162" t="s">
        <v>749</v>
      </c>
      <c r="J27" s="163"/>
      <c r="K27" s="167"/>
      <c r="L27" s="169"/>
      <c r="M27" s="564"/>
      <c r="N27" s="565"/>
      <c r="O27" s="566"/>
      <c r="P27" s="506"/>
      <c r="Q27" s="507"/>
      <c r="R27" s="506"/>
      <c r="S27" s="507"/>
      <c r="T27" s="506"/>
      <c r="U27" s="507"/>
      <c r="V27" s="162"/>
      <c r="W27" s="163"/>
      <c r="X27" s="311"/>
      <c r="Y27" s="312"/>
      <c r="Z27" s="313"/>
      <c r="AA27" s="272"/>
      <c r="AB27" s="273"/>
      <c r="AC27" s="401"/>
      <c r="AD27" s="403"/>
      <c r="AE27" s="36"/>
      <c r="AF27" s="292"/>
      <c r="AG27" s="314"/>
      <c r="AH27" s="293"/>
      <c r="AI27" s="179"/>
      <c r="AJ27" s="179"/>
      <c r="AK27" s="15"/>
      <c r="AL27" s="15"/>
    </row>
    <row r="28" spans="1:38" ht="90" x14ac:dyDescent="0.25">
      <c r="A28" s="179"/>
      <c r="B28" s="292"/>
      <c r="C28" s="314"/>
      <c r="D28" s="293"/>
      <c r="E28" s="28" t="s">
        <v>753</v>
      </c>
      <c r="F28" s="212"/>
      <c r="G28" s="408"/>
      <c r="H28" s="213"/>
      <c r="I28" s="212"/>
      <c r="J28" s="213"/>
      <c r="K28" s="214"/>
      <c r="L28" s="216"/>
      <c r="M28" s="680"/>
      <c r="N28" s="681"/>
      <c r="O28" s="682"/>
      <c r="P28" s="389"/>
      <c r="Q28" s="390"/>
      <c r="R28" s="389"/>
      <c r="S28" s="390"/>
      <c r="T28" s="389"/>
      <c r="U28" s="390"/>
      <c r="V28" s="212"/>
      <c r="W28" s="213"/>
      <c r="X28" s="255"/>
      <c r="Y28" s="256"/>
      <c r="Z28" s="257"/>
      <c r="AA28" s="194"/>
      <c r="AB28" s="195"/>
      <c r="AC28" s="401"/>
      <c r="AD28" s="403"/>
      <c r="AE28" s="36"/>
      <c r="AF28" s="292"/>
      <c r="AG28" s="314"/>
      <c r="AH28" s="293"/>
      <c r="AI28" s="179"/>
      <c r="AJ28" s="179"/>
      <c r="AK28" s="15"/>
      <c r="AL28" s="15"/>
    </row>
    <row r="29" spans="1:38" ht="165" x14ac:dyDescent="0.25">
      <c r="A29" s="179"/>
      <c r="B29" s="292"/>
      <c r="C29" s="314"/>
      <c r="D29" s="293"/>
      <c r="E29" s="28" t="s">
        <v>754</v>
      </c>
      <c r="F29" s="171" t="s">
        <v>696</v>
      </c>
      <c r="G29" s="407"/>
      <c r="H29" s="172"/>
      <c r="I29" s="171" t="s">
        <v>697</v>
      </c>
      <c r="J29" s="172"/>
      <c r="K29" s="164"/>
      <c r="L29" s="166"/>
      <c r="M29" s="677" t="s">
        <v>755</v>
      </c>
      <c r="N29" s="678"/>
      <c r="O29" s="679"/>
      <c r="P29" s="171" t="s">
        <v>756</v>
      </c>
      <c r="Q29" s="172"/>
      <c r="R29" s="387">
        <v>70</v>
      </c>
      <c r="S29" s="388"/>
      <c r="T29" s="387">
        <v>12</v>
      </c>
      <c r="U29" s="388"/>
      <c r="V29" s="171" t="s">
        <v>757</v>
      </c>
      <c r="W29" s="172"/>
      <c r="X29" s="252">
        <v>638</v>
      </c>
      <c r="Y29" s="253"/>
      <c r="Z29" s="254"/>
      <c r="AA29" s="192" t="s">
        <v>758</v>
      </c>
      <c r="AB29" s="193"/>
      <c r="AC29" s="401"/>
      <c r="AD29" s="403"/>
      <c r="AE29" s="36"/>
      <c r="AF29" s="292"/>
      <c r="AG29" s="314"/>
      <c r="AH29" s="293"/>
      <c r="AI29" s="179"/>
      <c r="AJ29" s="179"/>
      <c r="AK29" s="15"/>
      <c r="AL29" s="15"/>
    </row>
    <row r="30" spans="1:38" ht="165" x14ac:dyDescent="0.25">
      <c r="A30" s="179"/>
      <c r="B30" s="292"/>
      <c r="C30" s="314"/>
      <c r="D30" s="293"/>
      <c r="E30" s="19" t="s">
        <v>759</v>
      </c>
      <c r="F30" s="162"/>
      <c r="G30" s="170"/>
      <c r="H30" s="163"/>
      <c r="I30" s="162"/>
      <c r="J30" s="163"/>
      <c r="K30" s="167"/>
      <c r="L30" s="169"/>
      <c r="M30" s="564"/>
      <c r="N30" s="565"/>
      <c r="O30" s="566"/>
      <c r="P30" s="162"/>
      <c r="Q30" s="163"/>
      <c r="R30" s="506"/>
      <c r="S30" s="507"/>
      <c r="T30" s="506"/>
      <c r="U30" s="507"/>
      <c r="V30" s="162"/>
      <c r="W30" s="163"/>
      <c r="X30" s="311"/>
      <c r="Y30" s="312"/>
      <c r="Z30" s="313"/>
      <c r="AA30" s="272"/>
      <c r="AB30" s="273"/>
      <c r="AC30" s="401"/>
      <c r="AD30" s="403"/>
      <c r="AE30" s="36"/>
      <c r="AF30" s="292"/>
      <c r="AG30" s="314"/>
      <c r="AH30" s="293"/>
      <c r="AI30" s="179"/>
      <c r="AJ30" s="179"/>
      <c r="AK30" s="15"/>
      <c r="AL30" s="15"/>
    </row>
    <row r="31" spans="1:38" ht="165" x14ac:dyDescent="0.25">
      <c r="A31" s="179"/>
      <c r="B31" s="292"/>
      <c r="C31" s="314"/>
      <c r="D31" s="293"/>
      <c r="E31" s="28" t="s">
        <v>760</v>
      </c>
      <c r="F31" s="212"/>
      <c r="G31" s="408"/>
      <c r="H31" s="213"/>
      <c r="I31" s="212"/>
      <c r="J31" s="213"/>
      <c r="K31" s="214"/>
      <c r="L31" s="216"/>
      <c r="M31" s="680"/>
      <c r="N31" s="681"/>
      <c r="O31" s="682"/>
      <c r="P31" s="212"/>
      <c r="Q31" s="213"/>
      <c r="R31" s="389"/>
      <c r="S31" s="390"/>
      <c r="T31" s="389"/>
      <c r="U31" s="390"/>
      <c r="V31" s="212"/>
      <c r="W31" s="213"/>
      <c r="X31" s="255"/>
      <c r="Y31" s="256"/>
      <c r="Z31" s="257"/>
      <c r="AA31" s="194"/>
      <c r="AB31" s="195"/>
      <c r="AC31" s="401"/>
      <c r="AD31" s="403"/>
      <c r="AE31" s="36"/>
      <c r="AF31" s="292"/>
      <c r="AG31" s="314"/>
      <c r="AH31" s="293"/>
      <c r="AI31" s="179"/>
      <c r="AJ31" s="179"/>
      <c r="AK31" s="15"/>
      <c r="AL31" s="15"/>
    </row>
    <row r="32" spans="1:38" ht="165" x14ac:dyDescent="0.25">
      <c r="A32" s="179"/>
      <c r="B32" s="292"/>
      <c r="C32" s="314"/>
      <c r="D32" s="293"/>
      <c r="E32" s="28" t="s">
        <v>761</v>
      </c>
      <c r="F32" s="171" t="s">
        <v>696</v>
      </c>
      <c r="G32" s="407"/>
      <c r="H32" s="172"/>
      <c r="I32" s="171" t="s">
        <v>697</v>
      </c>
      <c r="J32" s="172"/>
      <c r="K32" s="164"/>
      <c r="L32" s="166"/>
      <c r="M32" s="677" t="s">
        <v>755</v>
      </c>
      <c r="N32" s="678"/>
      <c r="O32" s="679"/>
      <c r="P32" s="387">
        <v>18</v>
      </c>
      <c r="Q32" s="388"/>
      <c r="R32" s="387">
        <v>75</v>
      </c>
      <c r="S32" s="388"/>
      <c r="T32" s="387">
        <v>13</v>
      </c>
      <c r="U32" s="388"/>
      <c r="V32" s="171" t="s">
        <v>762</v>
      </c>
      <c r="W32" s="172"/>
      <c r="X32" s="252">
        <v>718</v>
      </c>
      <c r="Y32" s="253"/>
      <c r="Z32" s="254"/>
      <c r="AA32" s="192" t="s">
        <v>688</v>
      </c>
      <c r="AB32" s="193"/>
      <c r="AC32" s="401"/>
      <c r="AD32" s="403"/>
      <c r="AE32" s="36"/>
      <c r="AF32" s="292"/>
      <c r="AG32" s="314"/>
      <c r="AH32" s="293"/>
      <c r="AI32" s="179"/>
      <c r="AJ32" s="179"/>
      <c r="AK32" s="15"/>
      <c r="AL32" s="15"/>
    </row>
    <row r="33" spans="1:38" ht="165" x14ac:dyDescent="0.25">
      <c r="A33" s="179"/>
      <c r="B33" s="292"/>
      <c r="C33" s="314"/>
      <c r="D33" s="293"/>
      <c r="E33" s="28" t="s">
        <v>763</v>
      </c>
      <c r="F33" s="162"/>
      <c r="G33" s="170"/>
      <c r="H33" s="163"/>
      <c r="I33" s="162"/>
      <c r="J33" s="163"/>
      <c r="K33" s="167"/>
      <c r="L33" s="169"/>
      <c r="M33" s="564"/>
      <c r="N33" s="565"/>
      <c r="O33" s="566"/>
      <c r="P33" s="506"/>
      <c r="Q33" s="507"/>
      <c r="R33" s="506"/>
      <c r="S33" s="507"/>
      <c r="T33" s="506"/>
      <c r="U33" s="507"/>
      <c r="V33" s="162"/>
      <c r="W33" s="163"/>
      <c r="X33" s="311"/>
      <c r="Y33" s="312"/>
      <c r="Z33" s="313"/>
      <c r="AA33" s="272"/>
      <c r="AB33" s="273"/>
      <c r="AC33" s="401"/>
      <c r="AD33" s="403"/>
      <c r="AE33" s="36"/>
      <c r="AF33" s="292"/>
      <c r="AG33" s="314"/>
      <c r="AH33" s="293"/>
      <c r="AI33" s="179"/>
      <c r="AJ33" s="179"/>
      <c r="AK33" s="15"/>
      <c r="AL33" s="15"/>
    </row>
    <row r="34" spans="1:38" ht="165" x14ac:dyDescent="0.25">
      <c r="A34" s="179"/>
      <c r="B34" s="292"/>
      <c r="C34" s="314"/>
      <c r="D34" s="293"/>
      <c r="E34" s="28" t="s">
        <v>764</v>
      </c>
      <c r="F34" s="212"/>
      <c r="G34" s="408"/>
      <c r="H34" s="213"/>
      <c r="I34" s="212"/>
      <c r="J34" s="213"/>
      <c r="K34" s="214"/>
      <c r="L34" s="216"/>
      <c r="M34" s="680"/>
      <c r="N34" s="681"/>
      <c r="O34" s="682"/>
      <c r="P34" s="389"/>
      <c r="Q34" s="390"/>
      <c r="R34" s="389"/>
      <c r="S34" s="390"/>
      <c r="T34" s="389"/>
      <c r="U34" s="390"/>
      <c r="V34" s="212"/>
      <c r="W34" s="213"/>
      <c r="X34" s="255"/>
      <c r="Y34" s="256"/>
      <c r="Z34" s="257"/>
      <c r="AA34" s="194"/>
      <c r="AB34" s="195"/>
      <c r="AC34" s="401"/>
      <c r="AD34" s="403"/>
      <c r="AE34" s="36"/>
      <c r="AF34" s="292"/>
      <c r="AG34" s="314"/>
      <c r="AH34" s="293"/>
      <c r="AI34" s="179"/>
      <c r="AJ34" s="179"/>
      <c r="AK34" s="15"/>
      <c r="AL34" s="15"/>
    </row>
    <row r="35" spans="1:38" ht="165" x14ac:dyDescent="0.25">
      <c r="A35" s="179"/>
      <c r="B35" s="292"/>
      <c r="C35" s="314"/>
      <c r="D35" s="293"/>
      <c r="E35" s="28" t="s">
        <v>765</v>
      </c>
      <c r="F35" s="171" t="s">
        <v>696</v>
      </c>
      <c r="G35" s="407"/>
      <c r="H35" s="172"/>
      <c r="I35" s="171" t="s">
        <v>697</v>
      </c>
      <c r="J35" s="172"/>
      <c r="K35" s="164"/>
      <c r="L35" s="166"/>
      <c r="M35" s="677" t="s">
        <v>766</v>
      </c>
      <c r="N35" s="678"/>
      <c r="O35" s="679"/>
      <c r="P35" s="387">
        <v>21</v>
      </c>
      <c r="Q35" s="388"/>
      <c r="R35" s="387">
        <v>80</v>
      </c>
      <c r="S35" s="388"/>
      <c r="T35" s="387">
        <v>14</v>
      </c>
      <c r="U35" s="388"/>
      <c r="V35" s="171" t="s">
        <v>767</v>
      </c>
      <c r="W35" s="172"/>
      <c r="X35" s="252">
        <v>775</v>
      </c>
      <c r="Y35" s="253"/>
      <c r="Z35" s="254"/>
      <c r="AA35" s="192" t="s">
        <v>768</v>
      </c>
      <c r="AB35" s="193"/>
      <c r="AC35" s="401"/>
      <c r="AD35" s="403"/>
      <c r="AE35" s="36"/>
      <c r="AF35" s="292"/>
      <c r="AG35" s="314"/>
      <c r="AH35" s="293"/>
      <c r="AI35" s="179"/>
      <c r="AJ35" s="179"/>
      <c r="AK35" s="15"/>
      <c r="AL35" s="15"/>
    </row>
    <row r="36" spans="1:38" ht="165" x14ac:dyDescent="0.25">
      <c r="A36" s="179"/>
      <c r="B36" s="292"/>
      <c r="C36" s="314"/>
      <c r="D36" s="293"/>
      <c r="E36" s="28" t="s">
        <v>769</v>
      </c>
      <c r="F36" s="162"/>
      <c r="G36" s="170"/>
      <c r="H36" s="163"/>
      <c r="I36" s="162"/>
      <c r="J36" s="163"/>
      <c r="K36" s="167"/>
      <c r="L36" s="169"/>
      <c r="M36" s="564"/>
      <c r="N36" s="565"/>
      <c r="O36" s="566"/>
      <c r="P36" s="506"/>
      <c r="Q36" s="507"/>
      <c r="R36" s="506"/>
      <c r="S36" s="507"/>
      <c r="T36" s="506"/>
      <c r="U36" s="507"/>
      <c r="V36" s="162"/>
      <c r="W36" s="163"/>
      <c r="X36" s="311"/>
      <c r="Y36" s="312"/>
      <c r="Z36" s="313"/>
      <c r="AA36" s="272"/>
      <c r="AB36" s="273"/>
      <c r="AC36" s="401"/>
      <c r="AD36" s="403"/>
      <c r="AE36" s="36"/>
      <c r="AF36" s="292"/>
      <c r="AG36" s="314"/>
      <c r="AH36" s="293"/>
      <c r="AI36" s="179"/>
      <c r="AJ36" s="179"/>
      <c r="AK36" s="15"/>
      <c r="AL36" s="15"/>
    </row>
    <row r="37" spans="1:38" ht="165" x14ac:dyDescent="0.25">
      <c r="A37" s="230"/>
      <c r="B37" s="290"/>
      <c r="C37" s="345"/>
      <c r="D37" s="291"/>
      <c r="E37" s="19" t="s">
        <v>770</v>
      </c>
      <c r="F37" s="212"/>
      <c r="G37" s="408"/>
      <c r="H37" s="213"/>
      <c r="I37" s="212"/>
      <c r="J37" s="213"/>
      <c r="K37" s="214"/>
      <c r="L37" s="216"/>
      <c r="M37" s="680"/>
      <c r="N37" s="681"/>
      <c r="O37" s="682"/>
      <c r="P37" s="389"/>
      <c r="Q37" s="390"/>
      <c r="R37" s="389"/>
      <c r="S37" s="390"/>
      <c r="T37" s="389"/>
      <c r="U37" s="390"/>
      <c r="V37" s="212"/>
      <c r="W37" s="213"/>
      <c r="X37" s="255"/>
      <c r="Y37" s="256"/>
      <c r="Z37" s="257"/>
      <c r="AA37" s="194"/>
      <c r="AB37" s="195"/>
      <c r="AC37" s="404"/>
      <c r="AD37" s="406"/>
      <c r="AE37" s="36"/>
      <c r="AF37" s="290"/>
      <c r="AG37" s="345"/>
      <c r="AH37" s="291"/>
      <c r="AI37" s="230"/>
      <c r="AJ37" s="230"/>
      <c r="AK37" s="15"/>
      <c r="AL37" s="15"/>
    </row>
    <row r="38" spans="1:38" ht="90" x14ac:dyDescent="0.25">
      <c r="A38" s="178"/>
      <c r="B38" s="303" t="s">
        <v>771</v>
      </c>
      <c r="C38" s="344"/>
      <c r="D38" s="304"/>
      <c r="E38" s="28" t="s">
        <v>773</v>
      </c>
      <c r="F38" s="192" t="s">
        <v>774</v>
      </c>
      <c r="G38" s="196"/>
      <c r="H38" s="193"/>
      <c r="I38" s="223" t="s">
        <v>775</v>
      </c>
      <c r="J38" s="224"/>
      <c r="K38" s="171" t="s">
        <v>776</v>
      </c>
      <c r="L38" s="172"/>
      <c r="M38" s="387">
        <v>235</v>
      </c>
      <c r="N38" s="495"/>
      <c r="O38" s="388"/>
      <c r="P38" s="387">
        <v>13</v>
      </c>
      <c r="Q38" s="388"/>
      <c r="R38" s="387">
        <v>45</v>
      </c>
      <c r="S38" s="388"/>
      <c r="T38" s="387">
        <v>15</v>
      </c>
      <c r="U38" s="388"/>
      <c r="V38" s="387">
        <v>308</v>
      </c>
      <c r="W38" s="388"/>
      <c r="X38" s="252">
        <v>539</v>
      </c>
      <c r="Y38" s="253"/>
      <c r="Z38" s="254"/>
      <c r="AA38" s="192" t="s">
        <v>722</v>
      </c>
      <c r="AB38" s="193"/>
      <c r="AC38" s="303" t="s">
        <v>777</v>
      </c>
      <c r="AD38" s="304"/>
      <c r="AE38" s="24" t="s">
        <v>779</v>
      </c>
      <c r="AF38" s="303" t="s">
        <v>781</v>
      </c>
      <c r="AG38" s="344"/>
      <c r="AH38" s="304"/>
      <c r="AI38" s="178"/>
      <c r="AJ38" s="178"/>
      <c r="AK38" s="15"/>
      <c r="AL38" s="15"/>
    </row>
    <row r="39" spans="1:38" ht="120" x14ac:dyDescent="0.25">
      <c r="A39" s="179"/>
      <c r="B39" s="292" t="s">
        <v>772</v>
      </c>
      <c r="C39" s="314"/>
      <c r="D39" s="293"/>
      <c r="E39" s="28" t="s">
        <v>783</v>
      </c>
      <c r="F39" s="194"/>
      <c r="G39" s="197"/>
      <c r="H39" s="195"/>
      <c r="I39" s="225"/>
      <c r="J39" s="226"/>
      <c r="K39" s="212"/>
      <c r="L39" s="213"/>
      <c r="M39" s="389"/>
      <c r="N39" s="496"/>
      <c r="O39" s="390"/>
      <c r="P39" s="389"/>
      <c r="Q39" s="390"/>
      <c r="R39" s="389"/>
      <c r="S39" s="390"/>
      <c r="T39" s="389"/>
      <c r="U39" s="390"/>
      <c r="V39" s="389"/>
      <c r="W39" s="390"/>
      <c r="X39" s="255"/>
      <c r="Y39" s="256"/>
      <c r="Z39" s="257"/>
      <c r="AA39" s="194"/>
      <c r="AB39" s="195"/>
      <c r="AC39" s="292" t="s">
        <v>778</v>
      </c>
      <c r="AD39" s="293"/>
      <c r="AE39" s="31" t="s">
        <v>780</v>
      </c>
      <c r="AF39" s="292" t="s">
        <v>782</v>
      </c>
      <c r="AG39" s="314"/>
      <c r="AH39" s="293"/>
      <c r="AI39" s="179"/>
      <c r="AJ39" s="179"/>
      <c r="AK39" s="15"/>
      <c r="AL39" s="15"/>
    </row>
    <row r="40" spans="1:38" ht="75" x14ac:dyDescent="0.25">
      <c r="A40" s="179"/>
      <c r="B40" s="292"/>
      <c r="C40" s="314"/>
      <c r="D40" s="293"/>
      <c r="E40" s="28" t="s">
        <v>784</v>
      </c>
      <c r="F40" s="233" t="s">
        <v>785</v>
      </c>
      <c r="G40" s="305"/>
      <c r="H40" s="234"/>
      <c r="I40" s="409" t="s">
        <v>786</v>
      </c>
      <c r="J40" s="411"/>
      <c r="K40" s="303" t="s">
        <v>787</v>
      </c>
      <c r="L40" s="304"/>
      <c r="M40" s="328">
        <v>251</v>
      </c>
      <c r="N40" s="600"/>
      <c r="O40" s="329"/>
      <c r="P40" s="328">
        <v>15</v>
      </c>
      <c r="Q40" s="329"/>
      <c r="R40" s="328">
        <v>50</v>
      </c>
      <c r="S40" s="329"/>
      <c r="T40" s="328">
        <v>17</v>
      </c>
      <c r="U40" s="329"/>
      <c r="V40" s="328">
        <v>333</v>
      </c>
      <c r="W40" s="329"/>
      <c r="X40" s="294">
        <v>578</v>
      </c>
      <c r="Y40" s="295"/>
      <c r="Z40" s="296"/>
      <c r="AA40" s="233" t="s">
        <v>768</v>
      </c>
      <c r="AB40" s="234"/>
      <c r="AC40" s="292"/>
      <c r="AD40" s="293"/>
      <c r="AE40" s="31"/>
      <c r="AF40" s="292"/>
      <c r="AG40" s="314"/>
      <c r="AH40" s="293"/>
      <c r="AI40" s="179"/>
      <c r="AJ40" s="179"/>
      <c r="AK40" s="15"/>
      <c r="AL40" s="15"/>
    </row>
    <row r="41" spans="1:38" ht="75" x14ac:dyDescent="0.25">
      <c r="A41" s="179"/>
      <c r="B41" s="292"/>
      <c r="C41" s="314"/>
      <c r="D41" s="293"/>
      <c r="E41" s="28" t="s">
        <v>788</v>
      </c>
      <c r="F41" s="237"/>
      <c r="G41" s="306"/>
      <c r="H41" s="238"/>
      <c r="I41" s="404"/>
      <c r="J41" s="406"/>
      <c r="K41" s="290"/>
      <c r="L41" s="291"/>
      <c r="M41" s="519"/>
      <c r="N41" s="601"/>
      <c r="O41" s="520"/>
      <c r="P41" s="519"/>
      <c r="Q41" s="520"/>
      <c r="R41" s="519"/>
      <c r="S41" s="520"/>
      <c r="T41" s="519"/>
      <c r="U41" s="520"/>
      <c r="V41" s="519"/>
      <c r="W41" s="520"/>
      <c r="X41" s="300"/>
      <c r="Y41" s="301"/>
      <c r="Z41" s="302"/>
      <c r="AA41" s="237"/>
      <c r="AB41" s="238"/>
      <c r="AC41" s="292"/>
      <c r="AD41" s="293"/>
      <c r="AE41" s="31"/>
      <c r="AF41" s="292"/>
      <c r="AG41" s="314"/>
      <c r="AH41" s="293"/>
      <c r="AI41" s="179"/>
      <c r="AJ41" s="179"/>
      <c r="AK41" s="15"/>
      <c r="AL41" s="15"/>
    </row>
    <row r="42" spans="1:38" ht="75" x14ac:dyDescent="0.25">
      <c r="A42" s="179"/>
      <c r="B42" s="292"/>
      <c r="C42" s="314"/>
      <c r="D42" s="293"/>
      <c r="E42" s="28" t="s">
        <v>789</v>
      </c>
      <c r="F42" s="223" t="s">
        <v>790</v>
      </c>
      <c r="G42" s="398"/>
      <c r="H42" s="224"/>
      <c r="I42" s="223" t="s">
        <v>791</v>
      </c>
      <c r="J42" s="224"/>
      <c r="K42" s="164"/>
      <c r="L42" s="166"/>
      <c r="M42" s="303" t="s">
        <v>792</v>
      </c>
      <c r="N42" s="344"/>
      <c r="O42" s="304"/>
      <c r="P42" s="328">
        <v>24</v>
      </c>
      <c r="Q42" s="329"/>
      <c r="R42" s="328">
        <v>60</v>
      </c>
      <c r="S42" s="329"/>
      <c r="T42" s="328">
        <v>25</v>
      </c>
      <c r="U42" s="329"/>
      <c r="V42" s="303" t="s">
        <v>793</v>
      </c>
      <c r="W42" s="304"/>
      <c r="X42" s="294">
        <v>720</v>
      </c>
      <c r="Y42" s="295"/>
      <c r="Z42" s="296"/>
      <c r="AA42" s="233" t="s">
        <v>768</v>
      </c>
      <c r="AB42" s="234"/>
      <c r="AC42" s="292"/>
      <c r="AD42" s="293"/>
      <c r="AE42" s="31"/>
      <c r="AF42" s="292"/>
      <c r="AG42" s="314"/>
      <c r="AH42" s="293"/>
      <c r="AI42" s="179"/>
      <c r="AJ42" s="179"/>
      <c r="AK42" s="15"/>
      <c r="AL42" s="15"/>
    </row>
    <row r="43" spans="1:38" ht="75" x14ac:dyDescent="0.25">
      <c r="A43" s="179"/>
      <c r="B43" s="292"/>
      <c r="C43" s="314"/>
      <c r="D43" s="293"/>
      <c r="E43" s="28" t="s">
        <v>794</v>
      </c>
      <c r="F43" s="239"/>
      <c r="G43" s="399"/>
      <c r="H43" s="240"/>
      <c r="I43" s="239"/>
      <c r="J43" s="240"/>
      <c r="K43" s="167"/>
      <c r="L43" s="169"/>
      <c r="M43" s="292"/>
      <c r="N43" s="314"/>
      <c r="O43" s="293"/>
      <c r="P43" s="517"/>
      <c r="Q43" s="518"/>
      <c r="R43" s="517"/>
      <c r="S43" s="518"/>
      <c r="T43" s="517"/>
      <c r="U43" s="518"/>
      <c r="V43" s="292"/>
      <c r="W43" s="293"/>
      <c r="X43" s="297"/>
      <c r="Y43" s="298"/>
      <c r="Z43" s="299"/>
      <c r="AA43" s="235"/>
      <c r="AB43" s="236"/>
      <c r="AC43" s="292"/>
      <c r="AD43" s="293"/>
      <c r="AE43" s="31"/>
      <c r="AF43" s="292"/>
      <c r="AG43" s="314"/>
      <c r="AH43" s="293"/>
      <c r="AI43" s="179"/>
      <c r="AJ43" s="179"/>
      <c r="AK43" s="15"/>
      <c r="AL43" s="15"/>
    </row>
    <row r="44" spans="1:38" ht="105" x14ac:dyDescent="0.25">
      <c r="A44" s="179"/>
      <c r="B44" s="292"/>
      <c r="C44" s="314"/>
      <c r="D44" s="293"/>
      <c r="E44" s="28" t="s">
        <v>795</v>
      </c>
      <c r="F44" s="225"/>
      <c r="G44" s="391"/>
      <c r="H44" s="226"/>
      <c r="I44" s="225"/>
      <c r="J44" s="226"/>
      <c r="K44" s="214"/>
      <c r="L44" s="216"/>
      <c r="M44" s="290"/>
      <c r="N44" s="345"/>
      <c r="O44" s="291"/>
      <c r="P44" s="519"/>
      <c r="Q44" s="520"/>
      <c r="R44" s="519"/>
      <c r="S44" s="520"/>
      <c r="T44" s="519"/>
      <c r="U44" s="520"/>
      <c r="V44" s="290"/>
      <c r="W44" s="291"/>
      <c r="X44" s="300"/>
      <c r="Y44" s="301"/>
      <c r="Z44" s="302"/>
      <c r="AA44" s="237"/>
      <c r="AB44" s="238"/>
      <c r="AC44" s="292"/>
      <c r="AD44" s="293"/>
      <c r="AE44" s="31"/>
      <c r="AF44" s="292"/>
      <c r="AG44" s="314"/>
      <c r="AH44" s="293"/>
      <c r="AI44" s="179"/>
      <c r="AJ44" s="179"/>
      <c r="AK44" s="15"/>
      <c r="AL44" s="15"/>
    </row>
    <row r="45" spans="1:38" ht="75" x14ac:dyDescent="0.25">
      <c r="A45" s="179"/>
      <c r="B45" s="292"/>
      <c r="C45" s="314"/>
      <c r="D45" s="293"/>
      <c r="E45" s="28" t="s">
        <v>796</v>
      </c>
      <c r="F45" s="112" t="s">
        <v>797</v>
      </c>
      <c r="G45" s="572"/>
      <c r="H45" s="113"/>
      <c r="I45" s="88" t="s">
        <v>798</v>
      </c>
      <c r="J45" s="89"/>
      <c r="K45" s="164"/>
      <c r="L45" s="166"/>
      <c r="M45" s="328">
        <v>337</v>
      </c>
      <c r="N45" s="600"/>
      <c r="O45" s="329"/>
      <c r="P45" s="328">
        <v>27</v>
      </c>
      <c r="Q45" s="329"/>
      <c r="R45" s="328">
        <v>70</v>
      </c>
      <c r="S45" s="329"/>
      <c r="T45" s="328">
        <v>27</v>
      </c>
      <c r="U45" s="329"/>
      <c r="V45" s="328">
        <v>461</v>
      </c>
      <c r="W45" s="329"/>
      <c r="X45" s="294">
        <v>780</v>
      </c>
      <c r="Y45" s="295"/>
      <c r="Z45" s="296"/>
      <c r="AA45" s="233" t="s">
        <v>768</v>
      </c>
      <c r="AB45" s="234"/>
      <c r="AC45" s="292"/>
      <c r="AD45" s="293"/>
      <c r="AE45" s="31"/>
      <c r="AF45" s="292"/>
      <c r="AG45" s="314"/>
      <c r="AH45" s="293"/>
      <c r="AI45" s="179"/>
      <c r="AJ45" s="179"/>
      <c r="AK45" s="15"/>
      <c r="AL45" s="15"/>
    </row>
    <row r="46" spans="1:38" ht="75" x14ac:dyDescent="0.25">
      <c r="A46" s="179"/>
      <c r="B46" s="292"/>
      <c r="C46" s="314"/>
      <c r="D46" s="293"/>
      <c r="E46" s="28" t="s">
        <v>799</v>
      </c>
      <c r="F46" s="155"/>
      <c r="G46" s="156"/>
      <c r="H46" s="157"/>
      <c r="I46" s="126"/>
      <c r="J46" s="127"/>
      <c r="K46" s="167"/>
      <c r="L46" s="169"/>
      <c r="M46" s="517"/>
      <c r="N46" s="610"/>
      <c r="O46" s="518"/>
      <c r="P46" s="517"/>
      <c r="Q46" s="518"/>
      <c r="R46" s="517"/>
      <c r="S46" s="518"/>
      <c r="T46" s="517"/>
      <c r="U46" s="518"/>
      <c r="V46" s="517"/>
      <c r="W46" s="518"/>
      <c r="X46" s="297"/>
      <c r="Y46" s="298"/>
      <c r="Z46" s="299"/>
      <c r="AA46" s="235"/>
      <c r="AB46" s="236"/>
      <c r="AC46" s="292"/>
      <c r="AD46" s="293"/>
      <c r="AE46" s="31"/>
      <c r="AF46" s="292"/>
      <c r="AG46" s="314"/>
      <c r="AH46" s="293"/>
      <c r="AI46" s="179"/>
      <c r="AJ46" s="179"/>
      <c r="AK46" s="15"/>
      <c r="AL46" s="15"/>
    </row>
    <row r="47" spans="1:38" ht="105" x14ac:dyDescent="0.25">
      <c r="A47" s="230"/>
      <c r="B47" s="290"/>
      <c r="C47" s="345"/>
      <c r="D47" s="291"/>
      <c r="E47" s="28" t="s">
        <v>800</v>
      </c>
      <c r="F47" s="160"/>
      <c r="G47" s="573"/>
      <c r="H47" s="161"/>
      <c r="I47" s="117"/>
      <c r="J47" s="118"/>
      <c r="K47" s="214"/>
      <c r="L47" s="216"/>
      <c r="M47" s="519"/>
      <c r="N47" s="601"/>
      <c r="O47" s="520"/>
      <c r="P47" s="519"/>
      <c r="Q47" s="520"/>
      <c r="R47" s="519"/>
      <c r="S47" s="520"/>
      <c r="T47" s="519"/>
      <c r="U47" s="520"/>
      <c r="V47" s="519"/>
      <c r="W47" s="520"/>
      <c r="X47" s="300"/>
      <c r="Y47" s="301"/>
      <c r="Z47" s="302"/>
      <c r="AA47" s="237"/>
      <c r="AB47" s="238"/>
      <c r="AC47" s="290"/>
      <c r="AD47" s="291"/>
      <c r="AE47" s="31"/>
      <c r="AF47" s="290"/>
      <c r="AG47" s="345"/>
      <c r="AH47" s="291"/>
      <c r="AI47" s="230"/>
      <c r="AJ47" s="230"/>
      <c r="AK47" s="15"/>
      <c r="AL47" s="15"/>
    </row>
    <row r="48" spans="1:38" ht="75" x14ac:dyDescent="0.3">
      <c r="A48" s="178"/>
      <c r="B48" s="233" t="s">
        <v>801</v>
      </c>
      <c r="C48" s="305"/>
      <c r="D48" s="234"/>
      <c r="E48" s="66" t="s">
        <v>802</v>
      </c>
      <c r="F48" s="233" t="s">
        <v>803</v>
      </c>
      <c r="G48" s="305"/>
      <c r="H48" s="234"/>
      <c r="I48" s="164"/>
      <c r="J48" s="166"/>
      <c r="K48" s="164"/>
      <c r="L48" s="166"/>
      <c r="M48" s="328">
        <v>400</v>
      </c>
      <c r="N48" s="600"/>
      <c r="O48" s="329"/>
      <c r="P48" s="164"/>
      <c r="Q48" s="166"/>
      <c r="R48" s="630">
        <v>165</v>
      </c>
      <c r="S48" s="743"/>
      <c r="T48" s="164"/>
      <c r="U48" s="166"/>
      <c r="V48" s="328">
        <v>565</v>
      </c>
      <c r="W48" s="329"/>
      <c r="X48" s="294">
        <v>650</v>
      </c>
      <c r="Y48" s="295"/>
      <c r="Z48" s="296"/>
      <c r="AA48" s="233" t="s">
        <v>804</v>
      </c>
      <c r="AB48" s="234"/>
      <c r="AC48" s="223" t="s">
        <v>805</v>
      </c>
      <c r="AD48" s="224"/>
      <c r="AE48" s="24" t="s">
        <v>807</v>
      </c>
      <c r="AF48" s="233" t="s">
        <v>683</v>
      </c>
      <c r="AG48" s="305"/>
      <c r="AH48" s="234"/>
      <c r="AI48" s="178"/>
      <c r="AJ48" s="715" t="s">
        <v>809</v>
      </c>
      <c r="AK48" s="15"/>
      <c r="AL48" s="15"/>
    </row>
    <row r="49" spans="1:38" ht="45" x14ac:dyDescent="0.3">
      <c r="A49" s="179"/>
      <c r="B49" s="235"/>
      <c r="C49" s="270"/>
      <c r="D49" s="236"/>
      <c r="E49" s="67"/>
      <c r="F49" s="235"/>
      <c r="G49" s="270"/>
      <c r="H49" s="236"/>
      <c r="I49" s="167"/>
      <c r="J49" s="169"/>
      <c r="K49" s="167"/>
      <c r="L49" s="169"/>
      <c r="M49" s="517"/>
      <c r="N49" s="610"/>
      <c r="O49" s="518"/>
      <c r="P49" s="167"/>
      <c r="Q49" s="169"/>
      <c r="R49" s="631"/>
      <c r="S49" s="744"/>
      <c r="T49" s="167"/>
      <c r="U49" s="169"/>
      <c r="V49" s="517"/>
      <c r="W49" s="518"/>
      <c r="X49" s="297"/>
      <c r="Y49" s="298"/>
      <c r="Z49" s="299"/>
      <c r="AA49" s="235"/>
      <c r="AB49" s="236"/>
      <c r="AC49" s="239" t="s">
        <v>677</v>
      </c>
      <c r="AD49" s="240"/>
      <c r="AE49" s="31" t="s">
        <v>681</v>
      </c>
      <c r="AF49" s="235"/>
      <c r="AG49" s="270"/>
      <c r="AH49" s="236"/>
      <c r="AI49" s="179"/>
      <c r="AJ49" s="716"/>
      <c r="AK49" s="15"/>
      <c r="AL49" s="15"/>
    </row>
    <row r="50" spans="1:38" ht="75" x14ac:dyDescent="0.3">
      <c r="A50" s="179"/>
      <c r="B50" s="235"/>
      <c r="C50" s="270"/>
      <c r="D50" s="236"/>
      <c r="E50" s="19" t="s">
        <v>810</v>
      </c>
      <c r="F50" s="235"/>
      <c r="G50" s="270"/>
      <c r="H50" s="236"/>
      <c r="I50" s="167"/>
      <c r="J50" s="169"/>
      <c r="K50" s="167"/>
      <c r="L50" s="169"/>
      <c r="M50" s="517"/>
      <c r="N50" s="610"/>
      <c r="O50" s="518"/>
      <c r="P50" s="167"/>
      <c r="Q50" s="169"/>
      <c r="R50" s="631"/>
      <c r="S50" s="744"/>
      <c r="T50" s="167"/>
      <c r="U50" s="169"/>
      <c r="V50" s="517"/>
      <c r="W50" s="518"/>
      <c r="X50" s="297"/>
      <c r="Y50" s="298"/>
      <c r="Z50" s="299"/>
      <c r="AA50" s="235"/>
      <c r="AB50" s="236"/>
      <c r="AC50" s="239" t="s">
        <v>678</v>
      </c>
      <c r="AD50" s="240"/>
      <c r="AE50" s="31" t="s">
        <v>808</v>
      </c>
      <c r="AF50" s="235"/>
      <c r="AG50" s="270"/>
      <c r="AH50" s="236"/>
      <c r="AI50" s="179"/>
      <c r="AJ50" s="716"/>
      <c r="AK50" s="15"/>
      <c r="AL50" s="15"/>
    </row>
    <row r="51" spans="1:38" ht="45" x14ac:dyDescent="0.3">
      <c r="A51" s="230"/>
      <c r="B51" s="237"/>
      <c r="C51" s="306"/>
      <c r="D51" s="238"/>
      <c r="E51" s="19" t="s">
        <v>811</v>
      </c>
      <c r="F51" s="237"/>
      <c r="G51" s="306"/>
      <c r="H51" s="238"/>
      <c r="I51" s="214"/>
      <c r="J51" s="216"/>
      <c r="K51" s="214"/>
      <c r="L51" s="216"/>
      <c r="M51" s="519"/>
      <c r="N51" s="601"/>
      <c r="O51" s="520"/>
      <c r="P51" s="214"/>
      <c r="Q51" s="216"/>
      <c r="R51" s="632"/>
      <c r="S51" s="745"/>
      <c r="T51" s="214"/>
      <c r="U51" s="216"/>
      <c r="V51" s="519"/>
      <c r="W51" s="520"/>
      <c r="X51" s="300"/>
      <c r="Y51" s="301"/>
      <c r="Z51" s="302"/>
      <c r="AA51" s="237"/>
      <c r="AB51" s="238"/>
      <c r="AC51" s="225" t="s">
        <v>806</v>
      </c>
      <c r="AD51" s="226"/>
      <c r="AE51" s="31"/>
      <c r="AF51" s="237"/>
      <c r="AG51" s="306"/>
      <c r="AH51" s="238"/>
      <c r="AI51" s="230"/>
      <c r="AJ51" s="723"/>
      <c r="AK51" s="15"/>
      <c r="AL51" s="15"/>
    </row>
    <row r="52" spans="1:38" ht="15.5" x14ac:dyDescent="0.3">
      <c r="A52" s="178"/>
      <c r="B52" s="303" t="s">
        <v>812</v>
      </c>
      <c r="C52" s="344"/>
      <c r="D52" s="304"/>
      <c r="E52" s="66" t="s">
        <v>813</v>
      </c>
      <c r="F52" s="233" t="s">
        <v>814</v>
      </c>
      <c r="G52" s="305"/>
      <c r="H52" s="234"/>
      <c r="I52" s="233" t="s">
        <v>815</v>
      </c>
      <c r="J52" s="234"/>
      <c r="K52" s="303" t="s">
        <v>816</v>
      </c>
      <c r="L52" s="304"/>
      <c r="M52" s="387">
        <v>79</v>
      </c>
      <c r="N52" s="495"/>
      <c r="O52" s="388"/>
      <c r="P52" s="387">
        <v>9</v>
      </c>
      <c r="Q52" s="388"/>
      <c r="R52" s="387">
        <v>15</v>
      </c>
      <c r="S52" s="388"/>
      <c r="T52" s="387">
        <v>24</v>
      </c>
      <c r="U52" s="388"/>
      <c r="V52" s="387">
        <v>127</v>
      </c>
      <c r="W52" s="388"/>
      <c r="X52" s="294">
        <v>198</v>
      </c>
      <c r="Y52" s="295"/>
      <c r="Z52" s="296"/>
      <c r="AA52" s="233" t="s">
        <v>717</v>
      </c>
      <c r="AB52" s="234"/>
      <c r="AC52" s="223" t="s">
        <v>675</v>
      </c>
      <c r="AD52" s="224"/>
      <c r="AE52" s="178"/>
      <c r="AF52" s="171" t="s">
        <v>734</v>
      </c>
      <c r="AG52" s="407"/>
      <c r="AH52" s="172"/>
      <c r="AI52" s="178"/>
      <c r="AJ52" s="178"/>
      <c r="AK52" s="15"/>
      <c r="AL52" s="15"/>
    </row>
    <row r="53" spans="1:38" ht="15.5" x14ac:dyDescent="0.3">
      <c r="A53" s="179"/>
      <c r="B53" s="292"/>
      <c r="C53" s="314"/>
      <c r="D53" s="293"/>
      <c r="E53" s="74"/>
      <c r="F53" s="235"/>
      <c r="G53" s="270"/>
      <c r="H53" s="236"/>
      <c r="I53" s="235"/>
      <c r="J53" s="236"/>
      <c r="K53" s="292"/>
      <c r="L53" s="293"/>
      <c r="M53" s="506"/>
      <c r="N53" s="602"/>
      <c r="O53" s="507"/>
      <c r="P53" s="506"/>
      <c r="Q53" s="507"/>
      <c r="R53" s="506"/>
      <c r="S53" s="507"/>
      <c r="T53" s="506"/>
      <c r="U53" s="507"/>
      <c r="V53" s="506"/>
      <c r="W53" s="507"/>
      <c r="X53" s="297"/>
      <c r="Y53" s="298"/>
      <c r="Z53" s="299"/>
      <c r="AA53" s="235"/>
      <c r="AB53" s="236"/>
      <c r="AC53" s="239" t="s">
        <v>817</v>
      </c>
      <c r="AD53" s="240"/>
      <c r="AE53" s="179"/>
      <c r="AF53" s="162" t="s">
        <v>712</v>
      </c>
      <c r="AG53" s="170"/>
      <c r="AH53" s="163"/>
      <c r="AI53" s="179"/>
      <c r="AJ53" s="179"/>
      <c r="AK53" s="15"/>
      <c r="AL53" s="15"/>
    </row>
    <row r="54" spans="1:38" ht="15.5" x14ac:dyDescent="0.3">
      <c r="A54" s="179"/>
      <c r="B54" s="292"/>
      <c r="C54" s="314"/>
      <c r="D54" s="293"/>
      <c r="E54" s="67"/>
      <c r="F54" s="235"/>
      <c r="G54" s="270"/>
      <c r="H54" s="236"/>
      <c r="I54" s="235"/>
      <c r="J54" s="236"/>
      <c r="K54" s="292"/>
      <c r="L54" s="293"/>
      <c r="M54" s="389"/>
      <c r="N54" s="496"/>
      <c r="O54" s="390"/>
      <c r="P54" s="389"/>
      <c r="Q54" s="390"/>
      <c r="R54" s="389"/>
      <c r="S54" s="390"/>
      <c r="T54" s="389"/>
      <c r="U54" s="390"/>
      <c r="V54" s="389"/>
      <c r="W54" s="390"/>
      <c r="X54" s="297"/>
      <c r="Y54" s="298"/>
      <c r="Z54" s="299"/>
      <c r="AA54" s="235"/>
      <c r="AB54" s="236"/>
      <c r="AC54" s="239" t="s">
        <v>677</v>
      </c>
      <c r="AD54" s="240"/>
      <c r="AE54" s="179"/>
      <c r="AF54" s="162"/>
      <c r="AG54" s="170"/>
      <c r="AH54" s="163"/>
      <c r="AI54" s="179"/>
      <c r="AJ54" s="179"/>
      <c r="AK54" s="15"/>
      <c r="AL54" s="15"/>
    </row>
    <row r="55" spans="1:38" ht="75" x14ac:dyDescent="0.3">
      <c r="A55" s="179"/>
      <c r="B55" s="292"/>
      <c r="C55" s="314"/>
      <c r="D55" s="293"/>
      <c r="E55" s="19" t="s">
        <v>819</v>
      </c>
      <c r="F55" s="235"/>
      <c r="G55" s="270"/>
      <c r="H55" s="236"/>
      <c r="I55" s="235"/>
      <c r="J55" s="236"/>
      <c r="K55" s="292"/>
      <c r="L55" s="293"/>
      <c r="M55" s="351" t="s">
        <v>820</v>
      </c>
      <c r="N55" s="444"/>
      <c r="O55" s="352"/>
      <c r="P55" s="349">
        <v>9</v>
      </c>
      <c r="Q55" s="350"/>
      <c r="R55" s="349">
        <v>15</v>
      </c>
      <c r="S55" s="350"/>
      <c r="T55" s="349">
        <v>24</v>
      </c>
      <c r="U55" s="350"/>
      <c r="V55" s="351" t="s">
        <v>821</v>
      </c>
      <c r="W55" s="352"/>
      <c r="X55" s="297"/>
      <c r="Y55" s="298"/>
      <c r="Z55" s="299"/>
      <c r="AA55" s="235"/>
      <c r="AB55" s="236"/>
      <c r="AC55" s="239" t="s">
        <v>678</v>
      </c>
      <c r="AD55" s="240"/>
      <c r="AE55" s="179"/>
      <c r="AF55" s="162"/>
      <c r="AG55" s="170"/>
      <c r="AH55" s="163"/>
      <c r="AI55" s="179"/>
      <c r="AJ55" s="179"/>
      <c r="AK55" s="15"/>
      <c r="AL55" s="15"/>
    </row>
    <row r="56" spans="1:38" ht="75" x14ac:dyDescent="0.3">
      <c r="A56" s="230"/>
      <c r="B56" s="290"/>
      <c r="C56" s="345"/>
      <c r="D56" s="291"/>
      <c r="E56" s="19" t="s">
        <v>822</v>
      </c>
      <c r="F56" s="237"/>
      <c r="G56" s="306"/>
      <c r="H56" s="238"/>
      <c r="I56" s="237"/>
      <c r="J56" s="238"/>
      <c r="K56" s="290"/>
      <c r="L56" s="291"/>
      <c r="M56" s="349">
        <v>79</v>
      </c>
      <c r="N56" s="423"/>
      <c r="O56" s="350"/>
      <c r="P56" s="349">
        <v>9</v>
      </c>
      <c r="Q56" s="350"/>
      <c r="R56" s="349">
        <v>15</v>
      </c>
      <c r="S56" s="350"/>
      <c r="T56" s="349">
        <v>24</v>
      </c>
      <c r="U56" s="350"/>
      <c r="V56" s="349">
        <v>127</v>
      </c>
      <c r="W56" s="350"/>
      <c r="X56" s="300"/>
      <c r="Y56" s="301"/>
      <c r="Z56" s="302"/>
      <c r="AA56" s="237"/>
      <c r="AB56" s="238"/>
      <c r="AC56" s="225" t="s">
        <v>818</v>
      </c>
      <c r="AD56" s="226"/>
      <c r="AE56" s="230"/>
      <c r="AF56" s="212"/>
      <c r="AG56" s="408"/>
      <c r="AH56" s="213"/>
      <c r="AI56" s="230"/>
      <c r="AJ56" s="230"/>
      <c r="AK56" s="15"/>
      <c r="AL56" s="15"/>
    </row>
    <row r="57" spans="1:38" ht="75" x14ac:dyDescent="0.3">
      <c r="A57" s="178"/>
      <c r="B57" s="233" t="s">
        <v>823</v>
      </c>
      <c r="C57" s="305"/>
      <c r="D57" s="234"/>
      <c r="E57" s="66" t="s">
        <v>824</v>
      </c>
      <c r="F57" s="233" t="s">
        <v>825</v>
      </c>
      <c r="G57" s="305"/>
      <c r="H57" s="234"/>
      <c r="I57" s="164"/>
      <c r="J57" s="166"/>
      <c r="K57" s="164"/>
      <c r="L57" s="166"/>
      <c r="M57" s="328">
        <v>388</v>
      </c>
      <c r="N57" s="600"/>
      <c r="O57" s="329"/>
      <c r="P57" s="164"/>
      <c r="Q57" s="166"/>
      <c r="R57" s="328">
        <v>82</v>
      </c>
      <c r="S57" s="329"/>
      <c r="T57" s="164"/>
      <c r="U57" s="166"/>
      <c r="V57" s="328">
        <v>470</v>
      </c>
      <c r="W57" s="329"/>
      <c r="X57" s="294">
        <v>690</v>
      </c>
      <c r="Y57" s="295"/>
      <c r="Z57" s="296"/>
      <c r="AA57" s="233" t="s">
        <v>826</v>
      </c>
      <c r="AB57" s="234"/>
      <c r="AC57" s="223" t="s">
        <v>675</v>
      </c>
      <c r="AD57" s="224"/>
      <c r="AE57" s="24" t="s">
        <v>830</v>
      </c>
      <c r="AF57" s="233" t="s">
        <v>683</v>
      </c>
      <c r="AG57" s="305"/>
      <c r="AH57" s="234"/>
      <c r="AI57" s="178"/>
      <c r="AJ57" s="715" t="s">
        <v>684</v>
      </c>
      <c r="AK57" s="15"/>
      <c r="AL57" s="15"/>
    </row>
    <row r="58" spans="1:38" ht="120" x14ac:dyDescent="0.3">
      <c r="A58" s="179"/>
      <c r="B58" s="235"/>
      <c r="C58" s="270"/>
      <c r="D58" s="236"/>
      <c r="E58" s="67"/>
      <c r="F58" s="235"/>
      <c r="G58" s="270"/>
      <c r="H58" s="236"/>
      <c r="I58" s="167"/>
      <c r="J58" s="169"/>
      <c r="K58" s="167"/>
      <c r="L58" s="169"/>
      <c r="M58" s="517"/>
      <c r="N58" s="610"/>
      <c r="O58" s="518"/>
      <c r="P58" s="167"/>
      <c r="Q58" s="169"/>
      <c r="R58" s="517"/>
      <c r="S58" s="518"/>
      <c r="T58" s="167"/>
      <c r="U58" s="169"/>
      <c r="V58" s="517"/>
      <c r="W58" s="518"/>
      <c r="X58" s="297"/>
      <c r="Y58" s="298"/>
      <c r="Z58" s="299"/>
      <c r="AA58" s="235"/>
      <c r="AB58" s="236"/>
      <c r="AC58" s="239" t="s">
        <v>827</v>
      </c>
      <c r="AD58" s="240"/>
      <c r="AE58" s="31" t="s">
        <v>831</v>
      </c>
      <c r="AF58" s="235"/>
      <c r="AG58" s="270"/>
      <c r="AH58" s="236"/>
      <c r="AI58" s="179"/>
      <c r="AJ58" s="716"/>
      <c r="AK58" s="15"/>
      <c r="AL58" s="15"/>
    </row>
    <row r="59" spans="1:38" ht="45" x14ac:dyDescent="0.3">
      <c r="A59" s="179"/>
      <c r="B59" s="235"/>
      <c r="C59" s="270"/>
      <c r="D59" s="236"/>
      <c r="E59" s="19" t="s">
        <v>832</v>
      </c>
      <c r="F59" s="235"/>
      <c r="G59" s="270"/>
      <c r="H59" s="236"/>
      <c r="I59" s="167"/>
      <c r="J59" s="169"/>
      <c r="K59" s="167"/>
      <c r="L59" s="169"/>
      <c r="M59" s="517"/>
      <c r="N59" s="610"/>
      <c r="O59" s="518"/>
      <c r="P59" s="167"/>
      <c r="Q59" s="169"/>
      <c r="R59" s="517"/>
      <c r="S59" s="518"/>
      <c r="T59" s="167"/>
      <c r="U59" s="169"/>
      <c r="V59" s="517"/>
      <c r="W59" s="518"/>
      <c r="X59" s="297"/>
      <c r="Y59" s="298"/>
      <c r="Z59" s="299"/>
      <c r="AA59" s="235"/>
      <c r="AB59" s="236"/>
      <c r="AC59" s="239" t="s">
        <v>828</v>
      </c>
      <c r="AD59" s="240"/>
      <c r="AE59" s="31"/>
      <c r="AF59" s="235"/>
      <c r="AG59" s="270"/>
      <c r="AH59" s="236"/>
      <c r="AI59" s="179"/>
      <c r="AJ59" s="716"/>
      <c r="AK59" s="15"/>
      <c r="AL59" s="15"/>
    </row>
    <row r="60" spans="1:38" ht="45" x14ac:dyDescent="0.3">
      <c r="A60" s="179"/>
      <c r="B60" s="235"/>
      <c r="C60" s="270"/>
      <c r="D60" s="236"/>
      <c r="E60" s="19" t="s">
        <v>833</v>
      </c>
      <c r="F60" s="235"/>
      <c r="G60" s="270"/>
      <c r="H60" s="236"/>
      <c r="I60" s="167"/>
      <c r="J60" s="169"/>
      <c r="K60" s="167"/>
      <c r="L60" s="169"/>
      <c r="M60" s="517"/>
      <c r="N60" s="610"/>
      <c r="O60" s="518"/>
      <c r="P60" s="167"/>
      <c r="Q60" s="169"/>
      <c r="R60" s="517"/>
      <c r="S60" s="518"/>
      <c r="T60" s="167"/>
      <c r="U60" s="169"/>
      <c r="V60" s="517"/>
      <c r="W60" s="518"/>
      <c r="X60" s="297"/>
      <c r="Y60" s="298"/>
      <c r="Z60" s="299"/>
      <c r="AA60" s="235"/>
      <c r="AB60" s="236"/>
      <c r="AC60" s="239" t="s">
        <v>677</v>
      </c>
      <c r="AD60" s="240"/>
      <c r="AE60" s="31"/>
      <c r="AF60" s="235"/>
      <c r="AG60" s="270"/>
      <c r="AH60" s="236"/>
      <c r="AI60" s="179"/>
      <c r="AJ60" s="716"/>
      <c r="AK60" s="15"/>
      <c r="AL60" s="15"/>
    </row>
    <row r="61" spans="1:38" ht="45" x14ac:dyDescent="0.3">
      <c r="A61" s="179"/>
      <c r="B61" s="235"/>
      <c r="C61" s="270"/>
      <c r="D61" s="236"/>
      <c r="E61" s="19" t="s">
        <v>834</v>
      </c>
      <c r="F61" s="235"/>
      <c r="G61" s="270"/>
      <c r="H61" s="236"/>
      <c r="I61" s="167"/>
      <c r="J61" s="169"/>
      <c r="K61" s="167"/>
      <c r="L61" s="169"/>
      <c r="M61" s="517"/>
      <c r="N61" s="610"/>
      <c r="O61" s="518"/>
      <c r="P61" s="167"/>
      <c r="Q61" s="169"/>
      <c r="R61" s="517"/>
      <c r="S61" s="518"/>
      <c r="T61" s="167"/>
      <c r="U61" s="169"/>
      <c r="V61" s="517"/>
      <c r="W61" s="518"/>
      <c r="X61" s="297"/>
      <c r="Y61" s="298"/>
      <c r="Z61" s="299"/>
      <c r="AA61" s="235"/>
      <c r="AB61" s="236"/>
      <c r="AC61" s="239" t="s">
        <v>678</v>
      </c>
      <c r="AD61" s="240"/>
      <c r="AE61" s="31"/>
      <c r="AF61" s="235"/>
      <c r="AG61" s="270"/>
      <c r="AH61" s="236"/>
      <c r="AI61" s="179"/>
      <c r="AJ61" s="716"/>
      <c r="AK61" s="15"/>
      <c r="AL61" s="15"/>
    </row>
    <row r="62" spans="1:38" ht="45" x14ac:dyDescent="0.3">
      <c r="A62" s="230"/>
      <c r="B62" s="237"/>
      <c r="C62" s="306"/>
      <c r="D62" s="238"/>
      <c r="E62" s="19" t="s">
        <v>835</v>
      </c>
      <c r="F62" s="237"/>
      <c r="G62" s="306"/>
      <c r="H62" s="238"/>
      <c r="I62" s="214"/>
      <c r="J62" s="216"/>
      <c r="K62" s="214"/>
      <c r="L62" s="216"/>
      <c r="M62" s="519"/>
      <c r="N62" s="601"/>
      <c r="O62" s="520"/>
      <c r="P62" s="214"/>
      <c r="Q62" s="216"/>
      <c r="R62" s="519"/>
      <c r="S62" s="520"/>
      <c r="T62" s="214"/>
      <c r="U62" s="216"/>
      <c r="V62" s="519"/>
      <c r="W62" s="520"/>
      <c r="X62" s="300"/>
      <c r="Y62" s="301"/>
      <c r="Z62" s="302"/>
      <c r="AA62" s="237"/>
      <c r="AB62" s="238"/>
      <c r="AC62" s="225" t="s">
        <v>829</v>
      </c>
      <c r="AD62" s="226"/>
      <c r="AE62" s="31"/>
      <c r="AF62" s="237"/>
      <c r="AG62" s="306"/>
      <c r="AH62" s="238"/>
      <c r="AI62" s="230"/>
      <c r="AJ62" s="723"/>
      <c r="AK62" s="15"/>
      <c r="AL62" s="15"/>
    </row>
    <row r="63" spans="1:38" ht="75" x14ac:dyDescent="0.3">
      <c r="A63" s="178"/>
      <c r="B63" s="303" t="s">
        <v>836</v>
      </c>
      <c r="C63" s="344"/>
      <c r="D63" s="304"/>
      <c r="E63" s="19" t="s">
        <v>837</v>
      </c>
      <c r="F63" s="233" t="s">
        <v>838</v>
      </c>
      <c r="G63" s="305"/>
      <c r="H63" s="234"/>
      <c r="I63" s="233" t="s">
        <v>839</v>
      </c>
      <c r="J63" s="234"/>
      <c r="K63" s="351" t="s">
        <v>840</v>
      </c>
      <c r="L63" s="352"/>
      <c r="M63" s="351" t="s">
        <v>841</v>
      </c>
      <c r="N63" s="444"/>
      <c r="O63" s="352"/>
      <c r="P63" s="351" t="s">
        <v>842</v>
      </c>
      <c r="Q63" s="352"/>
      <c r="R63" s="349">
        <v>10</v>
      </c>
      <c r="S63" s="350"/>
      <c r="T63" s="349">
        <v>7</v>
      </c>
      <c r="U63" s="350"/>
      <c r="V63" s="351" t="s">
        <v>843</v>
      </c>
      <c r="W63" s="352"/>
      <c r="X63" s="334">
        <v>88</v>
      </c>
      <c r="Y63" s="335"/>
      <c r="Z63" s="336"/>
      <c r="AA63" s="337" t="s">
        <v>844</v>
      </c>
      <c r="AB63" s="338"/>
      <c r="AC63" s="223" t="s">
        <v>675</v>
      </c>
      <c r="AD63" s="224"/>
      <c r="AE63" s="24" t="s">
        <v>847</v>
      </c>
      <c r="AF63" s="171" t="s">
        <v>850</v>
      </c>
      <c r="AG63" s="407"/>
      <c r="AH63" s="172"/>
      <c r="AI63" s="178"/>
      <c r="AJ63" s="178"/>
      <c r="AK63" s="15"/>
      <c r="AL63" s="15"/>
    </row>
    <row r="64" spans="1:38" ht="60" x14ac:dyDescent="0.3">
      <c r="A64" s="179"/>
      <c r="B64" s="292"/>
      <c r="C64" s="314"/>
      <c r="D64" s="293"/>
      <c r="E64" s="19" t="s">
        <v>852</v>
      </c>
      <c r="F64" s="235"/>
      <c r="G64" s="270"/>
      <c r="H64" s="236"/>
      <c r="I64" s="235"/>
      <c r="J64" s="236"/>
      <c r="K64" s="351" t="s">
        <v>840</v>
      </c>
      <c r="L64" s="352"/>
      <c r="M64" s="351" t="s">
        <v>841</v>
      </c>
      <c r="N64" s="444"/>
      <c r="O64" s="352"/>
      <c r="P64" s="351" t="s">
        <v>842</v>
      </c>
      <c r="Q64" s="352"/>
      <c r="R64" s="349">
        <v>10</v>
      </c>
      <c r="S64" s="350"/>
      <c r="T64" s="349">
        <v>7</v>
      </c>
      <c r="U64" s="350"/>
      <c r="V64" s="351" t="s">
        <v>843</v>
      </c>
      <c r="W64" s="352"/>
      <c r="X64" s="334">
        <v>88</v>
      </c>
      <c r="Y64" s="335"/>
      <c r="Z64" s="336"/>
      <c r="AA64" s="337" t="s">
        <v>844</v>
      </c>
      <c r="AB64" s="338"/>
      <c r="AC64" s="239" t="s">
        <v>845</v>
      </c>
      <c r="AD64" s="240"/>
      <c r="AE64" s="31" t="s">
        <v>848</v>
      </c>
      <c r="AF64" s="162" t="s">
        <v>851</v>
      </c>
      <c r="AG64" s="170"/>
      <c r="AH64" s="163"/>
      <c r="AI64" s="179"/>
      <c r="AJ64" s="179"/>
      <c r="AK64" s="15"/>
      <c r="AL64" s="15"/>
    </row>
    <row r="65" spans="1:38" ht="120" x14ac:dyDescent="0.3">
      <c r="A65" s="179"/>
      <c r="B65" s="292"/>
      <c r="C65" s="314"/>
      <c r="D65" s="293"/>
      <c r="E65" s="19" t="s">
        <v>853</v>
      </c>
      <c r="F65" s="235"/>
      <c r="G65" s="270"/>
      <c r="H65" s="236"/>
      <c r="I65" s="235"/>
      <c r="J65" s="236"/>
      <c r="K65" s="351" t="s">
        <v>840</v>
      </c>
      <c r="L65" s="352"/>
      <c r="M65" s="351" t="s">
        <v>854</v>
      </c>
      <c r="N65" s="444"/>
      <c r="O65" s="352"/>
      <c r="P65" s="351" t="s">
        <v>842</v>
      </c>
      <c r="Q65" s="352"/>
      <c r="R65" s="349">
        <v>10</v>
      </c>
      <c r="S65" s="350"/>
      <c r="T65" s="349">
        <v>7</v>
      </c>
      <c r="U65" s="350"/>
      <c r="V65" s="351" t="s">
        <v>855</v>
      </c>
      <c r="W65" s="352"/>
      <c r="X65" s="334">
        <v>88</v>
      </c>
      <c r="Y65" s="335"/>
      <c r="Z65" s="336"/>
      <c r="AA65" s="337" t="s">
        <v>844</v>
      </c>
      <c r="AB65" s="338"/>
      <c r="AC65" s="239" t="s">
        <v>678</v>
      </c>
      <c r="AD65" s="240"/>
      <c r="AE65" s="31" t="s">
        <v>849</v>
      </c>
      <c r="AF65" s="162"/>
      <c r="AG65" s="170"/>
      <c r="AH65" s="163"/>
      <c r="AI65" s="179"/>
      <c r="AJ65" s="179"/>
      <c r="AK65" s="15"/>
      <c r="AL65" s="15"/>
    </row>
    <row r="66" spans="1:38" ht="60" x14ac:dyDescent="0.3">
      <c r="A66" s="230"/>
      <c r="B66" s="290"/>
      <c r="C66" s="345"/>
      <c r="D66" s="291"/>
      <c r="E66" s="19" t="s">
        <v>856</v>
      </c>
      <c r="F66" s="237"/>
      <c r="G66" s="306"/>
      <c r="H66" s="238"/>
      <c r="I66" s="237"/>
      <c r="J66" s="238"/>
      <c r="K66" s="351" t="s">
        <v>840</v>
      </c>
      <c r="L66" s="352"/>
      <c r="M66" s="351" t="s">
        <v>841</v>
      </c>
      <c r="N66" s="444"/>
      <c r="O66" s="352"/>
      <c r="P66" s="351" t="s">
        <v>842</v>
      </c>
      <c r="Q66" s="352"/>
      <c r="R66" s="349">
        <v>10</v>
      </c>
      <c r="S66" s="350"/>
      <c r="T66" s="349">
        <v>7</v>
      </c>
      <c r="U66" s="350"/>
      <c r="V66" s="351" t="s">
        <v>843</v>
      </c>
      <c r="W66" s="352"/>
      <c r="X66" s="334">
        <v>88</v>
      </c>
      <c r="Y66" s="335"/>
      <c r="Z66" s="336"/>
      <c r="AA66" s="337" t="s">
        <v>844</v>
      </c>
      <c r="AB66" s="338"/>
      <c r="AC66" s="225" t="s">
        <v>846</v>
      </c>
      <c r="AD66" s="226"/>
      <c r="AE66" s="31"/>
      <c r="AF66" s="212"/>
      <c r="AG66" s="408"/>
      <c r="AH66" s="213"/>
      <c r="AI66" s="230"/>
      <c r="AJ66" s="230"/>
      <c r="AK66" s="15"/>
      <c r="AL66" s="15"/>
    </row>
    <row r="67" spans="1:38" ht="90" x14ac:dyDescent="0.25">
      <c r="A67" s="178"/>
      <c r="B67" s="303" t="s">
        <v>857</v>
      </c>
      <c r="C67" s="344"/>
      <c r="D67" s="304"/>
      <c r="E67" s="28" t="s">
        <v>858</v>
      </c>
      <c r="F67" s="171" t="s">
        <v>859</v>
      </c>
      <c r="G67" s="407"/>
      <c r="H67" s="172"/>
      <c r="I67" s="171" t="s">
        <v>860</v>
      </c>
      <c r="J67" s="172"/>
      <c r="K67" s="149"/>
      <c r="L67" s="150"/>
      <c r="M67" s="171" t="s">
        <v>861</v>
      </c>
      <c r="N67" s="407"/>
      <c r="O67" s="172"/>
      <c r="P67" s="387">
        <v>11</v>
      </c>
      <c r="Q67" s="388"/>
      <c r="R67" s="387">
        <v>24</v>
      </c>
      <c r="S67" s="388"/>
      <c r="T67" s="387">
        <v>10</v>
      </c>
      <c r="U67" s="388"/>
      <c r="V67" s="171" t="s">
        <v>862</v>
      </c>
      <c r="W67" s="172"/>
      <c r="X67" s="252">
        <v>223</v>
      </c>
      <c r="Y67" s="253"/>
      <c r="Z67" s="254"/>
      <c r="AA67" s="192" t="s">
        <v>722</v>
      </c>
      <c r="AB67" s="193"/>
      <c r="AC67" s="409" t="s">
        <v>675</v>
      </c>
      <c r="AD67" s="411"/>
      <c r="AE67" s="35" t="s">
        <v>865</v>
      </c>
      <c r="AF67" s="303" t="s">
        <v>867</v>
      </c>
      <c r="AG67" s="344"/>
      <c r="AH67" s="304"/>
      <c r="AI67" s="178"/>
      <c r="AJ67" s="178"/>
      <c r="AK67" s="15"/>
      <c r="AL67" s="15"/>
    </row>
    <row r="68" spans="1:38" ht="60" x14ac:dyDescent="0.25">
      <c r="A68" s="179"/>
      <c r="B68" s="292"/>
      <c r="C68" s="314"/>
      <c r="D68" s="293"/>
      <c r="E68" s="28" t="s">
        <v>869</v>
      </c>
      <c r="F68" s="212"/>
      <c r="G68" s="408"/>
      <c r="H68" s="213"/>
      <c r="I68" s="212"/>
      <c r="J68" s="213"/>
      <c r="K68" s="151"/>
      <c r="L68" s="152"/>
      <c r="M68" s="212"/>
      <c r="N68" s="408"/>
      <c r="O68" s="213"/>
      <c r="P68" s="389"/>
      <c r="Q68" s="390"/>
      <c r="R68" s="389"/>
      <c r="S68" s="390"/>
      <c r="T68" s="389"/>
      <c r="U68" s="390"/>
      <c r="V68" s="212"/>
      <c r="W68" s="213"/>
      <c r="X68" s="255"/>
      <c r="Y68" s="256"/>
      <c r="Z68" s="257"/>
      <c r="AA68" s="194"/>
      <c r="AB68" s="195"/>
      <c r="AC68" s="401" t="s">
        <v>863</v>
      </c>
      <c r="AD68" s="403"/>
      <c r="AE68" s="36" t="s">
        <v>681</v>
      </c>
      <c r="AF68" s="292" t="s">
        <v>868</v>
      </c>
      <c r="AG68" s="314"/>
      <c r="AH68" s="293"/>
      <c r="AI68" s="179"/>
      <c r="AJ68" s="179"/>
      <c r="AK68" s="15"/>
      <c r="AL68" s="15"/>
    </row>
    <row r="69" spans="1:38" ht="75" x14ac:dyDescent="0.25">
      <c r="A69" s="179"/>
      <c r="B69" s="292"/>
      <c r="C69" s="314"/>
      <c r="D69" s="293"/>
      <c r="E69" s="28" t="s">
        <v>870</v>
      </c>
      <c r="F69" s="88" t="s">
        <v>871</v>
      </c>
      <c r="G69" s="153"/>
      <c r="H69" s="89"/>
      <c r="I69" s="88" t="s">
        <v>872</v>
      </c>
      <c r="J69" s="89"/>
      <c r="K69" s="149"/>
      <c r="L69" s="150"/>
      <c r="M69" s="387">
        <v>86</v>
      </c>
      <c r="N69" s="495"/>
      <c r="O69" s="388"/>
      <c r="P69" s="387">
        <v>12</v>
      </c>
      <c r="Q69" s="388"/>
      <c r="R69" s="387">
        <v>24</v>
      </c>
      <c r="S69" s="388"/>
      <c r="T69" s="387">
        <v>10</v>
      </c>
      <c r="U69" s="388"/>
      <c r="V69" s="387">
        <v>132</v>
      </c>
      <c r="W69" s="388"/>
      <c r="X69" s="252">
        <v>263</v>
      </c>
      <c r="Y69" s="253"/>
      <c r="Z69" s="254"/>
      <c r="AA69" s="192" t="s">
        <v>873</v>
      </c>
      <c r="AB69" s="193"/>
      <c r="AC69" s="401" t="s">
        <v>677</v>
      </c>
      <c r="AD69" s="403"/>
      <c r="AE69" s="36" t="s">
        <v>866</v>
      </c>
      <c r="AF69" s="292"/>
      <c r="AG69" s="314"/>
      <c r="AH69" s="293"/>
      <c r="AI69" s="179"/>
      <c r="AJ69" s="179"/>
      <c r="AK69" s="15"/>
      <c r="AL69" s="15"/>
    </row>
    <row r="70" spans="1:38" ht="60" x14ac:dyDescent="0.25">
      <c r="A70" s="179"/>
      <c r="B70" s="292"/>
      <c r="C70" s="314"/>
      <c r="D70" s="293"/>
      <c r="E70" s="28" t="s">
        <v>874</v>
      </c>
      <c r="F70" s="117"/>
      <c r="G70" s="154"/>
      <c r="H70" s="118"/>
      <c r="I70" s="117"/>
      <c r="J70" s="118"/>
      <c r="K70" s="151"/>
      <c r="L70" s="152"/>
      <c r="M70" s="389"/>
      <c r="N70" s="496"/>
      <c r="O70" s="390"/>
      <c r="P70" s="389"/>
      <c r="Q70" s="390"/>
      <c r="R70" s="389"/>
      <c r="S70" s="390"/>
      <c r="T70" s="389"/>
      <c r="U70" s="390"/>
      <c r="V70" s="389"/>
      <c r="W70" s="390"/>
      <c r="X70" s="255"/>
      <c r="Y70" s="256"/>
      <c r="Z70" s="257"/>
      <c r="AA70" s="194"/>
      <c r="AB70" s="195"/>
      <c r="AC70" s="401" t="s">
        <v>678</v>
      </c>
      <c r="AD70" s="403"/>
      <c r="AE70" s="36"/>
      <c r="AF70" s="292"/>
      <c r="AG70" s="314"/>
      <c r="AH70" s="293"/>
      <c r="AI70" s="179"/>
      <c r="AJ70" s="179"/>
      <c r="AK70" s="15"/>
      <c r="AL70" s="15"/>
    </row>
    <row r="71" spans="1:38" ht="90" x14ac:dyDescent="0.35">
      <c r="A71" s="179"/>
      <c r="B71" s="292"/>
      <c r="C71" s="314"/>
      <c r="D71" s="293"/>
      <c r="E71" s="28" t="s">
        <v>875</v>
      </c>
      <c r="F71" s="124" t="s">
        <v>774</v>
      </c>
      <c r="G71" s="182"/>
      <c r="H71" s="125"/>
      <c r="I71" s="380" t="s">
        <v>876</v>
      </c>
      <c r="J71" s="381"/>
      <c r="K71" s="107"/>
      <c r="L71" s="109"/>
      <c r="M71" s="183">
        <v>155</v>
      </c>
      <c r="N71" s="184"/>
      <c r="O71" s="185"/>
      <c r="P71" s="183">
        <v>13</v>
      </c>
      <c r="Q71" s="185"/>
      <c r="R71" s="183">
        <v>40</v>
      </c>
      <c r="S71" s="185"/>
      <c r="T71" s="183">
        <v>15</v>
      </c>
      <c r="U71" s="185"/>
      <c r="V71" s="183">
        <v>223</v>
      </c>
      <c r="W71" s="185"/>
      <c r="X71" s="227">
        <v>380</v>
      </c>
      <c r="Y71" s="228"/>
      <c r="Z71" s="229"/>
      <c r="AA71" s="110" t="s">
        <v>768</v>
      </c>
      <c r="AB71" s="111"/>
      <c r="AC71" s="401" t="s">
        <v>864</v>
      </c>
      <c r="AD71" s="403"/>
      <c r="AE71" s="36"/>
      <c r="AF71" s="292"/>
      <c r="AG71" s="314"/>
      <c r="AH71" s="293"/>
      <c r="AI71" s="179"/>
      <c r="AJ71" s="179"/>
      <c r="AK71" s="15"/>
      <c r="AL71" s="15"/>
    </row>
    <row r="72" spans="1:38" ht="90" x14ac:dyDescent="0.35">
      <c r="A72" s="179"/>
      <c r="B72" s="292"/>
      <c r="C72" s="314"/>
      <c r="D72" s="293"/>
      <c r="E72" s="28" t="s">
        <v>877</v>
      </c>
      <c r="F72" s="124" t="s">
        <v>785</v>
      </c>
      <c r="G72" s="182"/>
      <c r="H72" s="125"/>
      <c r="I72" s="380" t="s">
        <v>878</v>
      </c>
      <c r="J72" s="381"/>
      <c r="K72" s="107"/>
      <c r="L72" s="109"/>
      <c r="M72" s="183">
        <v>207</v>
      </c>
      <c r="N72" s="184"/>
      <c r="O72" s="185"/>
      <c r="P72" s="183">
        <v>15</v>
      </c>
      <c r="Q72" s="185"/>
      <c r="R72" s="183">
        <v>50</v>
      </c>
      <c r="S72" s="185"/>
      <c r="T72" s="183">
        <v>17</v>
      </c>
      <c r="U72" s="185"/>
      <c r="V72" s="183">
        <v>289</v>
      </c>
      <c r="W72" s="185"/>
      <c r="X72" s="227">
        <v>458</v>
      </c>
      <c r="Y72" s="228"/>
      <c r="Z72" s="229"/>
      <c r="AA72" s="110" t="s">
        <v>879</v>
      </c>
      <c r="AB72" s="111"/>
      <c r="AC72" s="401"/>
      <c r="AD72" s="403"/>
      <c r="AE72" s="36"/>
      <c r="AF72" s="292"/>
      <c r="AG72" s="314"/>
      <c r="AH72" s="293"/>
      <c r="AI72" s="179"/>
      <c r="AJ72" s="179"/>
      <c r="AK72" s="15"/>
      <c r="AL72" s="15"/>
    </row>
    <row r="73" spans="1:38" ht="105" x14ac:dyDescent="0.25">
      <c r="A73" s="179"/>
      <c r="B73" s="292"/>
      <c r="C73" s="314"/>
      <c r="D73" s="293"/>
      <c r="E73" s="28" t="s">
        <v>880</v>
      </c>
      <c r="F73" s="223" t="s">
        <v>881</v>
      </c>
      <c r="G73" s="398"/>
      <c r="H73" s="224"/>
      <c r="I73" s="192" t="s">
        <v>881</v>
      </c>
      <c r="J73" s="193"/>
      <c r="K73" s="149"/>
      <c r="L73" s="150"/>
      <c r="M73" s="171" t="s">
        <v>882</v>
      </c>
      <c r="N73" s="407"/>
      <c r="O73" s="172"/>
      <c r="P73" s="387">
        <v>24</v>
      </c>
      <c r="Q73" s="388"/>
      <c r="R73" s="387">
        <v>60</v>
      </c>
      <c r="S73" s="388"/>
      <c r="T73" s="387">
        <v>25</v>
      </c>
      <c r="U73" s="388"/>
      <c r="V73" s="171" t="s">
        <v>883</v>
      </c>
      <c r="W73" s="172"/>
      <c r="X73" s="252">
        <v>590</v>
      </c>
      <c r="Y73" s="253"/>
      <c r="Z73" s="254"/>
      <c r="AA73" s="192" t="s">
        <v>768</v>
      </c>
      <c r="AB73" s="193"/>
      <c r="AC73" s="401"/>
      <c r="AD73" s="403"/>
      <c r="AE73" s="36"/>
      <c r="AF73" s="292"/>
      <c r="AG73" s="314"/>
      <c r="AH73" s="293"/>
      <c r="AI73" s="179"/>
      <c r="AJ73" s="179"/>
      <c r="AK73" s="15"/>
      <c r="AL73" s="15"/>
    </row>
    <row r="74" spans="1:38" ht="105" x14ac:dyDescent="0.25">
      <c r="A74" s="179"/>
      <c r="B74" s="292"/>
      <c r="C74" s="314"/>
      <c r="D74" s="293"/>
      <c r="E74" s="28" t="s">
        <v>884</v>
      </c>
      <c r="F74" s="225"/>
      <c r="G74" s="391"/>
      <c r="H74" s="226"/>
      <c r="I74" s="194"/>
      <c r="J74" s="195"/>
      <c r="K74" s="151"/>
      <c r="L74" s="152"/>
      <c r="M74" s="212"/>
      <c r="N74" s="408"/>
      <c r="O74" s="213"/>
      <c r="P74" s="389"/>
      <c r="Q74" s="390"/>
      <c r="R74" s="389"/>
      <c r="S74" s="390"/>
      <c r="T74" s="389"/>
      <c r="U74" s="390"/>
      <c r="V74" s="212"/>
      <c r="W74" s="213"/>
      <c r="X74" s="255"/>
      <c r="Y74" s="256"/>
      <c r="Z74" s="257"/>
      <c r="AA74" s="194"/>
      <c r="AB74" s="195"/>
      <c r="AC74" s="401"/>
      <c r="AD74" s="403"/>
      <c r="AE74" s="36"/>
      <c r="AF74" s="292"/>
      <c r="AG74" s="314"/>
      <c r="AH74" s="293"/>
      <c r="AI74" s="179"/>
      <c r="AJ74" s="179"/>
      <c r="AK74" s="15"/>
      <c r="AL74" s="15"/>
    </row>
    <row r="75" spans="1:38" ht="105" x14ac:dyDescent="0.25">
      <c r="A75" s="179"/>
      <c r="B75" s="292"/>
      <c r="C75" s="314"/>
      <c r="D75" s="293"/>
      <c r="E75" s="28" t="s">
        <v>885</v>
      </c>
      <c r="F75" s="223" t="s">
        <v>881</v>
      </c>
      <c r="G75" s="398"/>
      <c r="H75" s="224"/>
      <c r="I75" s="192" t="s">
        <v>881</v>
      </c>
      <c r="J75" s="193"/>
      <c r="K75" s="149"/>
      <c r="L75" s="150"/>
      <c r="M75" s="387">
        <v>293</v>
      </c>
      <c r="N75" s="495"/>
      <c r="O75" s="388"/>
      <c r="P75" s="387">
        <v>27</v>
      </c>
      <c r="Q75" s="388"/>
      <c r="R75" s="387">
        <v>70</v>
      </c>
      <c r="S75" s="388"/>
      <c r="T75" s="387">
        <v>27</v>
      </c>
      <c r="U75" s="388"/>
      <c r="V75" s="387">
        <v>417</v>
      </c>
      <c r="W75" s="388"/>
      <c r="X75" s="252">
        <v>709</v>
      </c>
      <c r="Y75" s="253"/>
      <c r="Z75" s="254"/>
      <c r="AA75" s="192" t="s">
        <v>768</v>
      </c>
      <c r="AB75" s="193"/>
      <c r="AC75" s="401"/>
      <c r="AD75" s="403"/>
      <c r="AE75" s="36"/>
      <c r="AF75" s="292"/>
      <c r="AG75" s="314"/>
      <c r="AH75" s="293"/>
      <c r="AI75" s="179"/>
      <c r="AJ75" s="179"/>
      <c r="AK75" s="15"/>
      <c r="AL75" s="15"/>
    </row>
    <row r="76" spans="1:38" ht="105" x14ac:dyDescent="0.25">
      <c r="A76" s="179"/>
      <c r="B76" s="292"/>
      <c r="C76" s="314"/>
      <c r="D76" s="293"/>
      <c r="E76" s="28" t="s">
        <v>886</v>
      </c>
      <c r="F76" s="225"/>
      <c r="G76" s="391"/>
      <c r="H76" s="226"/>
      <c r="I76" s="194"/>
      <c r="J76" s="195"/>
      <c r="K76" s="151"/>
      <c r="L76" s="152"/>
      <c r="M76" s="389"/>
      <c r="N76" s="496"/>
      <c r="O76" s="390"/>
      <c r="P76" s="389"/>
      <c r="Q76" s="390"/>
      <c r="R76" s="389"/>
      <c r="S76" s="390"/>
      <c r="T76" s="389"/>
      <c r="U76" s="390"/>
      <c r="V76" s="389"/>
      <c r="W76" s="390"/>
      <c r="X76" s="255"/>
      <c r="Y76" s="256"/>
      <c r="Z76" s="257"/>
      <c r="AA76" s="194"/>
      <c r="AB76" s="195"/>
      <c r="AC76" s="401"/>
      <c r="AD76" s="403"/>
      <c r="AE76" s="36"/>
      <c r="AF76" s="292"/>
      <c r="AG76" s="314"/>
      <c r="AH76" s="293"/>
      <c r="AI76" s="179"/>
      <c r="AJ76" s="179"/>
      <c r="AK76" s="15"/>
      <c r="AL76" s="15"/>
    </row>
    <row r="77" spans="1:38" ht="90" x14ac:dyDescent="0.35">
      <c r="A77" s="179"/>
      <c r="B77" s="292"/>
      <c r="C77" s="314"/>
      <c r="D77" s="293"/>
      <c r="E77" s="28" t="s">
        <v>887</v>
      </c>
      <c r="F77" s="124" t="s">
        <v>774</v>
      </c>
      <c r="G77" s="182"/>
      <c r="H77" s="125"/>
      <c r="I77" s="380" t="s">
        <v>888</v>
      </c>
      <c r="J77" s="381"/>
      <c r="K77" s="107"/>
      <c r="L77" s="109"/>
      <c r="M77" s="183">
        <v>225</v>
      </c>
      <c r="N77" s="184"/>
      <c r="O77" s="185"/>
      <c r="P77" s="183">
        <v>13</v>
      </c>
      <c r="Q77" s="185"/>
      <c r="R77" s="183">
        <v>45</v>
      </c>
      <c r="S77" s="185"/>
      <c r="T77" s="183">
        <v>15</v>
      </c>
      <c r="U77" s="185"/>
      <c r="V77" s="183">
        <v>298</v>
      </c>
      <c r="W77" s="185"/>
      <c r="X77" s="227">
        <v>580</v>
      </c>
      <c r="Y77" s="228"/>
      <c r="Z77" s="229"/>
      <c r="AA77" s="110" t="s">
        <v>889</v>
      </c>
      <c r="AB77" s="111"/>
      <c r="AC77" s="401"/>
      <c r="AD77" s="403"/>
      <c r="AE77" s="36"/>
      <c r="AF77" s="292"/>
      <c r="AG77" s="314"/>
      <c r="AH77" s="293"/>
      <c r="AI77" s="179"/>
      <c r="AJ77" s="179"/>
      <c r="AK77" s="15"/>
      <c r="AL77" s="15"/>
    </row>
    <row r="78" spans="1:38" ht="90" x14ac:dyDescent="0.35">
      <c r="A78" s="179"/>
      <c r="B78" s="292"/>
      <c r="C78" s="314"/>
      <c r="D78" s="293"/>
      <c r="E78" s="28" t="s">
        <v>890</v>
      </c>
      <c r="F78" s="124" t="s">
        <v>785</v>
      </c>
      <c r="G78" s="182"/>
      <c r="H78" s="125"/>
      <c r="I78" s="380" t="s">
        <v>891</v>
      </c>
      <c r="J78" s="381"/>
      <c r="K78" s="107"/>
      <c r="L78" s="109"/>
      <c r="M78" s="183">
        <v>277</v>
      </c>
      <c r="N78" s="184"/>
      <c r="O78" s="185"/>
      <c r="P78" s="183">
        <v>15</v>
      </c>
      <c r="Q78" s="185"/>
      <c r="R78" s="183">
        <v>50</v>
      </c>
      <c r="S78" s="185"/>
      <c r="T78" s="183">
        <v>17</v>
      </c>
      <c r="U78" s="185"/>
      <c r="V78" s="183">
        <v>359</v>
      </c>
      <c r="W78" s="185"/>
      <c r="X78" s="227">
        <v>680</v>
      </c>
      <c r="Y78" s="228"/>
      <c r="Z78" s="229"/>
      <c r="AA78" s="110" t="s">
        <v>889</v>
      </c>
      <c r="AB78" s="111"/>
      <c r="AC78" s="401"/>
      <c r="AD78" s="403"/>
      <c r="AE78" s="36"/>
      <c r="AF78" s="292"/>
      <c r="AG78" s="314"/>
      <c r="AH78" s="293"/>
      <c r="AI78" s="179"/>
      <c r="AJ78" s="179"/>
      <c r="AK78" s="15"/>
      <c r="AL78" s="15"/>
    </row>
    <row r="79" spans="1:38" ht="105" x14ac:dyDescent="0.25">
      <c r="A79" s="179"/>
      <c r="B79" s="292"/>
      <c r="C79" s="314"/>
      <c r="D79" s="293"/>
      <c r="E79" s="28" t="s">
        <v>892</v>
      </c>
      <c r="F79" s="223" t="s">
        <v>881</v>
      </c>
      <c r="G79" s="398"/>
      <c r="H79" s="224"/>
      <c r="I79" s="755" t="s">
        <v>881</v>
      </c>
      <c r="J79" s="756"/>
      <c r="K79" s="149"/>
      <c r="L79" s="150"/>
      <c r="M79" s="171" t="s">
        <v>893</v>
      </c>
      <c r="N79" s="407"/>
      <c r="O79" s="172"/>
      <c r="P79" s="387">
        <v>24</v>
      </c>
      <c r="Q79" s="388"/>
      <c r="R79" s="387">
        <v>60</v>
      </c>
      <c r="S79" s="388"/>
      <c r="T79" s="387">
        <v>25</v>
      </c>
      <c r="U79" s="388"/>
      <c r="V79" s="171" t="s">
        <v>894</v>
      </c>
      <c r="W79" s="172"/>
      <c r="X79" s="252">
        <v>780</v>
      </c>
      <c r="Y79" s="253"/>
      <c r="Z79" s="254"/>
      <c r="AA79" s="192" t="s">
        <v>889</v>
      </c>
      <c r="AB79" s="193"/>
      <c r="AC79" s="401"/>
      <c r="AD79" s="403"/>
      <c r="AE79" s="36"/>
      <c r="AF79" s="292"/>
      <c r="AG79" s="314"/>
      <c r="AH79" s="293"/>
      <c r="AI79" s="179"/>
      <c r="AJ79" s="179"/>
      <c r="AK79" s="15"/>
      <c r="AL79" s="15"/>
    </row>
    <row r="80" spans="1:38" ht="105" x14ac:dyDescent="0.25">
      <c r="A80" s="179"/>
      <c r="B80" s="292"/>
      <c r="C80" s="314"/>
      <c r="D80" s="293"/>
      <c r="E80" s="28" t="s">
        <v>895</v>
      </c>
      <c r="F80" s="225"/>
      <c r="G80" s="391"/>
      <c r="H80" s="226"/>
      <c r="I80" s="757"/>
      <c r="J80" s="758"/>
      <c r="K80" s="151"/>
      <c r="L80" s="152"/>
      <c r="M80" s="212"/>
      <c r="N80" s="408"/>
      <c r="O80" s="213"/>
      <c r="P80" s="389"/>
      <c r="Q80" s="390"/>
      <c r="R80" s="389"/>
      <c r="S80" s="390"/>
      <c r="T80" s="389"/>
      <c r="U80" s="390"/>
      <c r="V80" s="212"/>
      <c r="W80" s="213"/>
      <c r="X80" s="255"/>
      <c r="Y80" s="256"/>
      <c r="Z80" s="257"/>
      <c r="AA80" s="194"/>
      <c r="AB80" s="195"/>
      <c r="AC80" s="401"/>
      <c r="AD80" s="403"/>
      <c r="AE80" s="36"/>
      <c r="AF80" s="292"/>
      <c r="AG80" s="314"/>
      <c r="AH80" s="293"/>
      <c r="AI80" s="179"/>
      <c r="AJ80" s="179"/>
      <c r="AK80" s="15"/>
      <c r="AL80" s="15"/>
    </row>
    <row r="81" spans="1:38" ht="105" x14ac:dyDescent="0.25">
      <c r="A81" s="179"/>
      <c r="B81" s="292"/>
      <c r="C81" s="314"/>
      <c r="D81" s="293"/>
      <c r="E81" s="28" t="s">
        <v>896</v>
      </c>
      <c r="F81" s="223" t="s">
        <v>881</v>
      </c>
      <c r="G81" s="398"/>
      <c r="H81" s="224"/>
      <c r="I81" s="192" t="s">
        <v>881</v>
      </c>
      <c r="J81" s="193"/>
      <c r="K81" s="149"/>
      <c r="L81" s="150"/>
      <c r="M81" s="387">
        <v>363</v>
      </c>
      <c r="N81" s="495"/>
      <c r="O81" s="388"/>
      <c r="P81" s="387">
        <v>27</v>
      </c>
      <c r="Q81" s="388"/>
      <c r="R81" s="387">
        <v>70</v>
      </c>
      <c r="S81" s="388"/>
      <c r="T81" s="387">
        <v>27</v>
      </c>
      <c r="U81" s="388"/>
      <c r="V81" s="387">
        <v>487</v>
      </c>
      <c r="W81" s="388"/>
      <c r="X81" s="252">
        <v>920</v>
      </c>
      <c r="Y81" s="253"/>
      <c r="Z81" s="254"/>
      <c r="AA81" s="192" t="s">
        <v>889</v>
      </c>
      <c r="AB81" s="193"/>
      <c r="AC81" s="401"/>
      <c r="AD81" s="403"/>
      <c r="AE81" s="36"/>
      <c r="AF81" s="292"/>
      <c r="AG81" s="314"/>
      <c r="AH81" s="293"/>
      <c r="AI81" s="179"/>
      <c r="AJ81" s="179"/>
      <c r="AK81" s="15"/>
      <c r="AL81" s="15"/>
    </row>
    <row r="82" spans="1:38" ht="105" x14ac:dyDescent="0.25">
      <c r="A82" s="230"/>
      <c r="B82" s="290"/>
      <c r="C82" s="345"/>
      <c r="D82" s="291"/>
      <c r="E82" s="28" t="s">
        <v>897</v>
      </c>
      <c r="F82" s="225"/>
      <c r="G82" s="391"/>
      <c r="H82" s="226"/>
      <c r="I82" s="194"/>
      <c r="J82" s="195"/>
      <c r="K82" s="151"/>
      <c r="L82" s="152"/>
      <c r="M82" s="389"/>
      <c r="N82" s="496"/>
      <c r="O82" s="390"/>
      <c r="P82" s="389"/>
      <c r="Q82" s="390"/>
      <c r="R82" s="389"/>
      <c r="S82" s="390"/>
      <c r="T82" s="389"/>
      <c r="U82" s="390"/>
      <c r="V82" s="389"/>
      <c r="W82" s="390"/>
      <c r="X82" s="255"/>
      <c r="Y82" s="256"/>
      <c r="Z82" s="257"/>
      <c r="AA82" s="194"/>
      <c r="AB82" s="195"/>
      <c r="AC82" s="404"/>
      <c r="AD82" s="406"/>
      <c r="AE82" s="36"/>
      <c r="AF82" s="290"/>
      <c r="AG82" s="345"/>
      <c r="AH82" s="291"/>
      <c r="AI82" s="230"/>
      <c r="AJ82" s="230"/>
      <c r="AK82" s="15"/>
      <c r="AL82" s="15"/>
    </row>
    <row r="83" spans="1:38" ht="75" x14ac:dyDescent="0.3">
      <c r="A83" s="178"/>
      <c r="B83" s="303" t="s">
        <v>898</v>
      </c>
      <c r="C83" s="344"/>
      <c r="D83" s="304"/>
      <c r="E83" s="66" t="s">
        <v>899</v>
      </c>
      <c r="F83" s="223" t="s">
        <v>900</v>
      </c>
      <c r="G83" s="398"/>
      <c r="H83" s="224"/>
      <c r="I83" s="724" t="s">
        <v>901</v>
      </c>
      <c r="J83" s="725"/>
      <c r="K83" s="171" t="s">
        <v>902</v>
      </c>
      <c r="L83" s="172"/>
      <c r="M83" s="171" t="s">
        <v>903</v>
      </c>
      <c r="N83" s="407"/>
      <c r="O83" s="172"/>
      <c r="P83" s="387">
        <v>4</v>
      </c>
      <c r="Q83" s="388"/>
      <c r="R83" s="387">
        <v>12</v>
      </c>
      <c r="S83" s="388"/>
      <c r="T83" s="387">
        <v>9</v>
      </c>
      <c r="U83" s="388"/>
      <c r="V83" s="171" t="s">
        <v>904</v>
      </c>
      <c r="W83" s="172"/>
      <c r="X83" s="252">
        <v>98</v>
      </c>
      <c r="Y83" s="253"/>
      <c r="Z83" s="254"/>
      <c r="AA83" s="192" t="s">
        <v>873</v>
      </c>
      <c r="AB83" s="193"/>
      <c r="AC83" s="223" t="s">
        <v>675</v>
      </c>
      <c r="AD83" s="224"/>
      <c r="AE83" s="24" t="s">
        <v>907</v>
      </c>
      <c r="AF83" s="303" t="s">
        <v>909</v>
      </c>
      <c r="AG83" s="344"/>
      <c r="AH83" s="304"/>
      <c r="AI83" s="178"/>
      <c r="AJ83" s="178"/>
      <c r="AK83" s="15"/>
      <c r="AL83" s="15"/>
    </row>
    <row r="84" spans="1:38" ht="15.5" x14ac:dyDescent="0.3">
      <c r="A84" s="179"/>
      <c r="B84" s="292"/>
      <c r="C84" s="314"/>
      <c r="D84" s="293"/>
      <c r="E84" s="67"/>
      <c r="F84" s="225"/>
      <c r="G84" s="391"/>
      <c r="H84" s="226"/>
      <c r="I84" s="728"/>
      <c r="J84" s="729"/>
      <c r="K84" s="212"/>
      <c r="L84" s="213"/>
      <c r="M84" s="212"/>
      <c r="N84" s="408"/>
      <c r="O84" s="213"/>
      <c r="P84" s="389"/>
      <c r="Q84" s="390"/>
      <c r="R84" s="389"/>
      <c r="S84" s="390"/>
      <c r="T84" s="389"/>
      <c r="U84" s="390"/>
      <c r="V84" s="212"/>
      <c r="W84" s="213"/>
      <c r="X84" s="255"/>
      <c r="Y84" s="256"/>
      <c r="Z84" s="257"/>
      <c r="AA84" s="194"/>
      <c r="AB84" s="195"/>
      <c r="AC84" s="239" t="s">
        <v>905</v>
      </c>
      <c r="AD84" s="240"/>
      <c r="AE84" s="31" t="s">
        <v>848</v>
      </c>
      <c r="AF84" s="292"/>
      <c r="AG84" s="314"/>
      <c r="AH84" s="293"/>
      <c r="AI84" s="179"/>
      <c r="AJ84" s="179"/>
      <c r="AK84" s="15"/>
      <c r="AL84" s="15"/>
    </row>
    <row r="85" spans="1:38" ht="120" x14ac:dyDescent="0.3">
      <c r="A85" s="179"/>
      <c r="B85" s="292"/>
      <c r="C85" s="314"/>
      <c r="D85" s="293"/>
      <c r="E85" s="19" t="s">
        <v>910</v>
      </c>
      <c r="F85" s="346" t="s">
        <v>900</v>
      </c>
      <c r="G85" s="347"/>
      <c r="H85" s="348"/>
      <c r="I85" s="430" t="s">
        <v>911</v>
      </c>
      <c r="J85" s="431"/>
      <c r="K85" s="351" t="s">
        <v>902</v>
      </c>
      <c r="L85" s="352"/>
      <c r="M85" s="353" t="s">
        <v>912</v>
      </c>
      <c r="N85" s="354"/>
      <c r="O85" s="355"/>
      <c r="P85" s="349">
        <v>4</v>
      </c>
      <c r="Q85" s="350"/>
      <c r="R85" s="349">
        <v>12</v>
      </c>
      <c r="S85" s="350"/>
      <c r="T85" s="349">
        <v>9</v>
      </c>
      <c r="U85" s="350"/>
      <c r="V85" s="351" t="s">
        <v>913</v>
      </c>
      <c r="W85" s="352"/>
      <c r="X85" s="334">
        <v>98</v>
      </c>
      <c r="Y85" s="335"/>
      <c r="Z85" s="336"/>
      <c r="AA85" s="337" t="s">
        <v>768</v>
      </c>
      <c r="AB85" s="338"/>
      <c r="AC85" s="239" t="s">
        <v>678</v>
      </c>
      <c r="AD85" s="240"/>
      <c r="AE85" s="31" t="s">
        <v>908</v>
      </c>
      <c r="AF85" s="292"/>
      <c r="AG85" s="314"/>
      <c r="AH85" s="293"/>
      <c r="AI85" s="179"/>
      <c r="AJ85" s="179"/>
      <c r="AK85" s="15"/>
      <c r="AL85" s="15"/>
    </row>
    <row r="86" spans="1:38" ht="60" x14ac:dyDescent="0.3">
      <c r="A86" s="230"/>
      <c r="B86" s="290"/>
      <c r="C86" s="345"/>
      <c r="D86" s="291"/>
      <c r="E86" s="19" t="s">
        <v>914</v>
      </c>
      <c r="F86" s="346" t="s">
        <v>915</v>
      </c>
      <c r="G86" s="347"/>
      <c r="H86" s="348"/>
      <c r="I86" s="430" t="s">
        <v>901</v>
      </c>
      <c r="J86" s="431"/>
      <c r="K86" s="351" t="s">
        <v>916</v>
      </c>
      <c r="L86" s="352"/>
      <c r="M86" s="349">
        <v>48</v>
      </c>
      <c r="N86" s="423"/>
      <c r="O86" s="350"/>
      <c r="P86" s="349">
        <v>8</v>
      </c>
      <c r="Q86" s="350"/>
      <c r="R86" s="551">
        <v>19</v>
      </c>
      <c r="S86" s="553"/>
      <c r="T86" s="349">
        <v>10</v>
      </c>
      <c r="U86" s="350"/>
      <c r="V86" s="349">
        <v>85</v>
      </c>
      <c r="W86" s="350"/>
      <c r="X86" s="334">
        <v>138</v>
      </c>
      <c r="Y86" s="335"/>
      <c r="Z86" s="336"/>
      <c r="AA86" s="337" t="s">
        <v>674</v>
      </c>
      <c r="AB86" s="338"/>
      <c r="AC86" s="225" t="s">
        <v>906</v>
      </c>
      <c r="AD86" s="226"/>
      <c r="AE86" s="31"/>
      <c r="AF86" s="290"/>
      <c r="AG86" s="345"/>
      <c r="AH86" s="291"/>
      <c r="AI86" s="230"/>
      <c r="AJ86" s="230"/>
      <c r="AK86" s="15"/>
      <c r="AL86" s="15"/>
    </row>
    <row r="87" spans="1:38" ht="75" x14ac:dyDescent="0.3">
      <c r="A87" s="178"/>
      <c r="B87" s="303" t="s">
        <v>917</v>
      </c>
      <c r="C87" s="344"/>
      <c r="D87" s="304"/>
      <c r="E87" s="19" t="s">
        <v>918</v>
      </c>
      <c r="F87" s="233" t="s">
        <v>919</v>
      </c>
      <c r="G87" s="305"/>
      <c r="H87" s="234"/>
      <c r="I87" s="328">
        <v>5</v>
      </c>
      <c r="J87" s="329"/>
      <c r="K87" s="303" t="s">
        <v>920</v>
      </c>
      <c r="L87" s="304"/>
      <c r="M87" s="351" t="s">
        <v>921</v>
      </c>
      <c r="N87" s="444"/>
      <c r="O87" s="352"/>
      <c r="P87" s="351" t="s">
        <v>922</v>
      </c>
      <c r="Q87" s="352"/>
      <c r="R87" s="349">
        <v>12</v>
      </c>
      <c r="S87" s="350"/>
      <c r="T87" s="349">
        <v>4</v>
      </c>
      <c r="U87" s="350"/>
      <c r="V87" s="351" t="s">
        <v>923</v>
      </c>
      <c r="W87" s="352"/>
      <c r="X87" s="334">
        <v>88</v>
      </c>
      <c r="Y87" s="335"/>
      <c r="Z87" s="336"/>
      <c r="AA87" s="337" t="s">
        <v>924</v>
      </c>
      <c r="AB87" s="338"/>
      <c r="AC87" s="164"/>
      <c r="AD87" s="166"/>
      <c r="AE87" s="178"/>
      <c r="AF87" s="164"/>
      <c r="AG87" s="165"/>
      <c r="AH87" s="166"/>
      <c r="AI87" s="178"/>
      <c r="AJ87" s="178"/>
      <c r="AK87" s="15"/>
      <c r="AL87" s="15"/>
    </row>
    <row r="88" spans="1:38" ht="75" x14ac:dyDescent="0.3">
      <c r="A88" s="179"/>
      <c r="B88" s="292"/>
      <c r="C88" s="314"/>
      <c r="D88" s="293"/>
      <c r="E88" s="19" t="s">
        <v>925</v>
      </c>
      <c r="F88" s="235"/>
      <c r="G88" s="270"/>
      <c r="H88" s="236"/>
      <c r="I88" s="517"/>
      <c r="J88" s="518"/>
      <c r="K88" s="292"/>
      <c r="L88" s="293"/>
      <c r="M88" s="351" t="s">
        <v>926</v>
      </c>
      <c r="N88" s="444"/>
      <c r="O88" s="352"/>
      <c r="P88" s="351" t="s">
        <v>922</v>
      </c>
      <c r="Q88" s="352"/>
      <c r="R88" s="349">
        <v>12</v>
      </c>
      <c r="S88" s="350"/>
      <c r="T88" s="349">
        <v>4</v>
      </c>
      <c r="U88" s="350"/>
      <c r="V88" s="351" t="s">
        <v>927</v>
      </c>
      <c r="W88" s="352"/>
      <c r="X88" s="334">
        <v>88</v>
      </c>
      <c r="Y88" s="335"/>
      <c r="Z88" s="336"/>
      <c r="AA88" s="337" t="s">
        <v>924</v>
      </c>
      <c r="AB88" s="338"/>
      <c r="AC88" s="167"/>
      <c r="AD88" s="169"/>
      <c r="AE88" s="179"/>
      <c r="AF88" s="167"/>
      <c r="AG88" s="168"/>
      <c r="AH88" s="169"/>
      <c r="AI88" s="179"/>
      <c r="AJ88" s="179"/>
      <c r="AK88" s="15"/>
      <c r="AL88" s="15"/>
    </row>
    <row r="89" spans="1:38" ht="75" x14ac:dyDescent="0.3">
      <c r="A89" s="230"/>
      <c r="B89" s="290"/>
      <c r="C89" s="345"/>
      <c r="D89" s="291"/>
      <c r="E89" s="19" t="s">
        <v>928</v>
      </c>
      <c r="F89" s="237"/>
      <c r="G89" s="306"/>
      <c r="H89" s="238"/>
      <c r="I89" s="519"/>
      <c r="J89" s="520"/>
      <c r="K89" s="290"/>
      <c r="L89" s="291"/>
      <c r="M89" s="351" t="s">
        <v>929</v>
      </c>
      <c r="N89" s="444"/>
      <c r="O89" s="352"/>
      <c r="P89" s="351" t="s">
        <v>922</v>
      </c>
      <c r="Q89" s="352"/>
      <c r="R89" s="349">
        <v>12</v>
      </c>
      <c r="S89" s="350"/>
      <c r="T89" s="349">
        <v>4</v>
      </c>
      <c r="U89" s="350"/>
      <c r="V89" s="351" t="s">
        <v>930</v>
      </c>
      <c r="W89" s="352"/>
      <c r="X89" s="334">
        <v>88</v>
      </c>
      <c r="Y89" s="335"/>
      <c r="Z89" s="336"/>
      <c r="AA89" s="337" t="s">
        <v>924</v>
      </c>
      <c r="AB89" s="338"/>
      <c r="AC89" s="214"/>
      <c r="AD89" s="216"/>
      <c r="AE89" s="230"/>
      <c r="AF89" s="214"/>
      <c r="AG89" s="215"/>
      <c r="AH89" s="216"/>
      <c r="AI89" s="230"/>
      <c r="AJ89" s="230"/>
      <c r="AK89" s="15"/>
      <c r="AL89" s="15"/>
    </row>
    <row r="90" spans="1:38" ht="75" x14ac:dyDescent="0.3">
      <c r="A90" s="178"/>
      <c r="B90" s="303" t="s">
        <v>931</v>
      </c>
      <c r="C90" s="344"/>
      <c r="D90" s="304"/>
      <c r="E90" s="19" t="s">
        <v>932</v>
      </c>
      <c r="F90" s="233" t="s">
        <v>933</v>
      </c>
      <c r="G90" s="305"/>
      <c r="H90" s="234"/>
      <c r="I90" s="328">
        <v>5</v>
      </c>
      <c r="J90" s="329"/>
      <c r="K90" s="303" t="s">
        <v>934</v>
      </c>
      <c r="L90" s="304"/>
      <c r="M90" s="351" t="s">
        <v>921</v>
      </c>
      <c r="N90" s="444"/>
      <c r="O90" s="352"/>
      <c r="P90" s="349">
        <v>2</v>
      </c>
      <c r="Q90" s="350"/>
      <c r="R90" s="349">
        <v>12</v>
      </c>
      <c r="S90" s="350"/>
      <c r="T90" s="349">
        <v>4</v>
      </c>
      <c r="U90" s="350"/>
      <c r="V90" s="351" t="s">
        <v>935</v>
      </c>
      <c r="W90" s="352"/>
      <c r="X90" s="334">
        <v>88</v>
      </c>
      <c r="Y90" s="335"/>
      <c r="Z90" s="336"/>
      <c r="AA90" s="337" t="s">
        <v>924</v>
      </c>
      <c r="AB90" s="338"/>
      <c r="AC90" s="164"/>
      <c r="AD90" s="165"/>
      <c r="AE90" s="166"/>
      <c r="AF90" s="164"/>
      <c r="AG90" s="165"/>
      <c r="AH90" s="166"/>
      <c r="AI90" s="178"/>
      <c r="AJ90" s="178"/>
      <c r="AK90" s="15"/>
      <c r="AL90" s="15"/>
    </row>
    <row r="91" spans="1:38" ht="75" x14ac:dyDescent="0.3">
      <c r="A91" s="179"/>
      <c r="B91" s="292"/>
      <c r="C91" s="314"/>
      <c r="D91" s="293"/>
      <c r="E91" s="19" t="s">
        <v>936</v>
      </c>
      <c r="F91" s="235"/>
      <c r="G91" s="270"/>
      <c r="H91" s="236"/>
      <c r="I91" s="517"/>
      <c r="J91" s="518"/>
      <c r="K91" s="292"/>
      <c r="L91" s="293"/>
      <c r="M91" s="351" t="s">
        <v>926</v>
      </c>
      <c r="N91" s="444"/>
      <c r="O91" s="352"/>
      <c r="P91" s="349">
        <v>2</v>
      </c>
      <c r="Q91" s="350"/>
      <c r="R91" s="349">
        <v>12</v>
      </c>
      <c r="S91" s="350"/>
      <c r="T91" s="349">
        <v>4</v>
      </c>
      <c r="U91" s="350"/>
      <c r="V91" s="351" t="s">
        <v>937</v>
      </c>
      <c r="W91" s="352"/>
      <c r="X91" s="334">
        <v>88</v>
      </c>
      <c r="Y91" s="335"/>
      <c r="Z91" s="336"/>
      <c r="AA91" s="337" t="s">
        <v>924</v>
      </c>
      <c r="AB91" s="338"/>
      <c r="AC91" s="167"/>
      <c r="AD91" s="168"/>
      <c r="AE91" s="169"/>
      <c r="AF91" s="167"/>
      <c r="AG91" s="168"/>
      <c r="AH91" s="169"/>
      <c r="AI91" s="179"/>
      <c r="AJ91" s="179"/>
      <c r="AK91" s="15"/>
      <c r="AL91" s="15"/>
    </row>
    <row r="92" spans="1:38" ht="75" x14ac:dyDescent="0.3">
      <c r="A92" s="230"/>
      <c r="B92" s="290"/>
      <c r="C92" s="345"/>
      <c r="D92" s="291"/>
      <c r="E92" s="19" t="s">
        <v>938</v>
      </c>
      <c r="F92" s="237"/>
      <c r="G92" s="306"/>
      <c r="H92" s="238"/>
      <c r="I92" s="519"/>
      <c r="J92" s="520"/>
      <c r="K92" s="290"/>
      <c r="L92" s="291"/>
      <c r="M92" s="351" t="s">
        <v>929</v>
      </c>
      <c r="N92" s="444"/>
      <c r="O92" s="352"/>
      <c r="P92" s="349">
        <v>2</v>
      </c>
      <c r="Q92" s="350"/>
      <c r="R92" s="349">
        <v>12</v>
      </c>
      <c r="S92" s="350"/>
      <c r="T92" s="349">
        <v>4</v>
      </c>
      <c r="U92" s="350"/>
      <c r="V92" s="351" t="s">
        <v>939</v>
      </c>
      <c r="W92" s="352"/>
      <c r="X92" s="334">
        <v>88</v>
      </c>
      <c r="Y92" s="335"/>
      <c r="Z92" s="336"/>
      <c r="AA92" s="337" t="s">
        <v>844</v>
      </c>
      <c r="AB92" s="338"/>
      <c r="AC92" s="214"/>
      <c r="AD92" s="215"/>
      <c r="AE92" s="216"/>
      <c r="AF92" s="214"/>
      <c r="AG92" s="215"/>
      <c r="AH92" s="216"/>
      <c r="AI92" s="230"/>
      <c r="AJ92" s="230"/>
      <c r="AK92" s="15"/>
      <c r="AL92" s="15"/>
    </row>
    <row r="93" spans="1:38" ht="75" x14ac:dyDescent="0.3">
      <c r="A93" s="178"/>
      <c r="B93" s="303" t="s">
        <v>940</v>
      </c>
      <c r="C93" s="344"/>
      <c r="D93" s="304"/>
      <c r="E93" s="19" t="s">
        <v>941</v>
      </c>
      <c r="F93" s="233" t="s">
        <v>942</v>
      </c>
      <c r="G93" s="305"/>
      <c r="H93" s="234"/>
      <c r="I93" s="430" t="s">
        <v>901</v>
      </c>
      <c r="J93" s="431"/>
      <c r="K93" s="351" t="s">
        <v>943</v>
      </c>
      <c r="L93" s="352"/>
      <c r="M93" s="351" t="s">
        <v>912</v>
      </c>
      <c r="N93" s="444"/>
      <c r="O93" s="352"/>
      <c r="P93" s="349">
        <v>3</v>
      </c>
      <c r="Q93" s="350"/>
      <c r="R93" s="349">
        <v>12</v>
      </c>
      <c r="S93" s="350"/>
      <c r="T93" s="349">
        <v>5</v>
      </c>
      <c r="U93" s="350"/>
      <c r="V93" s="351" t="s">
        <v>944</v>
      </c>
      <c r="W93" s="352"/>
      <c r="X93" s="334">
        <v>98</v>
      </c>
      <c r="Y93" s="335"/>
      <c r="Z93" s="336"/>
      <c r="AA93" s="337" t="s">
        <v>889</v>
      </c>
      <c r="AB93" s="338"/>
      <c r="AC93" s="164"/>
      <c r="AD93" s="165"/>
      <c r="AE93" s="166"/>
      <c r="AF93" s="164"/>
      <c r="AG93" s="165"/>
      <c r="AH93" s="166"/>
      <c r="AI93" s="178"/>
      <c r="AJ93" s="178"/>
      <c r="AK93" s="15"/>
      <c r="AL93" s="15"/>
    </row>
    <row r="94" spans="1:38" ht="75" x14ac:dyDescent="0.3">
      <c r="A94" s="179"/>
      <c r="B94" s="292"/>
      <c r="C94" s="314"/>
      <c r="D94" s="293"/>
      <c r="E94" s="19" t="s">
        <v>945</v>
      </c>
      <c r="F94" s="235"/>
      <c r="G94" s="270"/>
      <c r="H94" s="236"/>
      <c r="I94" s="430" t="s">
        <v>901</v>
      </c>
      <c r="J94" s="431"/>
      <c r="K94" s="351" t="s">
        <v>943</v>
      </c>
      <c r="L94" s="352"/>
      <c r="M94" s="351" t="s">
        <v>946</v>
      </c>
      <c r="N94" s="444"/>
      <c r="O94" s="352"/>
      <c r="P94" s="349">
        <v>3</v>
      </c>
      <c r="Q94" s="350"/>
      <c r="R94" s="349">
        <v>12</v>
      </c>
      <c r="S94" s="350"/>
      <c r="T94" s="349">
        <v>5</v>
      </c>
      <c r="U94" s="350"/>
      <c r="V94" s="351" t="s">
        <v>947</v>
      </c>
      <c r="W94" s="352"/>
      <c r="X94" s="334">
        <v>98</v>
      </c>
      <c r="Y94" s="335"/>
      <c r="Z94" s="336"/>
      <c r="AA94" s="337" t="s">
        <v>873</v>
      </c>
      <c r="AB94" s="338"/>
      <c r="AC94" s="167"/>
      <c r="AD94" s="168"/>
      <c r="AE94" s="169"/>
      <c r="AF94" s="167"/>
      <c r="AG94" s="168"/>
      <c r="AH94" s="169"/>
      <c r="AI94" s="179"/>
      <c r="AJ94" s="179"/>
      <c r="AK94" s="15"/>
      <c r="AL94" s="15"/>
    </row>
    <row r="95" spans="1:38" ht="75" x14ac:dyDescent="0.3">
      <c r="A95" s="230"/>
      <c r="B95" s="290"/>
      <c r="C95" s="345"/>
      <c r="D95" s="291"/>
      <c r="E95" s="19" t="s">
        <v>948</v>
      </c>
      <c r="F95" s="237"/>
      <c r="G95" s="306"/>
      <c r="H95" s="238"/>
      <c r="I95" s="430" t="s">
        <v>901</v>
      </c>
      <c r="J95" s="431"/>
      <c r="K95" s="351" t="s">
        <v>943</v>
      </c>
      <c r="L95" s="352"/>
      <c r="M95" s="351" t="s">
        <v>946</v>
      </c>
      <c r="N95" s="444"/>
      <c r="O95" s="352"/>
      <c r="P95" s="349">
        <v>3</v>
      </c>
      <c r="Q95" s="350"/>
      <c r="R95" s="349">
        <v>12</v>
      </c>
      <c r="S95" s="350"/>
      <c r="T95" s="349">
        <v>5</v>
      </c>
      <c r="U95" s="350"/>
      <c r="V95" s="351" t="s">
        <v>947</v>
      </c>
      <c r="W95" s="352"/>
      <c r="X95" s="334">
        <v>98</v>
      </c>
      <c r="Y95" s="335"/>
      <c r="Z95" s="336"/>
      <c r="AA95" s="337" t="s">
        <v>873</v>
      </c>
      <c r="AB95" s="338"/>
      <c r="AC95" s="214"/>
      <c r="AD95" s="215"/>
      <c r="AE95" s="216"/>
      <c r="AF95" s="214"/>
      <c r="AG95" s="215"/>
      <c r="AH95" s="216"/>
      <c r="AI95" s="230"/>
      <c r="AJ95" s="230"/>
      <c r="AK95" s="15"/>
      <c r="AL95" s="15"/>
    </row>
    <row r="96" spans="1:38" ht="15.5" x14ac:dyDescent="0.3">
      <c r="A96" s="178"/>
      <c r="B96" s="303" t="s">
        <v>949</v>
      </c>
      <c r="C96" s="344"/>
      <c r="D96" s="304"/>
      <c r="E96" s="66" t="s">
        <v>950</v>
      </c>
      <c r="F96" s="233" t="s">
        <v>951</v>
      </c>
      <c r="G96" s="305"/>
      <c r="H96" s="234"/>
      <c r="I96" s="233" t="s">
        <v>952</v>
      </c>
      <c r="J96" s="234"/>
      <c r="K96" s="233" t="s">
        <v>953</v>
      </c>
      <c r="L96" s="234"/>
      <c r="M96" s="171" t="s">
        <v>954</v>
      </c>
      <c r="N96" s="407"/>
      <c r="O96" s="172"/>
      <c r="P96" s="387">
        <v>5</v>
      </c>
      <c r="Q96" s="388"/>
      <c r="R96" s="387">
        <v>19</v>
      </c>
      <c r="S96" s="388"/>
      <c r="T96" s="387">
        <v>7</v>
      </c>
      <c r="U96" s="388"/>
      <c r="V96" s="171" t="s">
        <v>955</v>
      </c>
      <c r="W96" s="172"/>
      <c r="X96" s="252">
        <v>198</v>
      </c>
      <c r="Y96" s="253"/>
      <c r="Z96" s="254"/>
      <c r="AA96" s="192" t="s">
        <v>688</v>
      </c>
      <c r="AB96" s="193"/>
      <c r="AC96" s="223" t="s">
        <v>675</v>
      </c>
      <c r="AD96" s="398"/>
      <c r="AE96" s="166"/>
      <c r="AF96" s="171" t="s">
        <v>958</v>
      </c>
      <c r="AG96" s="407"/>
      <c r="AH96" s="172"/>
      <c r="AI96" s="178"/>
      <c r="AJ96" s="178"/>
      <c r="AK96" s="15"/>
      <c r="AL96" s="15"/>
    </row>
    <row r="97" spans="1:38" ht="15.5" x14ac:dyDescent="0.3">
      <c r="A97" s="179"/>
      <c r="B97" s="292"/>
      <c r="C97" s="314"/>
      <c r="D97" s="293"/>
      <c r="E97" s="74"/>
      <c r="F97" s="235"/>
      <c r="G97" s="270"/>
      <c r="H97" s="236"/>
      <c r="I97" s="235"/>
      <c r="J97" s="236"/>
      <c r="K97" s="235"/>
      <c r="L97" s="236"/>
      <c r="M97" s="162"/>
      <c r="N97" s="170"/>
      <c r="O97" s="163"/>
      <c r="P97" s="506"/>
      <c r="Q97" s="507"/>
      <c r="R97" s="506"/>
      <c r="S97" s="507"/>
      <c r="T97" s="506"/>
      <c r="U97" s="507"/>
      <c r="V97" s="162"/>
      <c r="W97" s="163"/>
      <c r="X97" s="311"/>
      <c r="Y97" s="312"/>
      <c r="Z97" s="313"/>
      <c r="AA97" s="272"/>
      <c r="AB97" s="273"/>
      <c r="AC97" s="239" t="s">
        <v>956</v>
      </c>
      <c r="AD97" s="399"/>
      <c r="AE97" s="169"/>
      <c r="AF97" s="162" t="s">
        <v>712</v>
      </c>
      <c r="AG97" s="170"/>
      <c r="AH97" s="163"/>
      <c r="AI97" s="179"/>
      <c r="AJ97" s="179"/>
      <c r="AK97" s="15"/>
      <c r="AL97" s="15"/>
    </row>
    <row r="98" spans="1:38" ht="15.5" x14ac:dyDescent="0.3">
      <c r="A98" s="179"/>
      <c r="B98" s="292"/>
      <c r="C98" s="314"/>
      <c r="D98" s="293"/>
      <c r="E98" s="67"/>
      <c r="F98" s="235"/>
      <c r="G98" s="270"/>
      <c r="H98" s="236"/>
      <c r="I98" s="235"/>
      <c r="J98" s="236"/>
      <c r="K98" s="235"/>
      <c r="L98" s="236"/>
      <c r="M98" s="212"/>
      <c r="N98" s="408"/>
      <c r="O98" s="213"/>
      <c r="P98" s="389"/>
      <c r="Q98" s="390"/>
      <c r="R98" s="389"/>
      <c r="S98" s="390"/>
      <c r="T98" s="389"/>
      <c r="U98" s="390"/>
      <c r="V98" s="212"/>
      <c r="W98" s="213"/>
      <c r="X98" s="255"/>
      <c r="Y98" s="256"/>
      <c r="Z98" s="257"/>
      <c r="AA98" s="194"/>
      <c r="AB98" s="195"/>
      <c r="AC98" s="239" t="s">
        <v>677</v>
      </c>
      <c r="AD98" s="399"/>
      <c r="AE98" s="169"/>
      <c r="AF98" s="162"/>
      <c r="AG98" s="170"/>
      <c r="AH98" s="163"/>
      <c r="AI98" s="179"/>
      <c r="AJ98" s="179"/>
      <c r="AK98" s="15"/>
      <c r="AL98" s="15"/>
    </row>
    <row r="99" spans="1:38" ht="75" x14ac:dyDescent="0.3">
      <c r="A99" s="179"/>
      <c r="B99" s="292"/>
      <c r="C99" s="314"/>
      <c r="D99" s="293"/>
      <c r="E99" s="19" t="s">
        <v>959</v>
      </c>
      <c r="F99" s="235"/>
      <c r="G99" s="270"/>
      <c r="H99" s="236"/>
      <c r="I99" s="235"/>
      <c r="J99" s="236"/>
      <c r="K99" s="235"/>
      <c r="L99" s="236"/>
      <c r="M99" s="351" t="s">
        <v>960</v>
      </c>
      <c r="N99" s="444"/>
      <c r="O99" s="352"/>
      <c r="P99" s="349">
        <v>5</v>
      </c>
      <c r="Q99" s="350"/>
      <c r="R99" s="349">
        <v>19</v>
      </c>
      <c r="S99" s="350"/>
      <c r="T99" s="349">
        <v>7</v>
      </c>
      <c r="U99" s="350"/>
      <c r="V99" s="351" t="s">
        <v>961</v>
      </c>
      <c r="W99" s="352"/>
      <c r="X99" s="334">
        <v>198</v>
      </c>
      <c r="Y99" s="335"/>
      <c r="Z99" s="336"/>
      <c r="AA99" s="337" t="s">
        <v>768</v>
      </c>
      <c r="AB99" s="338"/>
      <c r="AC99" s="239" t="s">
        <v>678</v>
      </c>
      <c r="AD99" s="399"/>
      <c r="AE99" s="169"/>
      <c r="AF99" s="162"/>
      <c r="AG99" s="170"/>
      <c r="AH99" s="163"/>
      <c r="AI99" s="179"/>
      <c r="AJ99" s="179"/>
      <c r="AK99" s="15"/>
      <c r="AL99" s="15"/>
    </row>
    <row r="100" spans="1:38" ht="75" x14ac:dyDescent="0.3">
      <c r="A100" s="230"/>
      <c r="B100" s="290"/>
      <c r="C100" s="345"/>
      <c r="D100" s="291"/>
      <c r="E100" s="19" t="s">
        <v>962</v>
      </c>
      <c r="F100" s="237"/>
      <c r="G100" s="306"/>
      <c r="H100" s="238"/>
      <c r="I100" s="237"/>
      <c r="J100" s="238"/>
      <c r="K100" s="237"/>
      <c r="L100" s="238"/>
      <c r="M100" s="351" t="s">
        <v>963</v>
      </c>
      <c r="N100" s="444"/>
      <c r="O100" s="352"/>
      <c r="P100" s="349">
        <v>5</v>
      </c>
      <c r="Q100" s="350"/>
      <c r="R100" s="349">
        <v>19</v>
      </c>
      <c r="S100" s="350"/>
      <c r="T100" s="349">
        <v>7</v>
      </c>
      <c r="U100" s="350"/>
      <c r="V100" s="351" t="s">
        <v>964</v>
      </c>
      <c r="W100" s="352"/>
      <c r="X100" s="334">
        <v>198</v>
      </c>
      <c r="Y100" s="335"/>
      <c r="Z100" s="336"/>
      <c r="AA100" s="337" t="s">
        <v>768</v>
      </c>
      <c r="AB100" s="338"/>
      <c r="AC100" s="225" t="s">
        <v>957</v>
      </c>
      <c r="AD100" s="391"/>
      <c r="AE100" s="216"/>
      <c r="AF100" s="212"/>
      <c r="AG100" s="408"/>
      <c r="AH100" s="213"/>
      <c r="AI100" s="230"/>
      <c r="AJ100" s="230"/>
      <c r="AK100" s="15"/>
      <c r="AL100" s="15"/>
    </row>
    <row r="101" spans="1:38" ht="45" x14ac:dyDescent="0.3">
      <c r="A101" s="178"/>
      <c r="B101" s="303" t="s">
        <v>965</v>
      </c>
      <c r="C101" s="344"/>
      <c r="D101" s="304"/>
      <c r="E101" s="19" t="s">
        <v>966</v>
      </c>
      <c r="F101" s="233" t="s">
        <v>967</v>
      </c>
      <c r="G101" s="305"/>
      <c r="H101" s="234"/>
      <c r="I101" s="233" t="s">
        <v>924</v>
      </c>
      <c r="J101" s="234"/>
      <c r="K101" s="351" t="s">
        <v>968</v>
      </c>
      <c r="L101" s="352"/>
      <c r="M101" s="349">
        <v>22</v>
      </c>
      <c r="N101" s="423"/>
      <c r="O101" s="350"/>
      <c r="P101" s="351" t="s">
        <v>922</v>
      </c>
      <c r="Q101" s="352"/>
      <c r="R101" s="349">
        <v>5</v>
      </c>
      <c r="S101" s="350"/>
      <c r="T101" s="349">
        <v>4</v>
      </c>
      <c r="U101" s="350"/>
      <c r="V101" s="351" t="s">
        <v>969</v>
      </c>
      <c r="W101" s="352"/>
      <c r="X101" s="334">
        <v>58</v>
      </c>
      <c r="Y101" s="335"/>
      <c r="Z101" s="336"/>
      <c r="AA101" s="337" t="s">
        <v>722</v>
      </c>
      <c r="AB101" s="338"/>
      <c r="AC101" s="164"/>
      <c r="AD101" s="165"/>
      <c r="AE101" s="166"/>
      <c r="AF101" s="164"/>
      <c r="AG101" s="165"/>
      <c r="AH101" s="166"/>
      <c r="AI101" s="178"/>
      <c r="AJ101" s="178"/>
      <c r="AK101" s="15"/>
      <c r="AL101" s="15"/>
    </row>
    <row r="102" spans="1:38" ht="45" x14ac:dyDescent="0.3">
      <c r="A102" s="179"/>
      <c r="B102" s="292"/>
      <c r="C102" s="314"/>
      <c r="D102" s="293"/>
      <c r="E102" s="19" t="s">
        <v>970</v>
      </c>
      <c r="F102" s="235"/>
      <c r="G102" s="270"/>
      <c r="H102" s="236"/>
      <c r="I102" s="235"/>
      <c r="J102" s="236"/>
      <c r="K102" s="351" t="s">
        <v>968</v>
      </c>
      <c r="L102" s="352"/>
      <c r="M102" s="349">
        <v>22</v>
      </c>
      <c r="N102" s="423"/>
      <c r="O102" s="350"/>
      <c r="P102" s="351" t="s">
        <v>922</v>
      </c>
      <c r="Q102" s="352"/>
      <c r="R102" s="349">
        <v>5</v>
      </c>
      <c r="S102" s="350"/>
      <c r="T102" s="349">
        <v>4</v>
      </c>
      <c r="U102" s="350"/>
      <c r="V102" s="351" t="s">
        <v>969</v>
      </c>
      <c r="W102" s="352"/>
      <c r="X102" s="334">
        <v>58</v>
      </c>
      <c r="Y102" s="335"/>
      <c r="Z102" s="336"/>
      <c r="AA102" s="337" t="s">
        <v>722</v>
      </c>
      <c r="AB102" s="338"/>
      <c r="AC102" s="167"/>
      <c r="AD102" s="168"/>
      <c r="AE102" s="169"/>
      <c r="AF102" s="167"/>
      <c r="AG102" s="168"/>
      <c r="AH102" s="169"/>
      <c r="AI102" s="179"/>
      <c r="AJ102" s="179"/>
      <c r="AK102" s="15"/>
      <c r="AL102" s="15"/>
    </row>
    <row r="103" spans="1:38" ht="45" x14ac:dyDescent="0.3">
      <c r="A103" s="230"/>
      <c r="B103" s="290"/>
      <c r="C103" s="345"/>
      <c r="D103" s="291"/>
      <c r="E103" s="19" t="s">
        <v>971</v>
      </c>
      <c r="F103" s="237"/>
      <c r="G103" s="306"/>
      <c r="H103" s="238"/>
      <c r="I103" s="237"/>
      <c r="J103" s="238"/>
      <c r="K103" s="351" t="s">
        <v>968</v>
      </c>
      <c r="L103" s="352"/>
      <c r="M103" s="349">
        <v>22</v>
      </c>
      <c r="N103" s="423"/>
      <c r="O103" s="350"/>
      <c r="P103" s="351" t="s">
        <v>922</v>
      </c>
      <c r="Q103" s="352"/>
      <c r="R103" s="349">
        <v>5</v>
      </c>
      <c r="S103" s="350"/>
      <c r="T103" s="349">
        <v>4</v>
      </c>
      <c r="U103" s="350"/>
      <c r="V103" s="351" t="s">
        <v>969</v>
      </c>
      <c r="W103" s="352"/>
      <c r="X103" s="334">
        <v>58</v>
      </c>
      <c r="Y103" s="335"/>
      <c r="Z103" s="336"/>
      <c r="AA103" s="337" t="s">
        <v>722</v>
      </c>
      <c r="AB103" s="338"/>
      <c r="AC103" s="214"/>
      <c r="AD103" s="215"/>
      <c r="AE103" s="216"/>
      <c r="AF103" s="214"/>
      <c r="AG103" s="215"/>
      <c r="AH103" s="216"/>
      <c r="AI103" s="230"/>
      <c r="AJ103" s="230"/>
      <c r="AK103" s="15"/>
      <c r="AL103" s="15"/>
    </row>
    <row r="104" spans="1:38" ht="90" x14ac:dyDescent="0.3">
      <c r="A104" s="178"/>
      <c r="B104" s="303" t="s">
        <v>972</v>
      </c>
      <c r="C104" s="344"/>
      <c r="D104" s="304"/>
      <c r="E104" s="66" t="s">
        <v>973</v>
      </c>
      <c r="F104" s="223" t="s">
        <v>974</v>
      </c>
      <c r="G104" s="398"/>
      <c r="H104" s="224"/>
      <c r="I104" s="724" t="s">
        <v>975</v>
      </c>
      <c r="J104" s="725"/>
      <c r="K104" s="171" t="s">
        <v>976</v>
      </c>
      <c r="L104" s="172"/>
      <c r="M104" s="171" t="s">
        <v>977</v>
      </c>
      <c r="N104" s="407"/>
      <c r="O104" s="172"/>
      <c r="P104" s="171" t="s">
        <v>688</v>
      </c>
      <c r="Q104" s="172"/>
      <c r="R104" s="387">
        <v>12</v>
      </c>
      <c r="S104" s="388"/>
      <c r="T104" s="387">
        <v>5</v>
      </c>
      <c r="U104" s="388"/>
      <c r="V104" s="171" t="s">
        <v>978</v>
      </c>
      <c r="W104" s="172"/>
      <c r="X104" s="252">
        <v>88</v>
      </c>
      <c r="Y104" s="253"/>
      <c r="Z104" s="254"/>
      <c r="AA104" s="192" t="s">
        <v>844</v>
      </c>
      <c r="AB104" s="193"/>
      <c r="AC104" s="223" t="s">
        <v>675</v>
      </c>
      <c r="AD104" s="398"/>
      <c r="AE104" s="23" t="s">
        <v>981</v>
      </c>
      <c r="AF104" s="171" t="s">
        <v>983</v>
      </c>
      <c r="AG104" s="407"/>
      <c r="AH104" s="172"/>
      <c r="AI104" s="24" t="s">
        <v>985</v>
      </c>
      <c r="AJ104" s="178"/>
      <c r="AK104" s="15"/>
      <c r="AL104" s="15"/>
    </row>
    <row r="105" spans="1:38" ht="120" x14ac:dyDescent="0.3">
      <c r="A105" s="179"/>
      <c r="B105" s="292"/>
      <c r="C105" s="314"/>
      <c r="D105" s="293"/>
      <c r="E105" s="67"/>
      <c r="F105" s="225"/>
      <c r="G105" s="391"/>
      <c r="H105" s="226"/>
      <c r="I105" s="728"/>
      <c r="J105" s="729"/>
      <c r="K105" s="212"/>
      <c r="L105" s="213"/>
      <c r="M105" s="212"/>
      <c r="N105" s="408"/>
      <c r="O105" s="213"/>
      <c r="P105" s="212"/>
      <c r="Q105" s="213"/>
      <c r="R105" s="389"/>
      <c r="S105" s="390"/>
      <c r="T105" s="389"/>
      <c r="U105" s="390"/>
      <c r="V105" s="212"/>
      <c r="W105" s="213"/>
      <c r="X105" s="255"/>
      <c r="Y105" s="256"/>
      <c r="Z105" s="257"/>
      <c r="AA105" s="194"/>
      <c r="AB105" s="195"/>
      <c r="AC105" s="239" t="s">
        <v>979</v>
      </c>
      <c r="AD105" s="399"/>
      <c r="AE105" s="30" t="s">
        <v>982</v>
      </c>
      <c r="AF105" s="162" t="s">
        <v>984</v>
      </c>
      <c r="AG105" s="170"/>
      <c r="AH105" s="163"/>
      <c r="AI105" s="31" t="s">
        <v>986</v>
      </c>
      <c r="AJ105" s="179"/>
      <c r="AK105" s="15"/>
      <c r="AL105" s="15"/>
    </row>
    <row r="106" spans="1:38" ht="75" x14ac:dyDescent="0.3">
      <c r="A106" s="179"/>
      <c r="B106" s="292"/>
      <c r="C106" s="314"/>
      <c r="D106" s="293"/>
      <c r="E106" s="19" t="s">
        <v>987</v>
      </c>
      <c r="F106" s="346" t="s">
        <v>974</v>
      </c>
      <c r="G106" s="347"/>
      <c r="H106" s="348"/>
      <c r="I106" s="430" t="s">
        <v>975</v>
      </c>
      <c r="J106" s="431"/>
      <c r="K106" s="351" t="s">
        <v>976</v>
      </c>
      <c r="L106" s="352"/>
      <c r="M106" s="351" t="s">
        <v>977</v>
      </c>
      <c r="N106" s="444"/>
      <c r="O106" s="352"/>
      <c r="P106" s="351" t="s">
        <v>688</v>
      </c>
      <c r="Q106" s="352"/>
      <c r="R106" s="349">
        <v>12</v>
      </c>
      <c r="S106" s="350"/>
      <c r="T106" s="349">
        <v>5</v>
      </c>
      <c r="U106" s="350"/>
      <c r="V106" s="351" t="s">
        <v>978</v>
      </c>
      <c r="W106" s="352"/>
      <c r="X106" s="334">
        <v>88</v>
      </c>
      <c r="Y106" s="335"/>
      <c r="Z106" s="336"/>
      <c r="AA106" s="337" t="s">
        <v>844</v>
      </c>
      <c r="AB106" s="338"/>
      <c r="AC106" s="239" t="s">
        <v>677</v>
      </c>
      <c r="AD106" s="399"/>
      <c r="AE106" s="30"/>
      <c r="AF106" s="162"/>
      <c r="AG106" s="170"/>
      <c r="AH106" s="163"/>
      <c r="AI106" s="31"/>
      <c r="AJ106" s="179"/>
      <c r="AK106" s="15"/>
      <c r="AL106" s="15"/>
    </row>
    <row r="107" spans="1:38" ht="75" x14ac:dyDescent="0.3">
      <c r="A107" s="179"/>
      <c r="B107" s="292"/>
      <c r="C107" s="314"/>
      <c r="D107" s="293"/>
      <c r="E107" s="19" t="s">
        <v>988</v>
      </c>
      <c r="F107" s="346" t="s">
        <v>974</v>
      </c>
      <c r="G107" s="347"/>
      <c r="H107" s="348"/>
      <c r="I107" s="430" t="s">
        <v>989</v>
      </c>
      <c r="J107" s="431"/>
      <c r="K107" s="351" t="s">
        <v>976</v>
      </c>
      <c r="L107" s="352"/>
      <c r="M107" s="551">
        <v>31</v>
      </c>
      <c r="N107" s="552"/>
      <c r="O107" s="553"/>
      <c r="P107" s="351" t="s">
        <v>688</v>
      </c>
      <c r="Q107" s="352"/>
      <c r="R107" s="349">
        <v>12</v>
      </c>
      <c r="S107" s="350"/>
      <c r="T107" s="349">
        <v>5</v>
      </c>
      <c r="U107" s="350"/>
      <c r="V107" s="351" t="s">
        <v>990</v>
      </c>
      <c r="W107" s="352"/>
      <c r="X107" s="334">
        <v>88</v>
      </c>
      <c r="Y107" s="335"/>
      <c r="Z107" s="336"/>
      <c r="AA107" s="337" t="s">
        <v>722</v>
      </c>
      <c r="AB107" s="338"/>
      <c r="AC107" s="239" t="s">
        <v>678</v>
      </c>
      <c r="AD107" s="399"/>
      <c r="AE107" s="30"/>
      <c r="AF107" s="162"/>
      <c r="AG107" s="170"/>
      <c r="AH107" s="163"/>
      <c r="AI107" s="31"/>
      <c r="AJ107" s="179"/>
      <c r="AK107" s="15"/>
      <c r="AL107" s="15"/>
    </row>
    <row r="108" spans="1:38" ht="75" x14ac:dyDescent="0.3">
      <c r="A108" s="230"/>
      <c r="B108" s="290"/>
      <c r="C108" s="345"/>
      <c r="D108" s="291"/>
      <c r="E108" s="19" t="s">
        <v>991</v>
      </c>
      <c r="F108" s="346" t="s">
        <v>974</v>
      </c>
      <c r="G108" s="347"/>
      <c r="H108" s="348"/>
      <c r="I108" s="430" t="s">
        <v>758</v>
      </c>
      <c r="J108" s="431"/>
      <c r="K108" s="351" t="s">
        <v>976</v>
      </c>
      <c r="L108" s="352"/>
      <c r="M108" s="349">
        <v>27</v>
      </c>
      <c r="N108" s="423"/>
      <c r="O108" s="350"/>
      <c r="P108" s="351" t="s">
        <v>688</v>
      </c>
      <c r="Q108" s="352"/>
      <c r="R108" s="349">
        <v>12</v>
      </c>
      <c r="S108" s="350"/>
      <c r="T108" s="349">
        <v>5</v>
      </c>
      <c r="U108" s="350"/>
      <c r="V108" s="351" t="s">
        <v>992</v>
      </c>
      <c r="W108" s="352"/>
      <c r="X108" s="334">
        <v>88</v>
      </c>
      <c r="Y108" s="335"/>
      <c r="Z108" s="336"/>
      <c r="AA108" s="337" t="s">
        <v>889</v>
      </c>
      <c r="AB108" s="338"/>
      <c r="AC108" s="225" t="s">
        <v>980</v>
      </c>
      <c r="AD108" s="391"/>
      <c r="AE108" s="30"/>
      <c r="AF108" s="212"/>
      <c r="AG108" s="408"/>
      <c r="AH108" s="213"/>
      <c r="AI108" s="31"/>
      <c r="AJ108" s="230"/>
      <c r="AK108" s="15"/>
      <c r="AL108" s="15"/>
    </row>
    <row r="109" spans="1:38" ht="90" x14ac:dyDescent="0.25">
      <c r="A109" s="178"/>
      <c r="B109" s="303" t="s">
        <v>993</v>
      </c>
      <c r="C109" s="344"/>
      <c r="D109" s="304"/>
      <c r="E109" s="28" t="s">
        <v>994</v>
      </c>
      <c r="F109" s="171" t="s">
        <v>995</v>
      </c>
      <c r="G109" s="407"/>
      <c r="H109" s="172"/>
      <c r="I109" s="171" t="s">
        <v>727</v>
      </c>
      <c r="J109" s="172"/>
      <c r="K109" s="164"/>
      <c r="L109" s="166"/>
      <c r="M109" s="746" t="s">
        <v>996</v>
      </c>
      <c r="N109" s="747"/>
      <c r="O109" s="748"/>
      <c r="P109" s="171" t="s">
        <v>729</v>
      </c>
      <c r="Q109" s="172"/>
      <c r="R109" s="387">
        <v>55</v>
      </c>
      <c r="S109" s="388"/>
      <c r="T109" s="387">
        <v>6</v>
      </c>
      <c r="U109" s="388"/>
      <c r="V109" s="387">
        <v>392</v>
      </c>
      <c r="W109" s="388"/>
      <c r="X109" s="252">
        <v>638</v>
      </c>
      <c r="Y109" s="253"/>
      <c r="Z109" s="254"/>
      <c r="AA109" s="192" t="s">
        <v>674</v>
      </c>
      <c r="AB109" s="193"/>
      <c r="AC109" s="171" t="s">
        <v>675</v>
      </c>
      <c r="AD109" s="407"/>
      <c r="AE109" s="166"/>
      <c r="AF109" s="409" t="s">
        <v>999</v>
      </c>
      <c r="AG109" s="410"/>
      <c r="AH109" s="411"/>
      <c r="AI109" s="178"/>
      <c r="AJ109" s="178"/>
      <c r="AK109" s="15"/>
      <c r="AL109" s="15"/>
    </row>
    <row r="110" spans="1:38" ht="75" x14ac:dyDescent="0.25">
      <c r="A110" s="179"/>
      <c r="B110" s="292"/>
      <c r="C110" s="314"/>
      <c r="D110" s="293"/>
      <c r="E110" s="28" t="s">
        <v>1002</v>
      </c>
      <c r="F110" s="162"/>
      <c r="G110" s="170"/>
      <c r="H110" s="163"/>
      <c r="I110" s="162"/>
      <c r="J110" s="163"/>
      <c r="K110" s="167"/>
      <c r="L110" s="169"/>
      <c r="M110" s="749"/>
      <c r="N110" s="750"/>
      <c r="O110" s="751"/>
      <c r="P110" s="162"/>
      <c r="Q110" s="163"/>
      <c r="R110" s="506"/>
      <c r="S110" s="507"/>
      <c r="T110" s="506"/>
      <c r="U110" s="507"/>
      <c r="V110" s="506"/>
      <c r="W110" s="507"/>
      <c r="X110" s="311"/>
      <c r="Y110" s="312"/>
      <c r="Z110" s="313"/>
      <c r="AA110" s="272"/>
      <c r="AB110" s="273"/>
      <c r="AC110" s="162" t="s">
        <v>997</v>
      </c>
      <c r="AD110" s="170"/>
      <c r="AE110" s="169"/>
      <c r="AF110" s="401" t="s">
        <v>1000</v>
      </c>
      <c r="AG110" s="402"/>
      <c r="AH110" s="403"/>
      <c r="AI110" s="179"/>
      <c r="AJ110" s="179"/>
      <c r="AK110" s="15"/>
      <c r="AL110" s="15"/>
    </row>
    <row r="111" spans="1:38" ht="75" x14ac:dyDescent="0.25">
      <c r="A111" s="179"/>
      <c r="B111" s="292"/>
      <c r="C111" s="314"/>
      <c r="D111" s="293"/>
      <c r="E111" s="28" t="s">
        <v>1003</v>
      </c>
      <c r="F111" s="162"/>
      <c r="G111" s="170"/>
      <c r="H111" s="163"/>
      <c r="I111" s="162"/>
      <c r="J111" s="163"/>
      <c r="K111" s="167"/>
      <c r="L111" s="169"/>
      <c r="M111" s="749"/>
      <c r="N111" s="750"/>
      <c r="O111" s="751"/>
      <c r="P111" s="162"/>
      <c r="Q111" s="163"/>
      <c r="R111" s="506"/>
      <c r="S111" s="507"/>
      <c r="T111" s="506"/>
      <c r="U111" s="507"/>
      <c r="V111" s="506"/>
      <c r="W111" s="507"/>
      <c r="X111" s="311"/>
      <c r="Y111" s="312"/>
      <c r="Z111" s="313"/>
      <c r="AA111" s="272"/>
      <c r="AB111" s="273"/>
      <c r="AC111" s="162" t="s">
        <v>678</v>
      </c>
      <c r="AD111" s="170"/>
      <c r="AE111" s="169"/>
      <c r="AF111" s="401" t="s">
        <v>1001</v>
      </c>
      <c r="AG111" s="402"/>
      <c r="AH111" s="403"/>
      <c r="AI111" s="179"/>
      <c r="AJ111" s="179"/>
      <c r="AK111" s="15"/>
      <c r="AL111" s="15"/>
    </row>
    <row r="112" spans="1:38" ht="75" x14ac:dyDescent="0.25">
      <c r="A112" s="179"/>
      <c r="B112" s="292"/>
      <c r="C112" s="314"/>
      <c r="D112" s="293"/>
      <c r="E112" s="28" t="s">
        <v>1004</v>
      </c>
      <c r="F112" s="212"/>
      <c r="G112" s="408"/>
      <c r="H112" s="213"/>
      <c r="I112" s="212"/>
      <c r="J112" s="213"/>
      <c r="K112" s="214"/>
      <c r="L112" s="216"/>
      <c r="M112" s="752"/>
      <c r="N112" s="753"/>
      <c r="O112" s="754"/>
      <c r="P112" s="212"/>
      <c r="Q112" s="213"/>
      <c r="R112" s="389"/>
      <c r="S112" s="390"/>
      <c r="T112" s="389"/>
      <c r="U112" s="390"/>
      <c r="V112" s="389"/>
      <c r="W112" s="390"/>
      <c r="X112" s="255"/>
      <c r="Y112" s="256"/>
      <c r="Z112" s="257"/>
      <c r="AA112" s="194"/>
      <c r="AB112" s="195"/>
      <c r="AC112" s="162" t="s">
        <v>998</v>
      </c>
      <c r="AD112" s="170"/>
      <c r="AE112" s="169"/>
      <c r="AF112" s="401"/>
      <c r="AG112" s="402"/>
      <c r="AH112" s="403"/>
      <c r="AI112" s="179"/>
      <c r="AJ112" s="179"/>
      <c r="AK112" s="15"/>
      <c r="AL112" s="15"/>
    </row>
    <row r="113" spans="1:38" ht="90" x14ac:dyDescent="0.25">
      <c r="A113" s="179"/>
      <c r="B113" s="292"/>
      <c r="C113" s="314"/>
      <c r="D113" s="293"/>
      <c r="E113" s="28" t="s">
        <v>1005</v>
      </c>
      <c r="F113" s="171" t="s">
        <v>1006</v>
      </c>
      <c r="G113" s="407"/>
      <c r="H113" s="172"/>
      <c r="I113" s="171" t="s">
        <v>1007</v>
      </c>
      <c r="J113" s="172"/>
      <c r="K113" s="164"/>
      <c r="L113" s="166"/>
      <c r="M113" s="746" t="s">
        <v>1008</v>
      </c>
      <c r="N113" s="747"/>
      <c r="O113" s="748"/>
      <c r="P113" s="387">
        <v>11</v>
      </c>
      <c r="Q113" s="388"/>
      <c r="R113" s="387">
        <v>60</v>
      </c>
      <c r="S113" s="388"/>
      <c r="T113" s="387">
        <v>7</v>
      </c>
      <c r="U113" s="388"/>
      <c r="V113" s="171" t="s">
        <v>1009</v>
      </c>
      <c r="W113" s="172"/>
      <c r="X113" s="252">
        <v>738</v>
      </c>
      <c r="Y113" s="253"/>
      <c r="Z113" s="254"/>
      <c r="AA113" s="192" t="s">
        <v>722</v>
      </c>
      <c r="AB113" s="193"/>
      <c r="AC113" s="162"/>
      <c r="AD113" s="170"/>
      <c r="AE113" s="169"/>
      <c r="AF113" s="401"/>
      <c r="AG113" s="402"/>
      <c r="AH113" s="403"/>
      <c r="AI113" s="179"/>
      <c r="AJ113" s="179"/>
      <c r="AK113" s="15"/>
      <c r="AL113" s="15"/>
    </row>
    <row r="114" spans="1:38" ht="75" x14ac:dyDescent="0.25">
      <c r="A114" s="179"/>
      <c r="B114" s="292"/>
      <c r="C114" s="314"/>
      <c r="D114" s="293"/>
      <c r="E114" s="28" t="s">
        <v>1010</v>
      </c>
      <c r="F114" s="162"/>
      <c r="G114" s="170"/>
      <c r="H114" s="163"/>
      <c r="I114" s="162"/>
      <c r="J114" s="163"/>
      <c r="K114" s="167"/>
      <c r="L114" s="169"/>
      <c r="M114" s="749"/>
      <c r="N114" s="750"/>
      <c r="O114" s="751"/>
      <c r="P114" s="506"/>
      <c r="Q114" s="507"/>
      <c r="R114" s="506"/>
      <c r="S114" s="507"/>
      <c r="T114" s="506"/>
      <c r="U114" s="507"/>
      <c r="V114" s="162"/>
      <c r="W114" s="163"/>
      <c r="X114" s="311"/>
      <c r="Y114" s="312"/>
      <c r="Z114" s="313"/>
      <c r="AA114" s="272"/>
      <c r="AB114" s="273"/>
      <c r="AC114" s="162"/>
      <c r="AD114" s="170"/>
      <c r="AE114" s="169"/>
      <c r="AF114" s="401"/>
      <c r="AG114" s="402"/>
      <c r="AH114" s="403"/>
      <c r="AI114" s="179"/>
      <c r="AJ114" s="179"/>
      <c r="AK114" s="15"/>
      <c r="AL114" s="15"/>
    </row>
    <row r="115" spans="1:38" ht="75" x14ac:dyDescent="0.25">
      <c r="A115" s="179"/>
      <c r="B115" s="292"/>
      <c r="C115" s="314"/>
      <c r="D115" s="293"/>
      <c r="E115" s="28" t="s">
        <v>1011</v>
      </c>
      <c r="F115" s="162"/>
      <c r="G115" s="170"/>
      <c r="H115" s="163"/>
      <c r="I115" s="162"/>
      <c r="J115" s="163"/>
      <c r="K115" s="167"/>
      <c r="L115" s="169"/>
      <c r="M115" s="749"/>
      <c r="N115" s="750"/>
      <c r="O115" s="751"/>
      <c r="P115" s="506"/>
      <c r="Q115" s="507"/>
      <c r="R115" s="506"/>
      <c r="S115" s="507"/>
      <c r="T115" s="506"/>
      <c r="U115" s="507"/>
      <c r="V115" s="162"/>
      <c r="W115" s="163"/>
      <c r="X115" s="311"/>
      <c r="Y115" s="312"/>
      <c r="Z115" s="313"/>
      <c r="AA115" s="272"/>
      <c r="AB115" s="273"/>
      <c r="AC115" s="162"/>
      <c r="AD115" s="170"/>
      <c r="AE115" s="169"/>
      <c r="AF115" s="401"/>
      <c r="AG115" s="402"/>
      <c r="AH115" s="403"/>
      <c r="AI115" s="179"/>
      <c r="AJ115" s="179"/>
      <c r="AK115" s="15"/>
      <c r="AL115" s="15"/>
    </row>
    <row r="116" spans="1:38" ht="75" x14ac:dyDescent="0.25">
      <c r="A116" s="179"/>
      <c r="B116" s="292"/>
      <c r="C116" s="314"/>
      <c r="D116" s="293"/>
      <c r="E116" s="28" t="s">
        <v>1012</v>
      </c>
      <c r="F116" s="212"/>
      <c r="G116" s="408"/>
      <c r="H116" s="213"/>
      <c r="I116" s="212"/>
      <c r="J116" s="213"/>
      <c r="K116" s="214"/>
      <c r="L116" s="216"/>
      <c r="M116" s="752"/>
      <c r="N116" s="753"/>
      <c r="O116" s="754"/>
      <c r="P116" s="389"/>
      <c r="Q116" s="390"/>
      <c r="R116" s="389"/>
      <c r="S116" s="390"/>
      <c r="T116" s="389"/>
      <c r="U116" s="390"/>
      <c r="V116" s="212"/>
      <c r="W116" s="213"/>
      <c r="X116" s="255"/>
      <c r="Y116" s="256"/>
      <c r="Z116" s="257"/>
      <c r="AA116" s="194"/>
      <c r="AB116" s="195"/>
      <c r="AC116" s="162"/>
      <c r="AD116" s="170"/>
      <c r="AE116" s="169"/>
      <c r="AF116" s="401"/>
      <c r="AG116" s="402"/>
      <c r="AH116" s="403"/>
      <c r="AI116" s="179"/>
      <c r="AJ116" s="179"/>
      <c r="AK116" s="15"/>
      <c r="AL116" s="15"/>
    </row>
    <row r="117" spans="1:38" ht="90" x14ac:dyDescent="0.25">
      <c r="A117" s="179"/>
      <c r="B117" s="292"/>
      <c r="C117" s="314"/>
      <c r="D117" s="293"/>
      <c r="E117" s="28" t="s">
        <v>1013</v>
      </c>
      <c r="F117" s="171" t="s">
        <v>1014</v>
      </c>
      <c r="G117" s="407"/>
      <c r="H117" s="172"/>
      <c r="I117" s="171" t="s">
        <v>748</v>
      </c>
      <c r="J117" s="172"/>
      <c r="K117" s="164"/>
      <c r="L117" s="166"/>
      <c r="M117" s="746" t="s">
        <v>1015</v>
      </c>
      <c r="N117" s="747"/>
      <c r="O117" s="748"/>
      <c r="P117" s="387">
        <v>14</v>
      </c>
      <c r="Q117" s="388"/>
      <c r="R117" s="387">
        <v>65</v>
      </c>
      <c r="S117" s="388"/>
      <c r="T117" s="387">
        <v>8</v>
      </c>
      <c r="U117" s="388"/>
      <c r="V117" s="171" t="s">
        <v>1016</v>
      </c>
      <c r="W117" s="172"/>
      <c r="X117" s="252">
        <v>788</v>
      </c>
      <c r="Y117" s="253"/>
      <c r="Z117" s="254"/>
      <c r="AA117" s="192" t="s">
        <v>722</v>
      </c>
      <c r="AB117" s="193"/>
      <c r="AC117" s="162"/>
      <c r="AD117" s="170"/>
      <c r="AE117" s="169"/>
      <c r="AF117" s="401"/>
      <c r="AG117" s="402"/>
      <c r="AH117" s="403"/>
      <c r="AI117" s="179"/>
      <c r="AJ117" s="179"/>
      <c r="AK117" s="15"/>
      <c r="AL117" s="15"/>
    </row>
    <row r="118" spans="1:38" ht="75" x14ac:dyDescent="0.25">
      <c r="A118" s="179"/>
      <c r="B118" s="292"/>
      <c r="C118" s="314"/>
      <c r="D118" s="293"/>
      <c r="E118" s="28" t="s">
        <v>1017</v>
      </c>
      <c r="F118" s="162"/>
      <c r="G118" s="170"/>
      <c r="H118" s="163"/>
      <c r="I118" s="162" t="s">
        <v>749</v>
      </c>
      <c r="J118" s="163"/>
      <c r="K118" s="167"/>
      <c r="L118" s="169"/>
      <c r="M118" s="749"/>
      <c r="N118" s="750"/>
      <c r="O118" s="751"/>
      <c r="P118" s="506"/>
      <c r="Q118" s="507"/>
      <c r="R118" s="506"/>
      <c r="S118" s="507"/>
      <c r="T118" s="506"/>
      <c r="U118" s="507"/>
      <c r="V118" s="162"/>
      <c r="W118" s="163"/>
      <c r="X118" s="311"/>
      <c r="Y118" s="312"/>
      <c r="Z118" s="313"/>
      <c r="AA118" s="272"/>
      <c r="AB118" s="273"/>
      <c r="AC118" s="162"/>
      <c r="AD118" s="170"/>
      <c r="AE118" s="169"/>
      <c r="AF118" s="401"/>
      <c r="AG118" s="402"/>
      <c r="AH118" s="403"/>
      <c r="AI118" s="179"/>
      <c r="AJ118" s="179"/>
      <c r="AK118" s="15"/>
      <c r="AL118" s="15"/>
    </row>
    <row r="119" spans="1:38" ht="75" x14ac:dyDescent="0.25">
      <c r="A119" s="179"/>
      <c r="B119" s="292"/>
      <c r="C119" s="314"/>
      <c r="D119" s="293"/>
      <c r="E119" s="28" t="s">
        <v>1018</v>
      </c>
      <c r="F119" s="162"/>
      <c r="G119" s="170"/>
      <c r="H119" s="163"/>
      <c r="I119" s="162"/>
      <c r="J119" s="163"/>
      <c r="K119" s="167"/>
      <c r="L119" s="169"/>
      <c r="M119" s="749"/>
      <c r="N119" s="750"/>
      <c r="O119" s="751"/>
      <c r="P119" s="506"/>
      <c r="Q119" s="507"/>
      <c r="R119" s="506"/>
      <c r="S119" s="507"/>
      <c r="T119" s="506"/>
      <c r="U119" s="507"/>
      <c r="V119" s="162"/>
      <c r="W119" s="163"/>
      <c r="X119" s="311"/>
      <c r="Y119" s="312"/>
      <c r="Z119" s="313"/>
      <c r="AA119" s="272"/>
      <c r="AB119" s="273"/>
      <c r="AC119" s="162"/>
      <c r="AD119" s="170"/>
      <c r="AE119" s="169"/>
      <c r="AF119" s="401"/>
      <c r="AG119" s="402"/>
      <c r="AH119" s="403"/>
      <c r="AI119" s="179"/>
      <c r="AJ119" s="179"/>
      <c r="AK119" s="15"/>
      <c r="AL119" s="15"/>
    </row>
    <row r="120" spans="1:38" ht="75" x14ac:dyDescent="0.25">
      <c r="A120" s="230"/>
      <c r="B120" s="290"/>
      <c r="C120" s="345"/>
      <c r="D120" s="291"/>
      <c r="E120" s="28" t="s">
        <v>1019</v>
      </c>
      <c r="F120" s="212"/>
      <c r="G120" s="408"/>
      <c r="H120" s="213"/>
      <c r="I120" s="212"/>
      <c r="J120" s="213"/>
      <c r="K120" s="214"/>
      <c r="L120" s="216"/>
      <c r="M120" s="752"/>
      <c r="N120" s="753"/>
      <c r="O120" s="754"/>
      <c r="P120" s="389"/>
      <c r="Q120" s="390"/>
      <c r="R120" s="389"/>
      <c r="S120" s="390"/>
      <c r="T120" s="389"/>
      <c r="U120" s="390"/>
      <c r="V120" s="212"/>
      <c r="W120" s="213"/>
      <c r="X120" s="255"/>
      <c r="Y120" s="256"/>
      <c r="Z120" s="257"/>
      <c r="AA120" s="194"/>
      <c r="AB120" s="195"/>
      <c r="AC120" s="212"/>
      <c r="AD120" s="408"/>
      <c r="AE120" s="216"/>
      <c r="AF120" s="404"/>
      <c r="AG120" s="405"/>
      <c r="AH120" s="406"/>
      <c r="AI120" s="230"/>
      <c r="AJ120" s="230"/>
      <c r="AK120" s="15"/>
      <c r="AL120" s="15"/>
    </row>
    <row r="121" spans="1:38" ht="90" x14ac:dyDescent="0.3">
      <c r="A121" s="178"/>
      <c r="B121" s="303" t="s">
        <v>1020</v>
      </c>
      <c r="C121" s="344"/>
      <c r="D121" s="304"/>
      <c r="E121" s="28" t="s">
        <v>1021</v>
      </c>
      <c r="F121" s="192" t="s">
        <v>1022</v>
      </c>
      <c r="G121" s="196"/>
      <c r="H121" s="193"/>
      <c r="I121" s="164"/>
      <c r="J121" s="166"/>
      <c r="K121" s="164"/>
      <c r="L121" s="166"/>
      <c r="M121" s="387">
        <v>320</v>
      </c>
      <c r="N121" s="495"/>
      <c r="O121" s="388"/>
      <c r="P121" s="164"/>
      <c r="Q121" s="166"/>
      <c r="R121" s="387">
        <v>90</v>
      </c>
      <c r="S121" s="388"/>
      <c r="T121" s="164"/>
      <c r="U121" s="166"/>
      <c r="V121" s="387">
        <v>410</v>
      </c>
      <c r="W121" s="388"/>
      <c r="X121" s="252">
        <v>580</v>
      </c>
      <c r="Y121" s="253"/>
      <c r="Z121" s="254"/>
      <c r="AA121" s="192" t="s">
        <v>1023</v>
      </c>
      <c r="AB121" s="193"/>
      <c r="AC121" s="223" t="s">
        <v>675</v>
      </c>
      <c r="AD121" s="398"/>
      <c r="AE121" s="23" t="s">
        <v>1026</v>
      </c>
      <c r="AF121" s="233" t="s">
        <v>683</v>
      </c>
      <c r="AG121" s="305"/>
      <c r="AH121" s="234"/>
      <c r="AI121" s="178"/>
      <c r="AJ121" s="549" t="s">
        <v>809</v>
      </c>
      <c r="AK121" s="15"/>
      <c r="AL121" s="15"/>
    </row>
    <row r="122" spans="1:38" ht="120" x14ac:dyDescent="0.3">
      <c r="A122" s="179"/>
      <c r="B122" s="292"/>
      <c r="C122" s="314"/>
      <c r="D122" s="293"/>
      <c r="E122" s="28" t="s">
        <v>1028</v>
      </c>
      <c r="F122" s="272"/>
      <c r="G122" s="282"/>
      <c r="H122" s="273"/>
      <c r="I122" s="167"/>
      <c r="J122" s="169"/>
      <c r="K122" s="167"/>
      <c r="L122" s="169"/>
      <c r="M122" s="506"/>
      <c r="N122" s="602"/>
      <c r="O122" s="507"/>
      <c r="P122" s="167"/>
      <c r="Q122" s="169"/>
      <c r="R122" s="506"/>
      <c r="S122" s="507"/>
      <c r="T122" s="167"/>
      <c r="U122" s="169"/>
      <c r="V122" s="506"/>
      <c r="W122" s="507"/>
      <c r="X122" s="311"/>
      <c r="Y122" s="312"/>
      <c r="Z122" s="313"/>
      <c r="AA122" s="272"/>
      <c r="AB122" s="273"/>
      <c r="AC122" s="239" t="s">
        <v>1024</v>
      </c>
      <c r="AD122" s="399"/>
      <c r="AE122" s="30" t="s">
        <v>1027</v>
      </c>
      <c r="AF122" s="235"/>
      <c r="AG122" s="270"/>
      <c r="AH122" s="236"/>
      <c r="AI122" s="179"/>
      <c r="AJ122" s="550"/>
      <c r="AK122" s="15"/>
      <c r="AL122" s="15"/>
    </row>
    <row r="123" spans="1:38" ht="75" x14ac:dyDescent="0.3">
      <c r="A123" s="179"/>
      <c r="B123" s="292"/>
      <c r="C123" s="314"/>
      <c r="D123" s="293"/>
      <c r="E123" s="28" t="s">
        <v>1029</v>
      </c>
      <c r="F123" s="194"/>
      <c r="G123" s="197"/>
      <c r="H123" s="195"/>
      <c r="I123" s="214"/>
      <c r="J123" s="216"/>
      <c r="K123" s="214"/>
      <c r="L123" s="216"/>
      <c r="M123" s="389"/>
      <c r="N123" s="496"/>
      <c r="O123" s="390"/>
      <c r="P123" s="214"/>
      <c r="Q123" s="216"/>
      <c r="R123" s="389"/>
      <c r="S123" s="390"/>
      <c r="T123" s="214"/>
      <c r="U123" s="216"/>
      <c r="V123" s="389"/>
      <c r="W123" s="390"/>
      <c r="X123" s="255"/>
      <c r="Y123" s="256"/>
      <c r="Z123" s="257"/>
      <c r="AA123" s="194"/>
      <c r="AB123" s="195"/>
      <c r="AC123" s="239" t="s">
        <v>677</v>
      </c>
      <c r="AD123" s="399"/>
      <c r="AE123" s="30"/>
      <c r="AF123" s="235"/>
      <c r="AG123" s="270"/>
      <c r="AH123" s="236"/>
      <c r="AI123" s="179"/>
      <c r="AJ123" s="715" t="s">
        <v>1030</v>
      </c>
      <c r="AK123" s="15"/>
      <c r="AL123" s="15"/>
    </row>
    <row r="124" spans="1:38" ht="75" x14ac:dyDescent="0.3">
      <c r="A124" s="179"/>
      <c r="B124" s="292"/>
      <c r="C124" s="314"/>
      <c r="D124" s="293"/>
      <c r="E124" s="28" t="s">
        <v>1031</v>
      </c>
      <c r="F124" s="233" t="s">
        <v>1032</v>
      </c>
      <c r="G124" s="305"/>
      <c r="H124" s="234"/>
      <c r="I124" s="164"/>
      <c r="J124" s="166"/>
      <c r="K124" s="164"/>
      <c r="L124" s="166"/>
      <c r="M124" s="328">
        <v>470</v>
      </c>
      <c r="N124" s="600"/>
      <c r="O124" s="329"/>
      <c r="P124" s="328">
        <v>32</v>
      </c>
      <c r="Q124" s="329"/>
      <c r="R124" s="630">
        <v>165</v>
      </c>
      <c r="S124" s="743"/>
      <c r="T124" s="328">
        <v>7</v>
      </c>
      <c r="U124" s="329"/>
      <c r="V124" s="328">
        <v>674</v>
      </c>
      <c r="W124" s="329"/>
      <c r="X124" s="294">
        <v>820</v>
      </c>
      <c r="Y124" s="295"/>
      <c r="Z124" s="296"/>
      <c r="AA124" s="233" t="s">
        <v>1033</v>
      </c>
      <c r="AB124" s="234"/>
      <c r="AC124" s="239" t="s">
        <v>678</v>
      </c>
      <c r="AD124" s="399"/>
      <c r="AE124" s="30"/>
      <c r="AF124" s="235"/>
      <c r="AG124" s="270"/>
      <c r="AH124" s="236"/>
      <c r="AI124" s="179"/>
      <c r="AJ124" s="716"/>
      <c r="AK124" s="15"/>
      <c r="AL124" s="15"/>
    </row>
    <row r="125" spans="1:38" ht="75" x14ac:dyDescent="0.3">
      <c r="A125" s="179"/>
      <c r="B125" s="292"/>
      <c r="C125" s="314"/>
      <c r="D125" s="293"/>
      <c r="E125" s="28" t="s">
        <v>1034</v>
      </c>
      <c r="F125" s="235"/>
      <c r="G125" s="270"/>
      <c r="H125" s="236"/>
      <c r="I125" s="167"/>
      <c r="J125" s="169"/>
      <c r="K125" s="167"/>
      <c r="L125" s="169"/>
      <c r="M125" s="517"/>
      <c r="N125" s="610"/>
      <c r="O125" s="518"/>
      <c r="P125" s="517"/>
      <c r="Q125" s="518"/>
      <c r="R125" s="631"/>
      <c r="S125" s="744"/>
      <c r="T125" s="517"/>
      <c r="U125" s="518"/>
      <c r="V125" s="517"/>
      <c r="W125" s="518"/>
      <c r="X125" s="297"/>
      <c r="Y125" s="298"/>
      <c r="Z125" s="299"/>
      <c r="AA125" s="235"/>
      <c r="AB125" s="236"/>
      <c r="AC125" s="239" t="s">
        <v>1025</v>
      </c>
      <c r="AD125" s="399"/>
      <c r="AE125" s="30"/>
      <c r="AF125" s="235"/>
      <c r="AG125" s="270"/>
      <c r="AH125" s="236"/>
      <c r="AI125" s="179"/>
      <c r="AJ125" s="716"/>
      <c r="AK125" s="15"/>
      <c r="AL125" s="15"/>
    </row>
    <row r="126" spans="1:38" ht="75" x14ac:dyDescent="0.3">
      <c r="A126" s="179"/>
      <c r="B126" s="292"/>
      <c r="C126" s="314"/>
      <c r="D126" s="293"/>
      <c r="E126" s="28" t="s">
        <v>1035</v>
      </c>
      <c r="F126" s="237"/>
      <c r="G126" s="306"/>
      <c r="H126" s="238"/>
      <c r="I126" s="214"/>
      <c r="J126" s="216"/>
      <c r="K126" s="214"/>
      <c r="L126" s="216"/>
      <c r="M126" s="519"/>
      <c r="N126" s="601"/>
      <c r="O126" s="520"/>
      <c r="P126" s="519"/>
      <c r="Q126" s="520"/>
      <c r="R126" s="632"/>
      <c r="S126" s="745"/>
      <c r="T126" s="519"/>
      <c r="U126" s="520"/>
      <c r="V126" s="519"/>
      <c r="W126" s="520"/>
      <c r="X126" s="300"/>
      <c r="Y126" s="301"/>
      <c r="Z126" s="302"/>
      <c r="AA126" s="237"/>
      <c r="AB126" s="238"/>
      <c r="AC126" s="239"/>
      <c r="AD126" s="399"/>
      <c r="AE126" s="30"/>
      <c r="AF126" s="235"/>
      <c r="AG126" s="270"/>
      <c r="AH126" s="236"/>
      <c r="AI126" s="179"/>
      <c r="AJ126" s="716"/>
      <c r="AK126" s="15"/>
      <c r="AL126" s="15"/>
    </row>
    <row r="127" spans="1:38" ht="75" x14ac:dyDescent="0.3">
      <c r="A127" s="179"/>
      <c r="B127" s="292"/>
      <c r="C127" s="314"/>
      <c r="D127" s="293"/>
      <c r="E127" s="28" t="s">
        <v>1036</v>
      </c>
      <c r="F127" s="233" t="s">
        <v>1037</v>
      </c>
      <c r="G127" s="305"/>
      <c r="H127" s="234"/>
      <c r="I127" s="164"/>
      <c r="J127" s="166"/>
      <c r="K127" s="164"/>
      <c r="L127" s="166"/>
      <c r="M127" s="328">
        <v>520</v>
      </c>
      <c r="N127" s="600"/>
      <c r="O127" s="329"/>
      <c r="P127" s="328">
        <v>35</v>
      </c>
      <c r="Q127" s="329"/>
      <c r="R127" s="630">
        <v>185</v>
      </c>
      <c r="S127" s="743"/>
      <c r="T127" s="328">
        <v>9</v>
      </c>
      <c r="U127" s="329"/>
      <c r="V127" s="328">
        <v>749</v>
      </c>
      <c r="W127" s="329"/>
      <c r="X127" s="294">
        <v>998</v>
      </c>
      <c r="Y127" s="295"/>
      <c r="Z127" s="296"/>
      <c r="AA127" s="233" t="s">
        <v>1038</v>
      </c>
      <c r="AB127" s="234"/>
      <c r="AC127" s="239"/>
      <c r="AD127" s="399"/>
      <c r="AE127" s="30"/>
      <c r="AF127" s="235"/>
      <c r="AG127" s="270"/>
      <c r="AH127" s="236"/>
      <c r="AI127" s="179"/>
      <c r="AJ127" s="716"/>
      <c r="AK127" s="15"/>
      <c r="AL127" s="15"/>
    </row>
    <row r="128" spans="1:38" ht="75" x14ac:dyDescent="0.3">
      <c r="A128" s="179"/>
      <c r="B128" s="292"/>
      <c r="C128" s="314"/>
      <c r="D128" s="293"/>
      <c r="E128" s="28" t="s">
        <v>1039</v>
      </c>
      <c r="F128" s="235"/>
      <c r="G128" s="270"/>
      <c r="H128" s="236"/>
      <c r="I128" s="167"/>
      <c r="J128" s="169"/>
      <c r="K128" s="167"/>
      <c r="L128" s="169"/>
      <c r="M128" s="517"/>
      <c r="N128" s="610"/>
      <c r="O128" s="518"/>
      <c r="P128" s="517"/>
      <c r="Q128" s="518"/>
      <c r="R128" s="631"/>
      <c r="S128" s="744"/>
      <c r="T128" s="517"/>
      <c r="U128" s="518"/>
      <c r="V128" s="517"/>
      <c r="W128" s="518"/>
      <c r="X128" s="297"/>
      <c r="Y128" s="298"/>
      <c r="Z128" s="299"/>
      <c r="AA128" s="235"/>
      <c r="AB128" s="236"/>
      <c r="AC128" s="239"/>
      <c r="AD128" s="399"/>
      <c r="AE128" s="30"/>
      <c r="AF128" s="235"/>
      <c r="AG128" s="270"/>
      <c r="AH128" s="236"/>
      <c r="AI128" s="179"/>
      <c r="AJ128" s="716"/>
      <c r="AK128" s="15"/>
      <c r="AL128" s="15"/>
    </row>
    <row r="129" spans="1:38" ht="75" x14ac:dyDescent="0.3">
      <c r="A129" s="230"/>
      <c r="B129" s="290"/>
      <c r="C129" s="345"/>
      <c r="D129" s="291"/>
      <c r="E129" s="28" t="s">
        <v>1040</v>
      </c>
      <c r="F129" s="237"/>
      <c r="G129" s="306"/>
      <c r="H129" s="238"/>
      <c r="I129" s="214"/>
      <c r="J129" s="216"/>
      <c r="K129" s="214"/>
      <c r="L129" s="216"/>
      <c r="M129" s="519"/>
      <c r="N129" s="601"/>
      <c r="O129" s="520"/>
      <c r="P129" s="519"/>
      <c r="Q129" s="520"/>
      <c r="R129" s="632"/>
      <c r="S129" s="745"/>
      <c r="T129" s="519"/>
      <c r="U129" s="520"/>
      <c r="V129" s="519"/>
      <c r="W129" s="520"/>
      <c r="X129" s="300"/>
      <c r="Y129" s="301"/>
      <c r="Z129" s="302"/>
      <c r="AA129" s="237"/>
      <c r="AB129" s="238"/>
      <c r="AC129" s="225"/>
      <c r="AD129" s="391"/>
      <c r="AE129" s="30"/>
      <c r="AF129" s="237"/>
      <c r="AG129" s="306"/>
      <c r="AH129" s="238"/>
      <c r="AI129" s="230"/>
      <c r="AJ129" s="723"/>
      <c r="AK129" s="15"/>
      <c r="AL129" s="15"/>
    </row>
    <row r="130" spans="1:38" ht="105" x14ac:dyDescent="0.25">
      <c r="A130" s="178"/>
      <c r="B130" s="303" t="s">
        <v>1041</v>
      </c>
      <c r="C130" s="344"/>
      <c r="D130" s="304"/>
      <c r="E130" s="28" t="s">
        <v>1042</v>
      </c>
      <c r="F130" s="192" t="s">
        <v>1043</v>
      </c>
      <c r="G130" s="196"/>
      <c r="H130" s="193"/>
      <c r="I130" s="604">
        <v>5</v>
      </c>
      <c r="J130" s="605"/>
      <c r="K130" s="149"/>
      <c r="L130" s="150"/>
      <c r="M130" s="114" t="s">
        <v>1044</v>
      </c>
      <c r="N130" s="115"/>
      <c r="O130" s="116"/>
      <c r="P130" s="114" t="s">
        <v>1045</v>
      </c>
      <c r="Q130" s="116"/>
      <c r="R130" s="183">
        <v>12</v>
      </c>
      <c r="S130" s="185"/>
      <c r="T130" s="183">
        <v>6</v>
      </c>
      <c r="U130" s="185"/>
      <c r="V130" s="114" t="s">
        <v>1046</v>
      </c>
      <c r="W130" s="116"/>
      <c r="X130" s="252">
        <v>118</v>
      </c>
      <c r="Y130" s="253"/>
      <c r="Z130" s="254"/>
      <c r="AA130" s="192" t="s">
        <v>989</v>
      </c>
      <c r="AB130" s="193"/>
      <c r="AC130" s="223" t="s">
        <v>675</v>
      </c>
      <c r="AD130" s="398"/>
      <c r="AE130" s="23" t="s">
        <v>1049</v>
      </c>
      <c r="AF130" s="303" t="s">
        <v>1051</v>
      </c>
      <c r="AG130" s="344"/>
      <c r="AH130" s="304"/>
      <c r="AI130" s="24" t="s">
        <v>1053</v>
      </c>
      <c r="AJ130" s="178"/>
      <c r="AK130" s="15"/>
      <c r="AL130" s="15"/>
    </row>
    <row r="131" spans="1:38" ht="105" x14ac:dyDescent="0.25">
      <c r="A131" s="179"/>
      <c r="B131" s="292"/>
      <c r="C131" s="314"/>
      <c r="D131" s="293"/>
      <c r="E131" s="28" t="s">
        <v>1055</v>
      </c>
      <c r="F131" s="194"/>
      <c r="G131" s="197"/>
      <c r="H131" s="195"/>
      <c r="I131" s="608"/>
      <c r="J131" s="609"/>
      <c r="K131" s="151"/>
      <c r="L131" s="152"/>
      <c r="M131" s="114" t="s">
        <v>1056</v>
      </c>
      <c r="N131" s="115"/>
      <c r="O131" s="116"/>
      <c r="P131" s="114" t="s">
        <v>1045</v>
      </c>
      <c r="Q131" s="116"/>
      <c r="R131" s="183">
        <v>12</v>
      </c>
      <c r="S131" s="185"/>
      <c r="T131" s="183">
        <v>6</v>
      </c>
      <c r="U131" s="185"/>
      <c r="V131" s="114" t="s">
        <v>1057</v>
      </c>
      <c r="W131" s="116"/>
      <c r="X131" s="255"/>
      <c r="Y131" s="256"/>
      <c r="Z131" s="257"/>
      <c r="AA131" s="194"/>
      <c r="AB131" s="195"/>
      <c r="AC131" s="239" t="s">
        <v>1047</v>
      </c>
      <c r="AD131" s="399"/>
      <c r="AE131" s="30" t="s">
        <v>681</v>
      </c>
      <c r="AF131" s="292" t="s">
        <v>1052</v>
      </c>
      <c r="AG131" s="314"/>
      <c r="AH131" s="293"/>
      <c r="AI131" s="31" t="s">
        <v>681</v>
      </c>
      <c r="AJ131" s="179"/>
      <c r="AK131" s="15"/>
      <c r="AL131" s="15"/>
    </row>
    <row r="132" spans="1:38" ht="105" x14ac:dyDescent="0.25">
      <c r="A132" s="179"/>
      <c r="B132" s="292"/>
      <c r="C132" s="314"/>
      <c r="D132" s="293"/>
      <c r="E132" s="28" t="s">
        <v>1058</v>
      </c>
      <c r="F132" s="192" t="s">
        <v>1059</v>
      </c>
      <c r="G132" s="196"/>
      <c r="H132" s="193"/>
      <c r="I132" s="739" t="s">
        <v>1060</v>
      </c>
      <c r="J132" s="740"/>
      <c r="K132" s="149"/>
      <c r="L132" s="150"/>
      <c r="M132" s="114" t="s">
        <v>1061</v>
      </c>
      <c r="N132" s="115"/>
      <c r="O132" s="116"/>
      <c r="P132" s="114" t="s">
        <v>1062</v>
      </c>
      <c r="Q132" s="116"/>
      <c r="R132" s="183">
        <v>14</v>
      </c>
      <c r="S132" s="185"/>
      <c r="T132" s="183">
        <v>6</v>
      </c>
      <c r="U132" s="185"/>
      <c r="V132" s="114" t="s">
        <v>1063</v>
      </c>
      <c r="W132" s="116"/>
      <c r="X132" s="252">
        <v>128</v>
      </c>
      <c r="Y132" s="253"/>
      <c r="Z132" s="254"/>
      <c r="AA132" s="192" t="s">
        <v>1038</v>
      </c>
      <c r="AB132" s="193"/>
      <c r="AC132" s="239" t="s">
        <v>677</v>
      </c>
      <c r="AD132" s="399"/>
      <c r="AE132" s="30" t="s">
        <v>1050</v>
      </c>
      <c r="AF132" s="292" t="s">
        <v>984</v>
      </c>
      <c r="AG132" s="314"/>
      <c r="AH132" s="293"/>
      <c r="AI132" s="31" t="s">
        <v>1054</v>
      </c>
      <c r="AJ132" s="179"/>
      <c r="AK132" s="15"/>
      <c r="AL132" s="15"/>
    </row>
    <row r="133" spans="1:38" ht="105" x14ac:dyDescent="0.25">
      <c r="A133" s="179"/>
      <c r="B133" s="292"/>
      <c r="C133" s="314"/>
      <c r="D133" s="293"/>
      <c r="E133" s="28" t="s">
        <v>1064</v>
      </c>
      <c r="F133" s="194"/>
      <c r="G133" s="197"/>
      <c r="H133" s="195"/>
      <c r="I133" s="741"/>
      <c r="J133" s="742"/>
      <c r="K133" s="151"/>
      <c r="L133" s="152"/>
      <c r="M133" s="114" t="s">
        <v>1065</v>
      </c>
      <c r="N133" s="115"/>
      <c r="O133" s="116"/>
      <c r="P133" s="114" t="s">
        <v>1062</v>
      </c>
      <c r="Q133" s="116"/>
      <c r="R133" s="183">
        <v>14</v>
      </c>
      <c r="S133" s="185"/>
      <c r="T133" s="183">
        <v>6</v>
      </c>
      <c r="U133" s="185"/>
      <c r="V133" s="114" t="s">
        <v>1066</v>
      </c>
      <c r="W133" s="116"/>
      <c r="X133" s="255"/>
      <c r="Y133" s="256"/>
      <c r="Z133" s="257"/>
      <c r="AA133" s="194"/>
      <c r="AB133" s="195"/>
      <c r="AC133" s="239" t="s">
        <v>678</v>
      </c>
      <c r="AD133" s="399"/>
      <c r="AE133" s="30"/>
      <c r="AF133" s="292"/>
      <c r="AG133" s="314"/>
      <c r="AH133" s="293"/>
      <c r="AI133" s="31"/>
      <c r="AJ133" s="179"/>
      <c r="AK133" s="15"/>
      <c r="AL133" s="15"/>
    </row>
    <row r="134" spans="1:38" ht="105" x14ac:dyDescent="0.25">
      <c r="A134" s="179"/>
      <c r="B134" s="292"/>
      <c r="C134" s="314"/>
      <c r="D134" s="293"/>
      <c r="E134" s="28" t="s">
        <v>1067</v>
      </c>
      <c r="F134" s="192" t="s">
        <v>1068</v>
      </c>
      <c r="G134" s="196"/>
      <c r="H134" s="193"/>
      <c r="I134" s="739" t="s">
        <v>1069</v>
      </c>
      <c r="J134" s="740"/>
      <c r="K134" s="149"/>
      <c r="L134" s="150"/>
      <c r="M134" s="114" t="s">
        <v>1070</v>
      </c>
      <c r="N134" s="115"/>
      <c r="O134" s="116"/>
      <c r="P134" s="114" t="s">
        <v>1071</v>
      </c>
      <c r="Q134" s="116"/>
      <c r="R134" s="183">
        <v>16</v>
      </c>
      <c r="S134" s="185"/>
      <c r="T134" s="183">
        <v>6</v>
      </c>
      <c r="U134" s="185"/>
      <c r="V134" s="114" t="s">
        <v>1072</v>
      </c>
      <c r="W134" s="116"/>
      <c r="X134" s="252">
        <v>148</v>
      </c>
      <c r="Y134" s="253"/>
      <c r="Z134" s="254"/>
      <c r="AA134" s="192" t="s">
        <v>989</v>
      </c>
      <c r="AB134" s="193"/>
      <c r="AC134" s="239" t="s">
        <v>1048</v>
      </c>
      <c r="AD134" s="399"/>
      <c r="AE134" s="30"/>
      <c r="AF134" s="292"/>
      <c r="AG134" s="314"/>
      <c r="AH134" s="293"/>
      <c r="AI134" s="31"/>
      <c r="AJ134" s="179"/>
      <c r="AK134" s="15"/>
      <c r="AL134" s="15"/>
    </row>
    <row r="135" spans="1:38" ht="105" x14ac:dyDescent="0.25">
      <c r="A135" s="179"/>
      <c r="B135" s="292"/>
      <c r="C135" s="314"/>
      <c r="D135" s="293"/>
      <c r="E135" s="28" t="s">
        <v>1073</v>
      </c>
      <c r="F135" s="194"/>
      <c r="G135" s="197"/>
      <c r="H135" s="195"/>
      <c r="I135" s="741"/>
      <c r="J135" s="742"/>
      <c r="K135" s="151"/>
      <c r="L135" s="152"/>
      <c r="M135" s="114" t="s">
        <v>1074</v>
      </c>
      <c r="N135" s="115"/>
      <c r="O135" s="116"/>
      <c r="P135" s="114" t="s">
        <v>1071</v>
      </c>
      <c r="Q135" s="116"/>
      <c r="R135" s="183">
        <v>16</v>
      </c>
      <c r="S135" s="185"/>
      <c r="T135" s="183">
        <v>6</v>
      </c>
      <c r="U135" s="185"/>
      <c r="V135" s="114" t="s">
        <v>1075</v>
      </c>
      <c r="W135" s="116"/>
      <c r="X135" s="255"/>
      <c r="Y135" s="256"/>
      <c r="Z135" s="257"/>
      <c r="AA135" s="194"/>
      <c r="AB135" s="195"/>
      <c r="AC135" s="239"/>
      <c r="AD135" s="399"/>
      <c r="AE135" s="30"/>
      <c r="AF135" s="292"/>
      <c r="AG135" s="314"/>
      <c r="AH135" s="293"/>
      <c r="AI135" s="31"/>
      <c r="AJ135" s="179"/>
      <c r="AK135" s="15"/>
      <c r="AL135" s="15"/>
    </row>
    <row r="136" spans="1:38" ht="105" x14ac:dyDescent="0.25">
      <c r="A136" s="179"/>
      <c r="B136" s="292"/>
      <c r="C136" s="314"/>
      <c r="D136" s="293"/>
      <c r="E136" s="28" t="s">
        <v>1076</v>
      </c>
      <c r="F136" s="192" t="s">
        <v>1077</v>
      </c>
      <c r="G136" s="196"/>
      <c r="H136" s="193"/>
      <c r="I136" s="739" t="s">
        <v>1078</v>
      </c>
      <c r="J136" s="740"/>
      <c r="K136" s="149"/>
      <c r="L136" s="150"/>
      <c r="M136" s="114" t="s">
        <v>1079</v>
      </c>
      <c r="N136" s="115"/>
      <c r="O136" s="116"/>
      <c r="P136" s="183">
        <v>10</v>
      </c>
      <c r="Q136" s="185"/>
      <c r="R136" s="183">
        <v>18</v>
      </c>
      <c r="S136" s="185"/>
      <c r="T136" s="183">
        <v>6</v>
      </c>
      <c r="U136" s="185"/>
      <c r="V136" s="114" t="s">
        <v>1080</v>
      </c>
      <c r="W136" s="116"/>
      <c r="X136" s="252">
        <v>158</v>
      </c>
      <c r="Y136" s="253"/>
      <c r="Z136" s="254"/>
      <c r="AA136" s="192" t="s">
        <v>1081</v>
      </c>
      <c r="AB136" s="193"/>
      <c r="AC136" s="239"/>
      <c r="AD136" s="399"/>
      <c r="AE136" s="30"/>
      <c r="AF136" s="292"/>
      <c r="AG136" s="314"/>
      <c r="AH136" s="293"/>
      <c r="AI136" s="31"/>
      <c r="AJ136" s="179"/>
      <c r="AK136" s="15"/>
      <c r="AL136" s="15"/>
    </row>
    <row r="137" spans="1:38" ht="105" x14ac:dyDescent="0.25">
      <c r="A137" s="179"/>
      <c r="B137" s="292"/>
      <c r="C137" s="314"/>
      <c r="D137" s="293"/>
      <c r="E137" s="28" t="s">
        <v>1082</v>
      </c>
      <c r="F137" s="194"/>
      <c r="G137" s="197"/>
      <c r="H137" s="195"/>
      <c r="I137" s="741"/>
      <c r="J137" s="742"/>
      <c r="K137" s="151"/>
      <c r="L137" s="152"/>
      <c r="M137" s="114" t="s">
        <v>1083</v>
      </c>
      <c r="N137" s="115"/>
      <c r="O137" s="116"/>
      <c r="P137" s="183">
        <v>10</v>
      </c>
      <c r="Q137" s="185"/>
      <c r="R137" s="183">
        <v>18</v>
      </c>
      <c r="S137" s="185"/>
      <c r="T137" s="183">
        <v>6</v>
      </c>
      <c r="U137" s="185"/>
      <c r="V137" s="114" t="s">
        <v>1084</v>
      </c>
      <c r="W137" s="116"/>
      <c r="X137" s="255"/>
      <c r="Y137" s="256"/>
      <c r="Z137" s="257"/>
      <c r="AA137" s="194"/>
      <c r="AB137" s="195"/>
      <c r="AC137" s="239"/>
      <c r="AD137" s="399"/>
      <c r="AE137" s="30"/>
      <c r="AF137" s="292"/>
      <c r="AG137" s="314"/>
      <c r="AH137" s="293"/>
      <c r="AI137" s="31"/>
      <c r="AJ137" s="179"/>
      <c r="AK137" s="15"/>
      <c r="AL137" s="15"/>
    </row>
    <row r="138" spans="1:38" ht="105" x14ac:dyDescent="0.25">
      <c r="A138" s="179"/>
      <c r="B138" s="292"/>
      <c r="C138" s="314"/>
      <c r="D138" s="293"/>
      <c r="E138" s="28" t="s">
        <v>1085</v>
      </c>
      <c r="F138" s="192" t="s">
        <v>1086</v>
      </c>
      <c r="G138" s="196"/>
      <c r="H138" s="193"/>
      <c r="I138" s="739" t="s">
        <v>1087</v>
      </c>
      <c r="J138" s="740"/>
      <c r="K138" s="149"/>
      <c r="L138" s="150"/>
      <c r="M138" s="114" t="s">
        <v>1088</v>
      </c>
      <c r="N138" s="115"/>
      <c r="O138" s="116"/>
      <c r="P138" s="183">
        <v>11</v>
      </c>
      <c r="Q138" s="185"/>
      <c r="R138" s="183">
        <v>24</v>
      </c>
      <c r="S138" s="185"/>
      <c r="T138" s="183">
        <v>6</v>
      </c>
      <c r="U138" s="185"/>
      <c r="V138" s="114" t="s">
        <v>1089</v>
      </c>
      <c r="W138" s="116"/>
      <c r="X138" s="252">
        <v>195</v>
      </c>
      <c r="Y138" s="253"/>
      <c r="Z138" s="254"/>
      <c r="AA138" s="192" t="s">
        <v>1090</v>
      </c>
      <c r="AB138" s="193"/>
      <c r="AC138" s="239"/>
      <c r="AD138" s="399"/>
      <c r="AE138" s="30"/>
      <c r="AF138" s="292"/>
      <c r="AG138" s="314"/>
      <c r="AH138" s="293"/>
      <c r="AI138" s="31"/>
      <c r="AJ138" s="179"/>
      <c r="AK138" s="15"/>
      <c r="AL138" s="15"/>
    </row>
    <row r="139" spans="1:38" ht="105" x14ac:dyDescent="0.25">
      <c r="A139" s="179"/>
      <c r="B139" s="292"/>
      <c r="C139" s="314"/>
      <c r="D139" s="293"/>
      <c r="E139" s="28" t="s">
        <v>1091</v>
      </c>
      <c r="F139" s="194"/>
      <c r="G139" s="197"/>
      <c r="H139" s="195"/>
      <c r="I139" s="741"/>
      <c r="J139" s="742"/>
      <c r="K139" s="151"/>
      <c r="L139" s="152"/>
      <c r="M139" s="114" t="s">
        <v>1092</v>
      </c>
      <c r="N139" s="115"/>
      <c r="O139" s="116"/>
      <c r="P139" s="183">
        <v>11</v>
      </c>
      <c r="Q139" s="185"/>
      <c r="R139" s="183">
        <v>24</v>
      </c>
      <c r="S139" s="185"/>
      <c r="T139" s="183">
        <v>6</v>
      </c>
      <c r="U139" s="185"/>
      <c r="V139" s="114" t="s">
        <v>1093</v>
      </c>
      <c r="W139" s="116"/>
      <c r="X139" s="255"/>
      <c r="Y139" s="256"/>
      <c r="Z139" s="257"/>
      <c r="AA139" s="194"/>
      <c r="AB139" s="195"/>
      <c r="AC139" s="239"/>
      <c r="AD139" s="399"/>
      <c r="AE139" s="30"/>
      <c r="AF139" s="292"/>
      <c r="AG139" s="314"/>
      <c r="AH139" s="293"/>
      <c r="AI139" s="31"/>
      <c r="AJ139" s="179"/>
      <c r="AK139" s="15"/>
      <c r="AL139" s="15"/>
    </row>
    <row r="140" spans="1:38" ht="105" x14ac:dyDescent="0.25">
      <c r="A140" s="179"/>
      <c r="B140" s="292"/>
      <c r="C140" s="314"/>
      <c r="D140" s="293"/>
      <c r="E140" s="28" t="s">
        <v>1094</v>
      </c>
      <c r="F140" s="192" t="s">
        <v>1095</v>
      </c>
      <c r="G140" s="196"/>
      <c r="H140" s="193"/>
      <c r="I140" s="739" t="s">
        <v>1096</v>
      </c>
      <c r="J140" s="740"/>
      <c r="K140" s="149"/>
      <c r="L140" s="150"/>
      <c r="M140" s="114" t="s">
        <v>1097</v>
      </c>
      <c r="N140" s="115"/>
      <c r="O140" s="116"/>
      <c r="P140" s="183">
        <v>12</v>
      </c>
      <c r="Q140" s="185"/>
      <c r="R140" s="183">
        <v>24</v>
      </c>
      <c r="S140" s="185"/>
      <c r="T140" s="183">
        <v>7</v>
      </c>
      <c r="U140" s="185"/>
      <c r="V140" s="114" t="s">
        <v>1098</v>
      </c>
      <c r="W140" s="116"/>
      <c r="X140" s="252">
        <v>208</v>
      </c>
      <c r="Y140" s="253"/>
      <c r="Z140" s="254"/>
      <c r="AA140" s="192" t="s">
        <v>1090</v>
      </c>
      <c r="AB140" s="193"/>
      <c r="AC140" s="239"/>
      <c r="AD140" s="399"/>
      <c r="AE140" s="30"/>
      <c r="AF140" s="292"/>
      <c r="AG140" s="314"/>
      <c r="AH140" s="293"/>
      <c r="AI140" s="31"/>
      <c r="AJ140" s="179"/>
      <c r="AK140" s="15"/>
      <c r="AL140" s="15"/>
    </row>
    <row r="141" spans="1:38" ht="105" x14ac:dyDescent="0.25">
      <c r="A141" s="230"/>
      <c r="B141" s="290"/>
      <c r="C141" s="345"/>
      <c r="D141" s="291"/>
      <c r="E141" s="28" t="s">
        <v>1099</v>
      </c>
      <c r="F141" s="194"/>
      <c r="G141" s="197"/>
      <c r="H141" s="195"/>
      <c r="I141" s="741"/>
      <c r="J141" s="742"/>
      <c r="K141" s="151"/>
      <c r="L141" s="152"/>
      <c r="M141" s="114" t="s">
        <v>1100</v>
      </c>
      <c r="N141" s="115"/>
      <c r="O141" s="116"/>
      <c r="P141" s="183">
        <v>12</v>
      </c>
      <c r="Q141" s="185"/>
      <c r="R141" s="183">
        <v>24</v>
      </c>
      <c r="S141" s="185"/>
      <c r="T141" s="183">
        <v>7</v>
      </c>
      <c r="U141" s="185"/>
      <c r="V141" s="114" t="s">
        <v>1101</v>
      </c>
      <c r="W141" s="116"/>
      <c r="X141" s="255"/>
      <c r="Y141" s="256"/>
      <c r="Z141" s="257"/>
      <c r="AA141" s="194"/>
      <c r="AB141" s="195"/>
      <c r="AC141" s="225"/>
      <c r="AD141" s="391"/>
      <c r="AE141" s="30"/>
      <c r="AF141" s="290"/>
      <c r="AG141" s="345"/>
      <c r="AH141" s="291"/>
      <c r="AI141" s="31"/>
      <c r="AJ141" s="230"/>
      <c r="AK141" s="15"/>
      <c r="AL141" s="15"/>
    </row>
    <row r="142" spans="1:38" ht="90" x14ac:dyDescent="0.3">
      <c r="A142" s="178"/>
      <c r="B142" s="303" t="s">
        <v>1102</v>
      </c>
      <c r="C142" s="344"/>
      <c r="D142" s="304"/>
      <c r="E142" s="66" t="s">
        <v>1103</v>
      </c>
      <c r="F142" s="223" t="s">
        <v>1104</v>
      </c>
      <c r="G142" s="398"/>
      <c r="H142" s="224"/>
      <c r="I142" s="724" t="s">
        <v>1105</v>
      </c>
      <c r="J142" s="725"/>
      <c r="K142" s="171" t="s">
        <v>1106</v>
      </c>
      <c r="L142" s="172"/>
      <c r="M142" s="387">
        <v>188</v>
      </c>
      <c r="N142" s="495"/>
      <c r="O142" s="388"/>
      <c r="P142" s="149"/>
      <c r="Q142" s="150"/>
      <c r="R142" s="387">
        <v>80</v>
      </c>
      <c r="S142" s="388"/>
      <c r="T142" s="149"/>
      <c r="U142" s="150"/>
      <c r="V142" s="171" t="s">
        <v>1107</v>
      </c>
      <c r="W142" s="172"/>
      <c r="X142" s="252">
        <v>380</v>
      </c>
      <c r="Y142" s="253"/>
      <c r="Z142" s="254"/>
      <c r="AA142" s="192" t="s">
        <v>1023</v>
      </c>
      <c r="AB142" s="193"/>
      <c r="AC142" s="223" t="s">
        <v>675</v>
      </c>
      <c r="AD142" s="398"/>
      <c r="AE142" s="23" t="s">
        <v>1110</v>
      </c>
      <c r="AF142" s="233" t="s">
        <v>683</v>
      </c>
      <c r="AG142" s="305"/>
      <c r="AH142" s="234"/>
      <c r="AI142" s="178"/>
      <c r="AJ142" s="715" t="s">
        <v>684</v>
      </c>
      <c r="AK142" s="15"/>
      <c r="AL142" s="15"/>
    </row>
    <row r="143" spans="1:38" ht="45" x14ac:dyDescent="0.3">
      <c r="A143" s="179"/>
      <c r="B143" s="292"/>
      <c r="C143" s="314"/>
      <c r="D143" s="293"/>
      <c r="E143" s="67"/>
      <c r="F143" s="225"/>
      <c r="G143" s="391"/>
      <c r="H143" s="226"/>
      <c r="I143" s="728"/>
      <c r="J143" s="729"/>
      <c r="K143" s="212"/>
      <c r="L143" s="213"/>
      <c r="M143" s="389"/>
      <c r="N143" s="496"/>
      <c r="O143" s="390"/>
      <c r="P143" s="151"/>
      <c r="Q143" s="152"/>
      <c r="R143" s="389"/>
      <c r="S143" s="390"/>
      <c r="T143" s="151"/>
      <c r="U143" s="152"/>
      <c r="V143" s="212"/>
      <c r="W143" s="213"/>
      <c r="X143" s="255"/>
      <c r="Y143" s="256"/>
      <c r="Z143" s="257"/>
      <c r="AA143" s="194"/>
      <c r="AB143" s="195"/>
      <c r="AC143" s="239" t="s">
        <v>1108</v>
      </c>
      <c r="AD143" s="399"/>
      <c r="AE143" s="30" t="s">
        <v>681</v>
      </c>
      <c r="AF143" s="235"/>
      <c r="AG143" s="270"/>
      <c r="AH143" s="236"/>
      <c r="AI143" s="179"/>
      <c r="AJ143" s="716"/>
      <c r="AK143" s="15"/>
      <c r="AL143" s="15"/>
    </row>
    <row r="144" spans="1:38" ht="90" x14ac:dyDescent="0.3">
      <c r="A144" s="179"/>
      <c r="B144" s="292"/>
      <c r="C144" s="314"/>
      <c r="D144" s="293"/>
      <c r="E144" s="19" t="s">
        <v>1112</v>
      </c>
      <c r="F144" s="346" t="s">
        <v>1113</v>
      </c>
      <c r="G144" s="347"/>
      <c r="H144" s="348"/>
      <c r="I144" s="460"/>
      <c r="J144" s="461"/>
      <c r="K144" s="460"/>
      <c r="L144" s="461"/>
      <c r="M144" s="349">
        <v>350</v>
      </c>
      <c r="N144" s="423"/>
      <c r="O144" s="350"/>
      <c r="P144" s="349">
        <v>35</v>
      </c>
      <c r="Q144" s="350"/>
      <c r="R144" s="349">
        <v>165</v>
      </c>
      <c r="S144" s="350"/>
      <c r="T144" s="349">
        <v>5</v>
      </c>
      <c r="U144" s="350"/>
      <c r="V144" s="351" t="s">
        <v>701</v>
      </c>
      <c r="W144" s="352"/>
      <c r="X144" s="334">
        <v>666</v>
      </c>
      <c r="Y144" s="335"/>
      <c r="Z144" s="336"/>
      <c r="AA144" s="337" t="s">
        <v>1114</v>
      </c>
      <c r="AB144" s="338"/>
      <c r="AC144" s="239" t="s">
        <v>677</v>
      </c>
      <c r="AD144" s="399"/>
      <c r="AE144" s="30" t="s">
        <v>1111</v>
      </c>
      <c r="AF144" s="235"/>
      <c r="AG144" s="270"/>
      <c r="AH144" s="236"/>
      <c r="AI144" s="179"/>
      <c r="AJ144" s="716"/>
      <c r="AK144" s="15"/>
      <c r="AL144" s="15"/>
    </row>
    <row r="145" spans="1:38" ht="90" x14ac:dyDescent="0.3">
      <c r="A145" s="179"/>
      <c r="B145" s="292"/>
      <c r="C145" s="314"/>
      <c r="D145" s="293"/>
      <c r="E145" s="19" t="s">
        <v>1115</v>
      </c>
      <c r="F145" s="346" t="s">
        <v>1116</v>
      </c>
      <c r="G145" s="347"/>
      <c r="H145" s="348"/>
      <c r="I145" s="460"/>
      <c r="J145" s="461"/>
      <c r="K145" s="460"/>
      <c r="L145" s="461"/>
      <c r="M145" s="349">
        <v>400</v>
      </c>
      <c r="N145" s="423"/>
      <c r="O145" s="350"/>
      <c r="P145" s="349">
        <v>38</v>
      </c>
      <c r="Q145" s="350"/>
      <c r="R145" s="349">
        <v>200</v>
      </c>
      <c r="S145" s="350"/>
      <c r="T145" s="349">
        <v>7</v>
      </c>
      <c r="U145" s="350"/>
      <c r="V145" s="346" t="s">
        <v>1117</v>
      </c>
      <c r="W145" s="348"/>
      <c r="X145" s="334">
        <v>910</v>
      </c>
      <c r="Y145" s="335"/>
      <c r="Z145" s="336"/>
      <c r="AA145" s="337" t="s">
        <v>1023</v>
      </c>
      <c r="AB145" s="338"/>
      <c r="AC145" s="239" t="s">
        <v>678</v>
      </c>
      <c r="AD145" s="399"/>
      <c r="AE145" s="30"/>
      <c r="AF145" s="235"/>
      <c r="AG145" s="270"/>
      <c r="AH145" s="236"/>
      <c r="AI145" s="179"/>
      <c r="AJ145" s="716"/>
      <c r="AK145" s="15"/>
      <c r="AL145" s="15"/>
    </row>
    <row r="146" spans="1:38" ht="90" x14ac:dyDescent="0.3">
      <c r="A146" s="230"/>
      <c r="B146" s="290"/>
      <c r="C146" s="345"/>
      <c r="D146" s="291"/>
      <c r="E146" s="19" t="s">
        <v>1118</v>
      </c>
      <c r="F146" s="346" t="s">
        <v>1119</v>
      </c>
      <c r="G146" s="347"/>
      <c r="H146" s="348"/>
      <c r="I146" s="460"/>
      <c r="J146" s="461"/>
      <c r="K146" s="460"/>
      <c r="L146" s="461"/>
      <c r="M146" s="349">
        <v>450</v>
      </c>
      <c r="N146" s="423"/>
      <c r="O146" s="350"/>
      <c r="P146" s="349">
        <v>40</v>
      </c>
      <c r="Q146" s="350"/>
      <c r="R146" s="349">
        <v>225</v>
      </c>
      <c r="S146" s="350"/>
      <c r="T146" s="349">
        <v>9</v>
      </c>
      <c r="U146" s="350"/>
      <c r="V146" s="346" t="s">
        <v>1120</v>
      </c>
      <c r="W146" s="348"/>
      <c r="X146" s="334">
        <v>1058</v>
      </c>
      <c r="Y146" s="335"/>
      <c r="Z146" s="336"/>
      <c r="AA146" s="337" t="s">
        <v>842</v>
      </c>
      <c r="AB146" s="338"/>
      <c r="AC146" s="225" t="s">
        <v>1109</v>
      </c>
      <c r="AD146" s="391"/>
      <c r="AE146" s="30"/>
      <c r="AF146" s="237"/>
      <c r="AG146" s="306"/>
      <c r="AH146" s="238"/>
      <c r="AI146" s="230"/>
      <c r="AJ146" s="723"/>
      <c r="AK146" s="15"/>
      <c r="AL146" s="15"/>
    </row>
    <row r="147" spans="1:38" ht="90" x14ac:dyDescent="0.3">
      <c r="A147" s="178"/>
      <c r="B147" s="303" t="s">
        <v>1121</v>
      </c>
      <c r="C147" s="344"/>
      <c r="D147" s="304"/>
      <c r="E147" s="28" t="s">
        <v>1122</v>
      </c>
      <c r="F147" s="192" t="s">
        <v>1123</v>
      </c>
      <c r="G147" s="196"/>
      <c r="H147" s="193"/>
      <c r="I147" s="192" t="s">
        <v>1124</v>
      </c>
      <c r="J147" s="193"/>
      <c r="K147" s="114" t="s">
        <v>1125</v>
      </c>
      <c r="L147" s="116"/>
      <c r="M147" s="114" t="s">
        <v>1126</v>
      </c>
      <c r="N147" s="115"/>
      <c r="O147" s="116"/>
      <c r="P147" s="114" t="s">
        <v>1127</v>
      </c>
      <c r="Q147" s="116"/>
      <c r="R147" s="183">
        <v>19</v>
      </c>
      <c r="S147" s="185"/>
      <c r="T147" s="183">
        <v>8</v>
      </c>
      <c r="U147" s="185"/>
      <c r="V147" s="114" t="s">
        <v>1128</v>
      </c>
      <c r="W147" s="116"/>
      <c r="X147" s="227">
        <v>138</v>
      </c>
      <c r="Y147" s="228"/>
      <c r="Z147" s="229"/>
      <c r="AA147" s="110" t="s">
        <v>674</v>
      </c>
      <c r="AB147" s="111"/>
      <c r="AC147" s="223" t="s">
        <v>675</v>
      </c>
      <c r="AD147" s="398"/>
      <c r="AE147" s="23" t="s">
        <v>1131</v>
      </c>
      <c r="AF147" s="171" t="s">
        <v>1133</v>
      </c>
      <c r="AG147" s="407"/>
      <c r="AH147" s="172"/>
      <c r="AI147" s="24" t="s">
        <v>1134</v>
      </c>
      <c r="AJ147" s="178"/>
      <c r="AK147" s="15"/>
      <c r="AL147" s="15"/>
    </row>
    <row r="148" spans="1:38" ht="90" x14ac:dyDescent="0.3">
      <c r="A148" s="179"/>
      <c r="B148" s="292"/>
      <c r="C148" s="314"/>
      <c r="D148" s="293"/>
      <c r="E148" s="28" t="s">
        <v>1136</v>
      </c>
      <c r="F148" s="272"/>
      <c r="G148" s="282"/>
      <c r="H148" s="273"/>
      <c r="I148" s="194"/>
      <c r="J148" s="195"/>
      <c r="K148" s="114" t="s">
        <v>1125</v>
      </c>
      <c r="L148" s="116"/>
      <c r="M148" s="114" t="s">
        <v>1137</v>
      </c>
      <c r="N148" s="115"/>
      <c r="O148" s="116"/>
      <c r="P148" s="114" t="s">
        <v>1127</v>
      </c>
      <c r="Q148" s="116"/>
      <c r="R148" s="183">
        <v>19</v>
      </c>
      <c r="S148" s="185"/>
      <c r="T148" s="183">
        <v>8</v>
      </c>
      <c r="U148" s="185"/>
      <c r="V148" s="114" t="s">
        <v>1138</v>
      </c>
      <c r="W148" s="116"/>
      <c r="X148" s="227">
        <v>138</v>
      </c>
      <c r="Y148" s="228"/>
      <c r="Z148" s="229"/>
      <c r="AA148" s="110" t="s">
        <v>688</v>
      </c>
      <c r="AB148" s="111"/>
      <c r="AC148" s="239" t="s">
        <v>1129</v>
      </c>
      <c r="AD148" s="399"/>
      <c r="AE148" s="30" t="s">
        <v>681</v>
      </c>
      <c r="AF148" s="162"/>
      <c r="AG148" s="170"/>
      <c r="AH148" s="163"/>
      <c r="AI148" s="31" t="s">
        <v>681</v>
      </c>
      <c r="AJ148" s="179"/>
      <c r="AK148" s="15"/>
      <c r="AL148" s="15"/>
    </row>
    <row r="149" spans="1:38" ht="105" x14ac:dyDescent="0.3">
      <c r="A149" s="179"/>
      <c r="B149" s="292"/>
      <c r="C149" s="314"/>
      <c r="D149" s="293"/>
      <c r="E149" s="28" t="s">
        <v>1139</v>
      </c>
      <c r="F149" s="194"/>
      <c r="G149" s="197"/>
      <c r="H149" s="195"/>
      <c r="I149" s="380" t="s">
        <v>1140</v>
      </c>
      <c r="J149" s="381"/>
      <c r="K149" s="114" t="s">
        <v>1125</v>
      </c>
      <c r="L149" s="116"/>
      <c r="M149" s="180" t="s">
        <v>1141</v>
      </c>
      <c r="N149" s="450"/>
      <c r="O149" s="181"/>
      <c r="P149" s="114" t="s">
        <v>1127</v>
      </c>
      <c r="Q149" s="116"/>
      <c r="R149" s="183">
        <v>16</v>
      </c>
      <c r="S149" s="185"/>
      <c r="T149" s="183">
        <v>8</v>
      </c>
      <c r="U149" s="185"/>
      <c r="V149" s="114" t="s">
        <v>1142</v>
      </c>
      <c r="W149" s="116"/>
      <c r="X149" s="227">
        <v>138</v>
      </c>
      <c r="Y149" s="228"/>
      <c r="Z149" s="229"/>
      <c r="AA149" s="110" t="s">
        <v>717</v>
      </c>
      <c r="AB149" s="111"/>
      <c r="AC149" s="239" t="s">
        <v>677</v>
      </c>
      <c r="AD149" s="399"/>
      <c r="AE149" s="30" t="s">
        <v>1132</v>
      </c>
      <c r="AF149" s="162"/>
      <c r="AG149" s="170"/>
      <c r="AH149" s="163"/>
      <c r="AI149" s="31" t="s">
        <v>1135</v>
      </c>
      <c r="AJ149" s="179"/>
      <c r="AK149" s="15"/>
      <c r="AL149" s="15"/>
    </row>
    <row r="150" spans="1:38" ht="90" x14ac:dyDescent="0.3">
      <c r="A150" s="179"/>
      <c r="B150" s="292"/>
      <c r="C150" s="314"/>
      <c r="D150" s="293"/>
      <c r="E150" s="28" t="s">
        <v>1143</v>
      </c>
      <c r="F150" s="192" t="s">
        <v>1144</v>
      </c>
      <c r="G150" s="196"/>
      <c r="H150" s="193"/>
      <c r="I150" s="387">
        <v>9</v>
      </c>
      <c r="J150" s="388"/>
      <c r="K150" s="114" t="s">
        <v>1145</v>
      </c>
      <c r="L150" s="116"/>
      <c r="M150" s="114" t="s">
        <v>1146</v>
      </c>
      <c r="N150" s="115"/>
      <c r="O150" s="116"/>
      <c r="P150" s="183">
        <v>5</v>
      </c>
      <c r="Q150" s="185"/>
      <c r="R150" s="183">
        <v>22</v>
      </c>
      <c r="S150" s="185"/>
      <c r="T150" s="183">
        <v>8</v>
      </c>
      <c r="U150" s="185"/>
      <c r="V150" s="114" t="s">
        <v>1147</v>
      </c>
      <c r="W150" s="116"/>
      <c r="X150" s="227">
        <v>158</v>
      </c>
      <c r="Y150" s="228"/>
      <c r="Z150" s="229"/>
      <c r="AA150" s="110" t="s">
        <v>688</v>
      </c>
      <c r="AB150" s="111"/>
      <c r="AC150" s="239" t="s">
        <v>678</v>
      </c>
      <c r="AD150" s="399"/>
      <c r="AE150" s="30"/>
      <c r="AF150" s="162"/>
      <c r="AG150" s="170"/>
      <c r="AH150" s="163"/>
      <c r="AI150" s="31"/>
      <c r="AJ150" s="179"/>
      <c r="AK150" s="15"/>
      <c r="AL150" s="15"/>
    </row>
    <row r="151" spans="1:38" ht="90" x14ac:dyDescent="0.3">
      <c r="A151" s="179"/>
      <c r="B151" s="292"/>
      <c r="C151" s="314"/>
      <c r="D151" s="293"/>
      <c r="E151" s="19" t="s">
        <v>1148</v>
      </c>
      <c r="F151" s="272"/>
      <c r="G151" s="282"/>
      <c r="H151" s="273"/>
      <c r="I151" s="389"/>
      <c r="J151" s="390"/>
      <c r="K151" s="351" t="s">
        <v>1145</v>
      </c>
      <c r="L151" s="352"/>
      <c r="M151" s="351" t="s">
        <v>1149</v>
      </c>
      <c r="N151" s="444"/>
      <c r="O151" s="352"/>
      <c r="P151" s="349">
        <v>5</v>
      </c>
      <c r="Q151" s="350"/>
      <c r="R151" s="349">
        <v>22</v>
      </c>
      <c r="S151" s="350"/>
      <c r="T151" s="349">
        <v>8</v>
      </c>
      <c r="U151" s="350"/>
      <c r="V151" s="351" t="s">
        <v>1150</v>
      </c>
      <c r="W151" s="352"/>
      <c r="X151" s="334">
        <v>158</v>
      </c>
      <c r="Y151" s="335"/>
      <c r="Z151" s="336"/>
      <c r="AA151" s="337" t="s">
        <v>768</v>
      </c>
      <c r="AB151" s="338"/>
      <c r="AC151" s="239" t="s">
        <v>1130</v>
      </c>
      <c r="AD151" s="399"/>
      <c r="AE151" s="30"/>
      <c r="AF151" s="162"/>
      <c r="AG151" s="170"/>
      <c r="AH151" s="163"/>
      <c r="AI151" s="31"/>
      <c r="AJ151" s="179"/>
      <c r="AK151" s="15"/>
      <c r="AL151" s="15"/>
    </row>
    <row r="152" spans="1:38" ht="105" x14ac:dyDescent="0.3">
      <c r="A152" s="230"/>
      <c r="B152" s="290"/>
      <c r="C152" s="345"/>
      <c r="D152" s="291"/>
      <c r="E152" s="28" t="s">
        <v>1151</v>
      </c>
      <c r="F152" s="194"/>
      <c r="G152" s="197"/>
      <c r="H152" s="195"/>
      <c r="I152" s="380" t="s">
        <v>1152</v>
      </c>
      <c r="J152" s="381"/>
      <c r="K152" s="114" t="s">
        <v>1145</v>
      </c>
      <c r="L152" s="116"/>
      <c r="M152" s="180" t="s">
        <v>1153</v>
      </c>
      <c r="N152" s="450"/>
      <c r="O152" s="181"/>
      <c r="P152" s="183">
        <v>5</v>
      </c>
      <c r="Q152" s="185"/>
      <c r="R152" s="183">
        <v>19</v>
      </c>
      <c r="S152" s="185"/>
      <c r="T152" s="183">
        <v>8</v>
      </c>
      <c r="U152" s="185"/>
      <c r="V152" s="114" t="s">
        <v>1154</v>
      </c>
      <c r="W152" s="116"/>
      <c r="X152" s="227">
        <v>158</v>
      </c>
      <c r="Y152" s="228"/>
      <c r="Z152" s="229"/>
      <c r="AA152" s="110" t="s">
        <v>717</v>
      </c>
      <c r="AB152" s="111"/>
      <c r="AC152" s="225"/>
      <c r="AD152" s="391"/>
      <c r="AE152" s="30"/>
      <c r="AF152" s="212"/>
      <c r="AG152" s="408"/>
      <c r="AH152" s="213"/>
      <c r="AI152" s="31"/>
      <c r="AJ152" s="230"/>
      <c r="AK152" s="15"/>
      <c r="AL152" s="15"/>
    </row>
    <row r="153" spans="1:38" ht="90" x14ac:dyDescent="0.3">
      <c r="A153" s="178"/>
      <c r="B153" s="303" t="s">
        <v>1155</v>
      </c>
      <c r="C153" s="344"/>
      <c r="D153" s="304"/>
      <c r="E153" s="28" t="s">
        <v>1156</v>
      </c>
      <c r="F153" s="124" t="s">
        <v>1157</v>
      </c>
      <c r="G153" s="182"/>
      <c r="H153" s="125"/>
      <c r="I153" s="460"/>
      <c r="J153" s="461"/>
      <c r="K153" s="460"/>
      <c r="L153" s="461"/>
      <c r="M153" s="183">
        <v>180</v>
      </c>
      <c r="N153" s="184"/>
      <c r="O153" s="185"/>
      <c r="P153" s="460"/>
      <c r="Q153" s="461"/>
      <c r="R153" s="183">
        <v>40</v>
      </c>
      <c r="S153" s="185"/>
      <c r="T153" s="460"/>
      <c r="U153" s="461"/>
      <c r="V153" s="114" t="s">
        <v>1158</v>
      </c>
      <c r="W153" s="116"/>
      <c r="X153" s="227">
        <v>298</v>
      </c>
      <c r="Y153" s="228"/>
      <c r="Z153" s="229"/>
      <c r="AA153" s="110" t="s">
        <v>1159</v>
      </c>
      <c r="AB153" s="111"/>
      <c r="AC153" s="223" t="s">
        <v>675</v>
      </c>
      <c r="AD153" s="398"/>
      <c r="AE153" s="23" t="s">
        <v>1162</v>
      </c>
      <c r="AF153" s="233" t="s">
        <v>683</v>
      </c>
      <c r="AG153" s="305"/>
      <c r="AH153" s="234"/>
      <c r="AI153" s="178"/>
      <c r="AJ153" s="715" t="s">
        <v>684</v>
      </c>
      <c r="AK153" s="15"/>
      <c r="AL153" s="15"/>
    </row>
    <row r="154" spans="1:38" ht="120" x14ac:dyDescent="0.3">
      <c r="A154" s="179"/>
      <c r="B154" s="292"/>
      <c r="C154" s="314"/>
      <c r="D154" s="293"/>
      <c r="E154" s="28" t="s">
        <v>1164</v>
      </c>
      <c r="F154" s="124" t="s">
        <v>1165</v>
      </c>
      <c r="G154" s="182"/>
      <c r="H154" s="125"/>
      <c r="I154" s="460"/>
      <c r="J154" s="461"/>
      <c r="K154" s="460"/>
      <c r="L154" s="461"/>
      <c r="M154" s="183">
        <v>210</v>
      </c>
      <c r="N154" s="184"/>
      <c r="O154" s="185"/>
      <c r="P154" s="460"/>
      <c r="Q154" s="461"/>
      <c r="R154" s="183">
        <v>52</v>
      </c>
      <c r="S154" s="185"/>
      <c r="T154" s="460"/>
      <c r="U154" s="461"/>
      <c r="V154" s="114" t="s">
        <v>1166</v>
      </c>
      <c r="W154" s="116"/>
      <c r="X154" s="227">
        <v>338</v>
      </c>
      <c r="Y154" s="228"/>
      <c r="Z154" s="229"/>
      <c r="AA154" s="110" t="s">
        <v>1045</v>
      </c>
      <c r="AB154" s="111"/>
      <c r="AC154" s="239" t="s">
        <v>1160</v>
      </c>
      <c r="AD154" s="399"/>
      <c r="AE154" s="30" t="s">
        <v>1163</v>
      </c>
      <c r="AF154" s="235"/>
      <c r="AG154" s="270"/>
      <c r="AH154" s="236"/>
      <c r="AI154" s="179"/>
      <c r="AJ154" s="716"/>
      <c r="AK154" s="15"/>
      <c r="AL154" s="15"/>
    </row>
    <row r="155" spans="1:38" ht="60" x14ac:dyDescent="0.3">
      <c r="A155" s="179"/>
      <c r="B155" s="292"/>
      <c r="C155" s="314"/>
      <c r="D155" s="293"/>
      <c r="E155" s="28" t="s">
        <v>1167</v>
      </c>
      <c r="F155" s="124" t="s">
        <v>1168</v>
      </c>
      <c r="G155" s="182"/>
      <c r="H155" s="125"/>
      <c r="I155" s="460"/>
      <c r="J155" s="461"/>
      <c r="K155" s="460"/>
      <c r="L155" s="461"/>
      <c r="M155" s="183">
        <v>240</v>
      </c>
      <c r="N155" s="184"/>
      <c r="O155" s="185"/>
      <c r="P155" s="460"/>
      <c r="Q155" s="461"/>
      <c r="R155" s="183">
        <v>63</v>
      </c>
      <c r="S155" s="185"/>
      <c r="T155" s="460"/>
      <c r="U155" s="461"/>
      <c r="V155" s="114" t="s">
        <v>1169</v>
      </c>
      <c r="W155" s="116"/>
      <c r="X155" s="227">
        <v>388</v>
      </c>
      <c r="Y155" s="228"/>
      <c r="Z155" s="229"/>
      <c r="AA155" s="110" t="s">
        <v>975</v>
      </c>
      <c r="AB155" s="111"/>
      <c r="AC155" s="239" t="s">
        <v>677</v>
      </c>
      <c r="AD155" s="399"/>
      <c r="AE155" s="30"/>
      <c r="AF155" s="235"/>
      <c r="AG155" s="270"/>
      <c r="AH155" s="236"/>
      <c r="AI155" s="179"/>
      <c r="AJ155" s="716"/>
      <c r="AK155" s="15"/>
      <c r="AL155" s="15"/>
    </row>
    <row r="156" spans="1:38" ht="90" x14ac:dyDescent="0.3">
      <c r="A156" s="179"/>
      <c r="B156" s="292"/>
      <c r="C156" s="314"/>
      <c r="D156" s="293"/>
      <c r="E156" s="19" t="s">
        <v>1170</v>
      </c>
      <c r="F156" s="346" t="s">
        <v>1157</v>
      </c>
      <c r="G156" s="347"/>
      <c r="H156" s="348"/>
      <c r="I156" s="460"/>
      <c r="J156" s="461"/>
      <c r="K156" s="460"/>
      <c r="L156" s="461"/>
      <c r="M156" s="349">
        <v>300</v>
      </c>
      <c r="N156" s="423"/>
      <c r="O156" s="350"/>
      <c r="P156" s="460"/>
      <c r="Q156" s="461"/>
      <c r="R156" s="349">
        <v>40</v>
      </c>
      <c r="S156" s="350"/>
      <c r="T156" s="460"/>
      <c r="U156" s="461"/>
      <c r="V156" s="351" t="s">
        <v>1171</v>
      </c>
      <c r="W156" s="352"/>
      <c r="X156" s="334">
        <v>438</v>
      </c>
      <c r="Y156" s="335"/>
      <c r="Z156" s="336"/>
      <c r="AA156" s="337" t="s">
        <v>1127</v>
      </c>
      <c r="AB156" s="338"/>
      <c r="AC156" s="239" t="s">
        <v>678</v>
      </c>
      <c r="AD156" s="399"/>
      <c r="AE156" s="30"/>
      <c r="AF156" s="235"/>
      <c r="AG156" s="270"/>
      <c r="AH156" s="236"/>
      <c r="AI156" s="179"/>
      <c r="AJ156" s="716"/>
      <c r="AK156" s="15"/>
      <c r="AL156" s="15"/>
    </row>
    <row r="157" spans="1:38" ht="90" x14ac:dyDescent="0.3">
      <c r="A157" s="179"/>
      <c r="B157" s="292"/>
      <c r="C157" s="314"/>
      <c r="D157" s="293"/>
      <c r="E157" s="28" t="s">
        <v>1172</v>
      </c>
      <c r="F157" s="124" t="s">
        <v>1165</v>
      </c>
      <c r="G157" s="182"/>
      <c r="H157" s="125"/>
      <c r="I157" s="460"/>
      <c r="J157" s="461"/>
      <c r="K157" s="460"/>
      <c r="L157" s="461"/>
      <c r="M157" s="183">
        <v>350</v>
      </c>
      <c r="N157" s="184"/>
      <c r="O157" s="185"/>
      <c r="P157" s="460"/>
      <c r="Q157" s="461"/>
      <c r="R157" s="183">
        <v>52</v>
      </c>
      <c r="S157" s="185"/>
      <c r="T157" s="460"/>
      <c r="U157" s="461"/>
      <c r="V157" s="114" t="s">
        <v>1173</v>
      </c>
      <c r="W157" s="116"/>
      <c r="X157" s="227">
        <v>498</v>
      </c>
      <c r="Y157" s="228"/>
      <c r="Z157" s="229"/>
      <c r="AA157" s="110" t="s">
        <v>1174</v>
      </c>
      <c r="AB157" s="111"/>
      <c r="AC157" s="239" t="s">
        <v>1161</v>
      </c>
      <c r="AD157" s="399"/>
      <c r="AE157" s="30"/>
      <c r="AF157" s="235"/>
      <c r="AG157" s="270"/>
      <c r="AH157" s="236"/>
      <c r="AI157" s="179"/>
      <c r="AJ157" s="716"/>
      <c r="AK157" s="15"/>
      <c r="AL157" s="15"/>
    </row>
    <row r="158" spans="1:38" ht="90" x14ac:dyDescent="0.3">
      <c r="A158" s="230"/>
      <c r="B158" s="290"/>
      <c r="C158" s="345"/>
      <c r="D158" s="291"/>
      <c r="E158" s="28" t="s">
        <v>1175</v>
      </c>
      <c r="F158" s="124" t="s">
        <v>1168</v>
      </c>
      <c r="G158" s="182"/>
      <c r="H158" s="125"/>
      <c r="I158" s="460"/>
      <c r="J158" s="461"/>
      <c r="K158" s="460"/>
      <c r="L158" s="461"/>
      <c r="M158" s="183">
        <v>400</v>
      </c>
      <c r="N158" s="184"/>
      <c r="O158" s="185"/>
      <c r="P158" s="460"/>
      <c r="Q158" s="461"/>
      <c r="R158" s="183">
        <v>63</v>
      </c>
      <c r="S158" s="185"/>
      <c r="T158" s="460"/>
      <c r="U158" s="461"/>
      <c r="V158" s="114" t="s">
        <v>1176</v>
      </c>
      <c r="W158" s="116"/>
      <c r="X158" s="227">
        <v>538</v>
      </c>
      <c r="Y158" s="228"/>
      <c r="Z158" s="229"/>
      <c r="AA158" s="110" t="s">
        <v>1124</v>
      </c>
      <c r="AB158" s="111"/>
      <c r="AC158" s="225"/>
      <c r="AD158" s="391"/>
      <c r="AE158" s="30"/>
      <c r="AF158" s="237"/>
      <c r="AG158" s="306"/>
      <c r="AH158" s="238"/>
      <c r="AI158" s="179"/>
      <c r="AJ158" s="723"/>
      <c r="AK158" s="15"/>
      <c r="AL158" s="15"/>
    </row>
    <row r="159" spans="1:38" ht="90" x14ac:dyDescent="0.3">
      <c r="A159" s="178"/>
      <c r="B159" s="303" t="s">
        <v>1177</v>
      </c>
      <c r="C159" s="344"/>
      <c r="D159" s="304"/>
      <c r="E159" s="66" t="s">
        <v>1178</v>
      </c>
      <c r="F159" s="233" t="s">
        <v>1179</v>
      </c>
      <c r="G159" s="305"/>
      <c r="H159" s="234"/>
      <c r="I159" s="233" t="s">
        <v>1124</v>
      </c>
      <c r="J159" s="234"/>
      <c r="K159" s="303" t="s">
        <v>1180</v>
      </c>
      <c r="L159" s="304"/>
      <c r="M159" s="328">
        <v>180</v>
      </c>
      <c r="N159" s="600"/>
      <c r="O159" s="329"/>
      <c r="P159" s="164"/>
      <c r="Q159" s="166"/>
      <c r="R159" s="328">
        <v>19</v>
      </c>
      <c r="S159" s="329"/>
      <c r="T159" s="164"/>
      <c r="U159" s="166"/>
      <c r="V159" s="328">
        <v>199</v>
      </c>
      <c r="W159" s="329"/>
      <c r="X159" s="294">
        <v>248</v>
      </c>
      <c r="Y159" s="295"/>
      <c r="Z159" s="296"/>
      <c r="AA159" s="233" t="s">
        <v>1181</v>
      </c>
      <c r="AB159" s="234"/>
      <c r="AC159" s="223" t="s">
        <v>675</v>
      </c>
      <c r="AD159" s="398"/>
      <c r="AE159" s="23" t="s">
        <v>1184</v>
      </c>
      <c r="AF159" s="233" t="s">
        <v>683</v>
      </c>
      <c r="AG159" s="305"/>
      <c r="AH159" s="234"/>
      <c r="AI159" s="179"/>
      <c r="AJ159" s="715" t="s">
        <v>809</v>
      </c>
      <c r="AK159" s="15"/>
      <c r="AL159" s="15"/>
    </row>
    <row r="160" spans="1:38" ht="45" x14ac:dyDescent="0.3">
      <c r="A160" s="179"/>
      <c r="B160" s="292"/>
      <c r="C160" s="314"/>
      <c r="D160" s="293"/>
      <c r="E160" s="74"/>
      <c r="F160" s="235"/>
      <c r="G160" s="270"/>
      <c r="H160" s="236"/>
      <c r="I160" s="235"/>
      <c r="J160" s="236"/>
      <c r="K160" s="292"/>
      <c r="L160" s="293"/>
      <c r="M160" s="517"/>
      <c r="N160" s="610"/>
      <c r="O160" s="518"/>
      <c r="P160" s="167"/>
      <c r="Q160" s="169"/>
      <c r="R160" s="517"/>
      <c r="S160" s="518"/>
      <c r="T160" s="167"/>
      <c r="U160" s="169"/>
      <c r="V160" s="517"/>
      <c r="W160" s="518"/>
      <c r="X160" s="297"/>
      <c r="Y160" s="298"/>
      <c r="Z160" s="299"/>
      <c r="AA160" s="235"/>
      <c r="AB160" s="236"/>
      <c r="AC160" s="239" t="s">
        <v>1182</v>
      </c>
      <c r="AD160" s="399"/>
      <c r="AE160" s="30" t="s">
        <v>681</v>
      </c>
      <c r="AF160" s="235"/>
      <c r="AG160" s="270"/>
      <c r="AH160" s="236"/>
      <c r="AI160" s="179"/>
      <c r="AJ160" s="716"/>
      <c r="AK160" s="15"/>
      <c r="AL160" s="15"/>
    </row>
    <row r="161" spans="1:38" ht="75" x14ac:dyDescent="0.3">
      <c r="A161" s="179"/>
      <c r="B161" s="292"/>
      <c r="C161" s="314"/>
      <c r="D161" s="293"/>
      <c r="E161" s="67"/>
      <c r="F161" s="235"/>
      <c r="G161" s="270"/>
      <c r="H161" s="236"/>
      <c r="I161" s="235"/>
      <c r="J161" s="236"/>
      <c r="K161" s="292"/>
      <c r="L161" s="293"/>
      <c r="M161" s="517"/>
      <c r="N161" s="610"/>
      <c r="O161" s="518"/>
      <c r="P161" s="167"/>
      <c r="Q161" s="169"/>
      <c r="R161" s="517"/>
      <c r="S161" s="518"/>
      <c r="T161" s="167"/>
      <c r="U161" s="169"/>
      <c r="V161" s="517"/>
      <c r="W161" s="518"/>
      <c r="X161" s="297"/>
      <c r="Y161" s="298"/>
      <c r="Z161" s="299"/>
      <c r="AA161" s="235"/>
      <c r="AB161" s="236"/>
      <c r="AC161" s="239" t="s">
        <v>677</v>
      </c>
      <c r="AD161" s="399"/>
      <c r="AE161" s="30" t="s">
        <v>1185</v>
      </c>
      <c r="AF161" s="235"/>
      <c r="AG161" s="270"/>
      <c r="AH161" s="236"/>
      <c r="AI161" s="179"/>
      <c r="AJ161" s="716"/>
      <c r="AK161" s="15"/>
      <c r="AL161" s="15"/>
    </row>
    <row r="162" spans="1:38" ht="45" x14ac:dyDescent="0.3">
      <c r="A162" s="179"/>
      <c r="B162" s="292"/>
      <c r="C162" s="314"/>
      <c r="D162" s="293"/>
      <c r="E162" s="19" t="s">
        <v>1186</v>
      </c>
      <c r="F162" s="235"/>
      <c r="G162" s="270"/>
      <c r="H162" s="236"/>
      <c r="I162" s="235"/>
      <c r="J162" s="236"/>
      <c r="K162" s="292"/>
      <c r="L162" s="293"/>
      <c r="M162" s="517"/>
      <c r="N162" s="610"/>
      <c r="O162" s="518"/>
      <c r="P162" s="167"/>
      <c r="Q162" s="169"/>
      <c r="R162" s="517"/>
      <c r="S162" s="518"/>
      <c r="T162" s="167"/>
      <c r="U162" s="169"/>
      <c r="V162" s="517"/>
      <c r="W162" s="518"/>
      <c r="X162" s="297"/>
      <c r="Y162" s="298"/>
      <c r="Z162" s="299"/>
      <c r="AA162" s="235"/>
      <c r="AB162" s="236"/>
      <c r="AC162" s="239" t="s">
        <v>678</v>
      </c>
      <c r="AD162" s="399"/>
      <c r="AE162" s="30"/>
      <c r="AF162" s="235"/>
      <c r="AG162" s="270"/>
      <c r="AH162" s="236"/>
      <c r="AI162" s="179"/>
      <c r="AJ162" s="716"/>
      <c r="AK162" s="15"/>
      <c r="AL162" s="15"/>
    </row>
    <row r="163" spans="1:38" ht="45" x14ac:dyDescent="0.3">
      <c r="A163" s="230"/>
      <c r="B163" s="290"/>
      <c r="C163" s="345"/>
      <c r="D163" s="291"/>
      <c r="E163" s="19" t="s">
        <v>1187</v>
      </c>
      <c r="F163" s="237"/>
      <c r="G163" s="306"/>
      <c r="H163" s="238"/>
      <c r="I163" s="237"/>
      <c r="J163" s="238"/>
      <c r="K163" s="290"/>
      <c r="L163" s="291"/>
      <c r="M163" s="519"/>
      <c r="N163" s="601"/>
      <c r="O163" s="520"/>
      <c r="P163" s="214"/>
      <c r="Q163" s="216"/>
      <c r="R163" s="519"/>
      <c r="S163" s="520"/>
      <c r="T163" s="214"/>
      <c r="U163" s="216"/>
      <c r="V163" s="519"/>
      <c r="W163" s="520"/>
      <c r="X163" s="300"/>
      <c r="Y163" s="301"/>
      <c r="Z163" s="302"/>
      <c r="AA163" s="237"/>
      <c r="AB163" s="238"/>
      <c r="AC163" s="225" t="s">
        <v>1183</v>
      </c>
      <c r="AD163" s="391"/>
      <c r="AE163" s="30"/>
      <c r="AF163" s="237"/>
      <c r="AG163" s="306"/>
      <c r="AH163" s="238"/>
      <c r="AI163" s="230"/>
      <c r="AJ163" s="723"/>
      <c r="AK163" s="15"/>
      <c r="AL163" s="15"/>
    </row>
    <row r="164" spans="1:38" ht="75" x14ac:dyDescent="0.3">
      <c r="A164" s="178"/>
      <c r="B164" s="233" t="s">
        <v>1188</v>
      </c>
      <c r="C164" s="305"/>
      <c r="D164" s="234"/>
      <c r="E164" s="66" t="s">
        <v>1189</v>
      </c>
      <c r="F164" s="233" t="s">
        <v>1190</v>
      </c>
      <c r="G164" s="305"/>
      <c r="H164" s="234"/>
      <c r="I164" s="233" t="s">
        <v>1174</v>
      </c>
      <c r="J164" s="234"/>
      <c r="K164" s="233" t="s">
        <v>1191</v>
      </c>
      <c r="L164" s="234"/>
      <c r="M164" s="303" t="s">
        <v>1192</v>
      </c>
      <c r="N164" s="344"/>
      <c r="O164" s="304"/>
      <c r="P164" s="328">
        <v>5</v>
      </c>
      <c r="Q164" s="329"/>
      <c r="R164" s="328">
        <v>15</v>
      </c>
      <c r="S164" s="329"/>
      <c r="T164" s="328">
        <v>10</v>
      </c>
      <c r="U164" s="329"/>
      <c r="V164" s="303" t="s">
        <v>1193</v>
      </c>
      <c r="W164" s="304"/>
      <c r="X164" s="294">
        <v>118</v>
      </c>
      <c r="Y164" s="295"/>
      <c r="Z164" s="296"/>
      <c r="AA164" s="233" t="s">
        <v>879</v>
      </c>
      <c r="AB164" s="234"/>
      <c r="AC164" s="223" t="s">
        <v>675</v>
      </c>
      <c r="AD164" s="398"/>
      <c r="AE164" s="23" t="s">
        <v>1196</v>
      </c>
      <c r="AF164" s="171" t="s">
        <v>734</v>
      </c>
      <c r="AG164" s="407"/>
      <c r="AH164" s="172"/>
      <c r="AI164" s="24" t="s">
        <v>1199</v>
      </c>
      <c r="AJ164" s="178"/>
      <c r="AK164" s="15"/>
      <c r="AL164" s="15"/>
    </row>
    <row r="165" spans="1:38" ht="120" x14ac:dyDescent="0.3">
      <c r="A165" s="179"/>
      <c r="B165" s="235"/>
      <c r="C165" s="270"/>
      <c r="D165" s="236"/>
      <c r="E165" s="74"/>
      <c r="F165" s="235"/>
      <c r="G165" s="270"/>
      <c r="H165" s="236"/>
      <c r="I165" s="235"/>
      <c r="J165" s="236"/>
      <c r="K165" s="235"/>
      <c r="L165" s="236"/>
      <c r="M165" s="292"/>
      <c r="N165" s="314"/>
      <c r="O165" s="293"/>
      <c r="P165" s="517"/>
      <c r="Q165" s="518"/>
      <c r="R165" s="517"/>
      <c r="S165" s="518"/>
      <c r="T165" s="517"/>
      <c r="U165" s="518"/>
      <c r="V165" s="292"/>
      <c r="W165" s="293"/>
      <c r="X165" s="297"/>
      <c r="Y165" s="298"/>
      <c r="Z165" s="299"/>
      <c r="AA165" s="235"/>
      <c r="AB165" s="236"/>
      <c r="AC165" s="239" t="s">
        <v>1194</v>
      </c>
      <c r="AD165" s="399"/>
      <c r="AE165" s="30" t="s">
        <v>1197</v>
      </c>
      <c r="AF165" s="162" t="s">
        <v>1198</v>
      </c>
      <c r="AG165" s="170"/>
      <c r="AH165" s="163"/>
      <c r="AI165" s="31" t="s">
        <v>1200</v>
      </c>
      <c r="AJ165" s="179"/>
      <c r="AK165" s="15"/>
      <c r="AL165" s="15"/>
    </row>
    <row r="166" spans="1:38" ht="15.5" x14ac:dyDescent="0.3">
      <c r="A166" s="179"/>
      <c r="B166" s="235"/>
      <c r="C166" s="270"/>
      <c r="D166" s="236"/>
      <c r="E166" s="74"/>
      <c r="F166" s="235"/>
      <c r="G166" s="270"/>
      <c r="H166" s="236"/>
      <c r="I166" s="235"/>
      <c r="J166" s="236"/>
      <c r="K166" s="235"/>
      <c r="L166" s="236"/>
      <c r="M166" s="292"/>
      <c r="N166" s="314"/>
      <c r="O166" s="293"/>
      <c r="P166" s="517"/>
      <c r="Q166" s="518"/>
      <c r="R166" s="517"/>
      <c r="S166" s="518"/>
      <c r="T166" s="517"/>
      <c r="U166" s="518"/>
      <c r="V166" s="292"/>
      <c r="W166" s="293"/>
      <c r="X166" s="297"/>
      <c r="Y166" s="298"/>
      <c r="Z166" s="299"/>
      <c r="AA166" s="235"/>
      <c r="AB166" s="236"/>
      <c r="AC166" s="239" t="s">
        <v>828</v>
      </c>
      <c r="AD166" s="399"/>
      <c r="AE166" s="30"/>
      <c r="AF166" s="162"/>
      <c r="AG166" s="170"/>
      <c r="AH166" s="163"/>
      <c r="AI166" s="31"/>
      <c r="AJ166" s="179"/>
      <c r="AK166" s="15"/>
      <c r="AL166" s="15"/>
    </row>
    <row r="167" spans="1:38" ht="15.5" x14ac:dyDescent="0.3">
      <c r="A167" s="179"/>
      <c r="B167" s="235"/>
      <c r="C167" s="270"/>
      <c r="D167" s="236"/>
      <c r="E167" s="74"/>
      <c r="F167" s="235"/>
      <c r="G167" s="270"/>
      <c r="H167" s="236"/>
      <c r="I167" s="235"/>
      <c r="J167" s="236"/>
      <c r="K167" s="235"/>
      <c r="L167" s="236"/>
      <c r="M167" s="292"/>
      <c r="N167" s="314"/>
      <c r="O167" s="293"/>
      <c r="P167" s="517"/>
      <c r="Q167" s="518"/>
      <c r="R167" s="517"/>
      <c r="S167" s="518"/>
      <c r="T167" s="517"/>
      <c r="U167" s="518"/>
      <c r="V167" s="292"/>
      <c r="W167" s="293"/>
      <c r="X167" s="297"/>
      <c r="Y167" s="298"/>
      <c r="Z167" s="299"/>
      <c r="AA167" s="235"/>
      <c r="AB167" s="236"/>
      <c r="AC167" s="239" t="s">
        <v>677</v>
      </c>
      <c r="AD167" s="399"/>
      <c r="AE167" s="30"/>
      <c r="AF167" s="162"/>
      <c r="AG167" s="170"/>
      <c r="AH167" s="163"/>
      <c r="AI167" s="31"/>
      <c r="AJ167" s="179"/>
      <c r="AK167" s="15"/>
      <c r="AL167" s="15"/>
    </row>
    <row r="168" spans="1:38" ht="15.5" x14ac:dyDescent="0.3">
      <c r="A168" s="179"/>
      <c r="B168" s="235"/>
      <c r="C168" s="270"/>
      <c r="D168" s="236"/>
      <c r="E168" s="67"/>
      <c r="F168" s="235"/>
      <c r="G168" s="270"/>
      <c r="H168" s="236"/>
      <c r="I168" s="235"/>
      <c r="J168" s="236"/>
      <c r="K168" s="235"/>
      <c r="L168" s="236"/>
      <c r="M168" s="292"/>
      <c r="N168" s="314"/>
      <c r="O168" s="293"/>
      <c r="P168" s="517"/>
      <c r="Q168" s="518"/>
      <c r="R168" s="517"/>
      <c r="S168" s="518"/>
      <c r="T168" s="517"/>
      <c r="U168" s="518"/>
      <c r="V168" s="292"/>
      <c r="W168" s="293"/>
      <c r="X168" s="297"/>
      <c r="Y168" s="298"/>
      <c r="Z168" s="299"/>
      <c r="AA168" s="235"/>
      <c r="AB168" s="236"/>
      <c r="AC168" s="239" t="s">
        <v>678</v>
      </c>
      <c r="AD168" s="399"/>
      <c r="AE168" s="30"/>
      <c r="AF168" s="162"/>
      <c r="AG168" s="170"/>
      <c r="AH168" s="163"/>
      <c r="AI168" s="31"/>
      <c r="AJ168" s="179"/>
      <c r="AK168" s="15"/>
      <c r="AL168" s="15"/>
    </row>
    <row r="169" spans="1:38" ht="45" x14ac:dyDescent="0.3">
      <c r="A169" s="230"/>
      <c r="B169" s="237"/>
      <c r="C169" s="306"/>
      <c r="D169" s="238"/>
      <c r="E169" s="19" t="s">
        <v>1201</v>
      </c>
      <c r="F169" s="237"/>
      <c r="G169" s="306"/>
      <c r="H169" s="238"/>
      <c r="I169" s="237"/>
      <c r="J169" s="238"/>
      <c r="K169" s="237"/>
      <c r="L169" s="238"/>
      <c r="M169" s="290"/>
      <c r="N169" s="345"/>
      <c r="O169" s="291"/>
      <c r="P169" s="519"/>
      <c r="Q169" s="520"/>
      <c r="R169" s="519"/>
      <c r="S169" s="520"/>
      <c r="T169" s="519"/>
      <c r="U169" s="520"/>
      <c r="V169" s="290"/>
      <c r="W169" s="291"/>
      <c r="X169" s="300"/>
      <c r="Y169" s="301"/>
      <c r="Z169" s="302"/>
      <c r="AA169" s="237"/>
      <c r="AB169" s="238"/>
      <c r="AC169" s="225" t="s">
        <v>1195</v>
      </c>
      <c r="AD169" s="391"/>
      <c r="AE169" s="30"/>
      <c r="AF169" s="212"/>
      <c r="AG169" s="408"/>
      <c r="AH169" s="213"/>
      <c r="AI169" s="31"/>
      <c r="AJ169" s="230"/>
      <c r="AK169" s="15"/>
      <c r="AL169" s="15"/>
    </row>
    <row r="170" spans="1:38" ht="90" x14ac:dyDescent="0.3">
      <c r="A170" s="178"/>
      <c r="B170" s="303" t="s">
        <v>1202</v>
      </c>
      <c r="C170" s="344"/>
      <c r="D170" s="304"/>
      <c r="E170" s="66" t="s">
        <v>1203</v>
      </c>
      <c r="F170" s="88" t="s">
        <v>1204</v>
      </c>
      <c r="G170" s="153"/>
      <c r="H170" s="89"/>
      <c r="I170" s="724" t="s">
        <v>1205</v>
      </c>
      <c r="J170" s="725"/>
      <c r="K170" s="164"/>
      <c r="L170" s="166"/>
      <c r="M170" s="730">
        <v>180</v>
      </c>
      <c r="N170" s="731"/>
      <c r="O170" s="732"/>
      <c r="P170" s="164"/>
      <c r="Q170" s="166"/>
      <c r="R170" s="387">
        <v>30</v>
      </c>
      <c r="S170" s="388"/>
      <c r="T170" s="164"/>
      <c r="U170" s="166"/>
      <c r="V170" s="171" t="s">
        <v>1206</v>
      </c>
      <c r="W170" s="172"/>
      <c r="X170" s="252">
        <v>350</v>
      </c>
      <c r="Y170" s="253"/>
      <c r="Z170" s="254"/>
      <c r="AA170" s="192" t="s">
        <v>688</v>
      </c>
      <c r="AB170" s="193"/>
      <c r="AC170" s="223" t="s">
        <v>675</v>
      </c>
      <c r="AD170" s="398"/>
      <c r="AE170" s="23" t="s">
        <v>1209</v>
      </c>
      <c r="AF170" s="233" t="s">
        <v>683</v>
      </c>
      <c r="AG170" s="305"/>
      <c r="AH170" s="234"/>
      <c r="AI170" s="178"/>
      <c r="AJ170" s="715" t="s">
        <v>809</v>
      </c>
      <c r="AK170" s="15"/>
      <c r="AL170" s="15"/>
    </row>
    <row r="171" spans="1:38" ht="45" x14ac:dyDescent="0.3">
      <c r="A171" s="179"/>
      <c r="B171" s="292"/>
      <c r="C171" s="314"/>
      <c r="D171" s="293"/>
      <c r="E171" s="74"/>
      <c r="F171" s="126"/>
      <c r="G171" s="203"/>
      <c r="H171" s="127"/>
      <c r="I171" s="726"/>
      <c r="J171" s="727"/>
      <c r="K171" s="167"/>
      <c r="L171" s="169"/>
      <c r="M171" s="733"/>
      <c r="N171" s="734"/>
      <c r="O171" s="735"/>
      <c r="P171" s="167"/>
      <c r="Q171" s="169"/>
      <c r="R171" s="506"/>
      <c r="S171" s="507"/>
      <c r="T171" s="167"/>
      <c r="U171" s="169"/>
      <c r="V171" s="162"/>
      <c r="W171" s="163"/>
      <c r="X171" s="311"/>
      <c r="Y171" s="312"/>
      <c r="Z171" s="313"/>
      <c r="AA171" s="272"/>
      <c r="AB171" s="273"/>
      <c r="AC171" s="239" t="s">
        <v>1207</v>
      </c>
      <c r="AD171" s="399"/>
      <c r="AE171" s="30" t="s">
        <v>681</v>
      </c>
      <c r="AF171" s="235"/>
      <c r="AG171" s="270"/>
      <c r="AH171" s="236"/>
      <c r="AI171" s="179"/>
      <c r="AJ171" s="716"/>
      <c r="AK171" s="15"/>
      <c r="AL171" s="15"/>
    </row>
    <row r="172" spans="1:38" ht="75" x14ac:dyDescent="0.3">
      <c r="A172" s="179"/>
      <c r="B172" s="292"/>
      <c r="C172" s="314"/>
      <c r="D172" s="293"/>
      <c r="E172" s="67"/>
      <c r="F172" s="117"/>
      <c r="G172" s="154"/>
      <c r="H172" s="118"/>
      <c r="I172" s="728"/>
      <c r="J172" s="729"/>
      <c r="K172" s="214"/>
      <c r="L172" s="216"/>
      <c r="M172" s="736"/>
      <c r="N172" s="737"/>
      <c r="O172" s="738"/>
      <c r="P172" s="214"/>
      <c r="Q172" s="216"/>
      <c r="R172" s="389"/>
      <c r="S172" s="390"/>
      <c r="T172" s="214"/>
      <c r="U172" s="216"/>
      <c r="V172" s="212"/>
      <c r="W172" s="213"/>
      <c r="X172" s="255"/>
      <c r="Y172" s="256"/>
      <c r="Z172" s="257"/>
      <c r="AA172" s="194"/>
      <c r="AB172" s="195"/>
      <c r="AC172" s="239" t="s">
        <v>677</v>
      </c>
      <c r="AD172" s="399"/>
      <c r="AE172" s="30" t="s">
        <v>1210</v>
      </c>
      <c r="AF172" s="235"/>
      <c r="AG172" s="270"/>
      <c r="AH172" s="236"/>
      <c r="AI172" s="179"/>
      <c r="AJ172" s="716"/>
      <c r="AK172" s="15"/>
      <c r="AL172" s="15"/>
    </row>
    <row r="173" spans="1:38" ht="45" x14ac:dyDescent="0.3">
      <c r="A173" s="179"/>
      <c r="B173" s="292"/>
      <c r="C173" s="314"/>
      <c r="D173" s="293"/>
      <c r="E173" s="19" t="s">
        <v>1211</v>
      </c>
      <c r="F173" s="114" t="s">
        <v>1212</v>
      </c>
      <c r="G173" s="115"/>
      <c r="H173" s="116"/>
      <c r="I173" s="430" t="s">
        <v>1213</v>
      </c>
      <c r="J173" s="431"/>
      <c r="K173" s="479"/>
      <c r="L173" s="481"/>
      <c r="M173" s="720">
        <v>200</v>
      </c>
      <c r="N173" s="721"/>
      <c r="O173" s="722"/>
      <c r="P173" s="479"/>
      <c r="Q173" s="481"/>
      <c r="R173" s="349">
        <v>35</v>
      </c>
      <c r="S173" s="350"/>
      <c r="T173" s="479"/>
      <c r="U173" s="481"/>
      <c r="V173" s="351" t="s">
        <v>1214</v>
      </c>
      <c r="W173" s="352"/>
      <c r="X173" s="334">
        <v>390</v>
      </c>
      <c r="Y173" s="335"/>
      <c r="Z173" s="336"/>
      <c r="AA173" s="337" t="s">
        <v>688</v>
      </c>
      <c r="AB173" s="338"/>
      <c r="AC173" s="239" t="s">
        <v>678</v>
      </c>
      <c r="AD173" s="399"/>
      <c r="AE173" s="30"/>
      <c r="AF173" s="235"/>
      <c r="AG173" s="270"/>
      <c r="AH173" s="236"/>
      <c r="AI173" s="179"/>
      <c r="AJ173" s="716"/>
      <c r="AK173" s="15"/>
      <c r="AL173" s="15"/>
    </row>
    <row r="174" spans="1:38" ht="45" x14ac:dyDescent="0.3">
      <c r="A174" s="230"/>
      <c r="B174" s="290"/>
      <c r="C174" s="345"/>
      <c r="D174" s="291"/>
      <c r="E174" s="19" t="s">
        <v>1215</v>
      </c>
      <c r="F174" s="114" t="s">
        <v>1216</v>
      </c>
      <c r="G174" s="115"/>
      <c r="H174" s="116"/>
      <c r="I174" s="430" t="s">
        <v>1217</v>
      </c>
      <c r="J174" s="431"/>
      <c r="K174" s="479"/>
      <c r="L174" s="481"/>
      <c r="M174" s="720">
        <v>220</v>
      </c>
      <c r="N174" s="721"/>
      <c r="O174" s="722"/>
      <c r="P174" s="479"/>
      <c r="Q174" s="481"/>
      <c r="R174" s="349">
        <v>40</v>
      </c>
      <c r="S174" s="350"/>
      <c r="T174" s="479"/>
      <c r="U174" s="481"/>
      <c r="V174" s="351" t="s">
        <v>1218</v>
      </c>
      <c r="W174" s="352"/>
      <c r="X174" s="334">
        <v>430</v>
      </c>
      <c r="Y174" s="335"/>
      <c r="Z174" s="336"/>
      <c r="AA174" s="337" t="s">
        <v>688</v>
      </c>
      <c r="AB174" s="338"/>
      <c r="AC174" s="225" t="s">
        <v>1208</v>
      </c>
      <c r="AD174" s="391"/>
      <c r="AE174" s="30"/>
      <c r="AF174" s="237"/>
      <c r="AG174" s="306"/>
      <c r="AH174" s="238"/>
      <c r="AI174" s="179"/>
      <c r="AJ174" s="723"/>
      <c r="AK174" s="15"/>
      <c r="AL174" s="15"/>
    </row>
    <row r="175" spans="1:38" ht="60" x14ac:dyDescent="0.25">
      <c r="A175" s="178"/>
      <c r="B175" s="164"/>
      <c r="C175" s="165"/>
      <c r="D175" s="166"/>
      <c r="E175" s="28" t="s">
        <v>1219</v>
      </c>
      <c r="F175" s="171" t="s">
        <v>1220</v>
      </c>
      <c r="G175" s="407"/>
      <c r="H175" s="172"/>
      <c r="I175" s="171" t="s">
        <v>1221</v>
      </c>
      <c r="J175" s="172"/>
      <c r="K175" s="164"/>
      <c r="L175" s="166"/>
      <c r="M175" s="328">
        <v>400</v>
      </c>
      <c r="N175" s="600"/>
      <c r="O175" s="329"/>
      <c r="P175" s="164"/>
      <c r="Q175" s="166"/>
      <c r="R175" s="328">
        <v>65</v>
      </c>
      <c r="S175" s="329"/>
      <c r="T175" s="164"/>
      <c r="U175" s="166"/>
      <c r="V175" s="328">
        <v>465</v>
      </c>
      <c r="W175" s="329"/>
      <c r="X175" s="294">
        <v>590</v>
      </c>
      <c r="Y175" s="295"/>
      <c r="Z175" s="296"/>
      <c r="AA175" s="233" t="s">
        <v>1222</v>
      </c>
      <c r="AB175" s="234"/>
      <c r="AC175" s="303" t="s">
        <v>675</v>
      </c>
      <c r="AD175" s="344"/>
      <c r="AE175" s="18" t="s">
        <v>1224</v>
      </c>
      <c r="AF175" s="164"/>
      <c r="AG175" s="165"/>
      <c r="AH175" s="166"/>
      <c r="AI175" s="179"/>
      <c r="AJ175" s="178"/>
      <c r="AK175" s="15"/>
      <c r="AL175" s="15"/>
    </row>
    <row r="176" spans="1:38" ht="60" x14ac:dyDescent="0.25">
      <c r="A176" s="179"/>
      <c r="B176" s="167"/>
      <c r="C176" s="168"/>
      <c r="D176" s="169"/>
      <c r="E176" s="28" t="s">
        <v>1226</v>
      </c>
      <c r="F176" s="162"/>
      <c r="G176" s="170"/>
      <c r="H176" s="163"/>
      <c r="I176" s="162"/>
      <c r="J176" s="163"/>
      <c r="K176" s="167"/>
      <c r="L176" s="169"/>
      <c r="M176" s="517"/>
      <c r="N176" s="610"/>
      <c r="O176" s="518"/>
      <c r="P176" s="167"/>
      <c r="Q176" s="169"/>
      <c r="R176" s="517"/>
      <c r="S176" s="518"/>
      <c r="T176" s="167"/>
      <c r="U176" s="169"/>
      <c r="V176" s="517"/>
      <c r="W176" s="518"/>
      <c r="X176" s="297"/>
      <c r="Y176" s="298"/>
      <c r="Z176" s="299"/>
      <c r="AA176" s="235"/>
      <c r="AB176" s="236"/>
      <c r="AC176" s="292" t="s">
        <v>1223</v>
      </c>
      <c r="AD176" s="314"/>
      <c r="AE176" s="27" t="s">
        <v>1225</v>
      </c>
      <c r="AF176" s="167"/>
      <c r="AG176" s="168"/>
      <c r="AH176" s="169"/>
      <c r="AI176" s="179"/>
      <c r="AJ176" s="179"/>
      <c r="AK176" s="15"/>
      <c r="AL176" s="15"/>
    </row>
    <row r="177" spans="1:38" ht="60" x14ac:dyDescent="0.25">
      <c r="A177" s="179"/>
      <c r="B177" s="167"/>
      <c r="C177" s="168"/>
      <c r="D177" s="169"/>
      <c r="E177" s="28" t="s">
        <v>1227</v>
      </c>
      <c r="F177" s="162"/>
      <c r="G177" s="170"/>
      <c r="H177" s="163"/>
      <c r="I177" s="162"/>
      <c r="J177" s="163"/>
      <c r="K177" s="167"/>
      <c r="L177" s="169"/>
      <c r="M177" s="517"/>
      <c r="N177" s="610"/>
      <c r="O177" s="518"/>
      <c r="P177" s="167"/>
      <c r="Q177" s="169"/>
      <c r="R177" s="517"/>
      <c r="S177" s="518"/>
      <c r="T177" s="167"/>
      <c r="U177" s="169"/>
      <c r="V177" s="517"/>
      <c r="W177" s="518"/>
      <c r="X177" s="297"/>
      <c r="Y177" s="298"/>
      <c r="Z177" s="299"/>
      <c r="AA177" s="235"/>
      <c r="AB177" s="236"/>
      <c r="AC177" s="292"/>
      <c r="AD177" s="314"/>
      <c r="AE177" s="27"/>
      <c r="AF177" s="167"/>
      <c r="AG177" s="168"/>
      <c r="AH177" s="169"/>
      <c r="AI177" s="179"/>
      <c r="AJ177" s="179"/>
      <c r="AK177" s="15"/>
      <c r="AL177" s="15"/>
    </row>
    <row r="178" spans="1:38" ht="60" x14ac:dyDescent="0.25">
      <c r="A178" s="179"/>
      <c r="B178" s="167"/>
      <c r="C178" s="168"/>
      <c r="D178" s="169"/>
      <c r="E178" s="28" t="s">
        <v>1228</v>
      </c>
      <c r="F178" s="162"/>
      <c r="G178" s="170"/>
      <c r="H178" s="163"/>
      <c r="I178" s="162"/>
      <c r="J178" s="163"/>
      <c r="K178" s="167"/>
      <c r="L178" s="169"/>
      <c r="M178" s="517"/>
      <c r="N178" s="610"/>
      <c r="O178" s="518"/>
      <c r="P178" s="167"/>
      <c r="Q178" s="169"/>
      <c r="R178" s="517"/>
      <c r="S178" s="518"/>
      <c r="T178" s="167"/>
      <c r="U178" s="169"/>
      <c r="V178" s="517"/>
      <c r="W178" s="518"/>
      <c r="X178" s="297"/>
      <c r="Y178" s="298"/>
      <c r="Z178" s="299"/>
      <c r="AA178" s="235"/>
      <c r="AB178" s="236"/>
      <c r="AC178" s="292"/>
      <c r="AD178" s="314"/>
      <c r="AE178" s="27"/>
      <c r="AF178" s="167"/>
      <c r="AG178" s="168"/>
      <c r="AH178" s="169"/>
      <c r="AI178" s="179"/>
      <c r="AJ178" s="179"/>
      <c r="AK178" s="15"/>
      <c r="AL178" s="15"/>
    </row>
    <row r="179" spans="1:38" ht="30" x14ac:dyDescent="0.35">
      <c r="A179" s="39"/>
      <c r="B179" s="39"/>
      <c r="C179" s="38" t="s">
        <v>1229</v>
      </c>
      <c r="D179" s="39"/>
      <c r="E179" s="39"/>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203" t="s">
        <v>677</v>
      </c>
      <c r="AD179" s="203"/>
      <c r="AE179" s="39"/>
      <c r="AF179" s="39"/>
      <c r="AG179" s="203" t="s">
        <v>1230</v>
      </c>
      <c r="AH179" s="203"/>
      <c r="AI179" s="203"/>
      <c r="AJ179" s="203"/>
      <c r="AK179" s="203"/>
      <c r="AL179" s="203"/>
    </row>
    <row r="180" spans="1:38" ht="60" x14ac:dyDescent="0.3">
      <c r="A180" s="179"/>
      <c r="B180" s="167"/>
      <c r="C180" s="168"/>
      <c r="D180" s="169"/>
      <c r="E180" s="28" t="s">
        <v>1231</v>
      </c>
      <c r="F180" s="171" t="s">
        <v>1232</v>
      </c>
      <c r="G180" s="407"/>
      <c r="H180" s="172"/>
      <c r="I180" s="171" t="s">
        <v>1234</v>
      </c>
      <c r="J180" s="172"/>
      <c r="K180" s="164"/>
      <c r="L180" s="166"/>
      <c r="M180" s="328">
        <v>450</v>
      </c>
      <c r="N180" s="600"/>
      <c r="O180" s="329"/>
      <c r="P180" s="164"/>
      <c r="Q180" s="166"/>
      <c r="R180" s="328">
        <v>75</v>
      </c>
      <c r="S180" s="329"/>
      <c r="T180" s="164"/>
      <c r="U180" s="166"/>
      <c r="V180" s="328">
        <v>525</v>
      </c>
      <c r="W180" s="329"/>
      <c r="X180" s="294">
        <v>670</v>
      </c>
      <c r="Y180" s="295"/>
      <c r="Z180" s="296"/>
      <c r="AA180" s="233" t="s">
        <v>975</v>
      </c>
      <c r="AB180" s="234"/>
      <c r="AC180" s="155" t="s">
        <v>678</v>
      </c>
      <c r="AD180" s="157"/>
      <c r="AE180" s="63" t="s">
        <v>1236</v>
      </c>
      <c r="AF180" s="167"/>
      <c r="AG180" s="168"/>
      <c r="AH180" s="169"/>
      <c r="AI180" s="179"/>
      <c r="AJ180" s="179"/>
      <c r="AK180" s="15"/>
      <c r="AL180" s="15"/>
    </row>
    <row r="181" spans="1:38" ht="60" x14ac:dyDescent="0.3">
      <c r="A181" s="179"/>
      <c r="B181" s="167"/>
      <c r="C181" s="168"/>
      <c r="D181" s="169"/>
      <c r="E181" s="28" t="s">
        <v>1237</v>
      </c>
      <c r="F181" s="162" t="s">
        <v>1233</v>
      </c>
      <c r="G181" s="170"/>
      <c r="H181" s="163"/>
      <c r="I181" s="162"/>
      <c r="J181" s="163"/>
      <c r="K181" s="167"/>
      <c r="L181" s="169"/>
      <c r="M181" s="517"/>
      <c r="N181" s="610"/>
      <c r="O181" s="518"/>
      <c r="P181" s="167"/>
      <c r="Q181" s="169"/>
      <c r="R181" s="517"/>
      <c r="S181" s="518"/>
      <c r="T181" s="167"/>
      <c r="U181" s="169"/>
      <c r="V181" s="517"/>
      <c r="W181" s="518"/>
      <c r="X181" s="297"/>
      <c r="Y181" s="298"/>
      <c r="Z181" s="299"/>
      <c r="AA181" s="235"/>
      <c r="AB181" s="236"/>
      <c r="AC181" s="155" t="s">
        <v>1235</v>
      </c>
      <c r="AD181" s="157"/>
      <c r="AE181" s="63"/>
      <c r="AF181" s="167"/>
      <c r="AG181" s="168"/>
      <c r="AH181" s="169"/>
      <c r="AI181" s="179"/>
      <c r="AJ181" s="179"/>
      <c r="AK181" s="15"/>
      <c r="AL181" s="15"/>
    </row>
    <row r="182" spans="1:38" ht="60" x14ac:dyDescent="0.3">
      <c r="A182" s="179"/>
      <c r="B182" s="167"/>
      <c r="C182" s="168"/>
      <c r="D182" s="169"/>
      <c r="E182" s="28" t="s">
        <v>1238</v>
      </c>
      <c r="F182" s="162"/>
      <c r="G182" s="170"/>
      <c r="H182" s="163"/>
      <c r="I182" s="162"/>
      <c r="J182" s="163"/>
      <c r="K182" s="167"/>
      <c r="L182" s="169"/>
      <c r="M182" s="517"/>
      <c r="N182" s="610"/>
      <c r="O182" s="518"/>
      <c r="P182" s="167"/>
      <c r="Q182" s="169"/>
      <c r="R182" s="517"/>
      <c r="S182" s="518"/>
      <c r="T182" s="167"/>
      <c r="U182" s="169"/>
      <c r="V182" s="517"/>
      <c r="W182" s="518"/>
      <c r="X182" s="297"/>
      <c r="Y182" s="298"/>
      <c r="Z182" s="299"/>
      <c r="AA182" s="235"/>
      <c r="AB182" s="236"/>
      <c r="AC182" s="155"/>
      <c r="AD182" s="157"/>
      <c r="AE182" s="63"/>
      <c r="AF182" s="167"/>
      <c r="AG182" s="168"/>
      <c r="AH182" s="169"/>
      <c r="AI182" s="179"/>
      <c r="AJ182" s="179"/>
      <c r="AK182" s="15"/>
      <c r="AL182" s="15"/>
    </row>
    <row r="183" spans="1:38" ht="60" x14ac:dyDescent="0.3">
      <c r="A183" s="230"/>
      <c r="B183" s="214"/>
      <c r="C183" s="215"/>
      <c r="D183" s="216"/>
      <c r="E183" s="28" t="s">
        <v>1239</v>
      </c>
      <c r="F183" s="212"/>
      <c r="G183" s="408"/>
      <c r="H183" s="213"/>
      <c r="I183" s="212"/>
      <c r="J183" s="213"/>
      <c r="K183" s="214"/>
      <c r="L183" s="216"/>
      <c r="M183" s="519"/>
      <c r="N183" s="601"/>
      <c r="O183" s="520"/>
      <c r="P183" s="214"/>
      <c r="Q183" s="216"/>
      <c r="R183" s="519"/>
      <c r="S183" s="520"/>
      <c r="T183" s="214"/>
      <c r="U183" s="216"/>
      <c r="V183" s="519"/>
      <c r="W183" s="520"/>
      <c r="X183" s="300"/>
      <c r="Y183" s="301"/>
      <c r="Z183" s="302"/>
      <c r="AA183" s="237"/>
      <c r="AB183" s="238"/>
      <c r="AC183" s="160"/>
      <c r="AD183" s="161"/>
      <c r="AE183" s="65"/>
      <c r="AF183" s="214"/>
      <c r="AG183" s="215"/>
      <c r="AH183" s="216"/>
      <c r="AI183" s="230"/>
      <c r="AJ183" s="230"/>
      <c r="AK183" s="15"/>
      <c r="AL183" s="15"/>
    </row>
    <row r="184" spans="1:38" ht="90" x14ac:dyDescent="0.3">
      <c r="A184" s="178"/>
      <c r="B184" s="303" t="s">
        <v>1240</v>
      </c>
      <c r="C184" s="344"/>
      <c r="D184" s="304"/>
      <c r="E184" s="66" t="s">
        <v>1241</v>
      </c>
      <c r="F184" s="233" t="s">
        <v>1242</v>
      </c>
      <c r="G184" s="305"/>
      <c r="H184" s="234"/>
      <c r="I184" s="409" t="s">
        <v>1243</v>
      </c>
      <c r="J184" s="411"/>
      <c r="K184" s="149"/>
      <c r="L184" s="150"/>
      <c r="M184" s="387">
        <v>32</v>
      </c>
      <c r="N184" s="495"/>
      <c r="O184" s="388"/>
      <c r="P184" s="387">
        <v>3</v>
      </c>
      <c r="Q184" s="388"/>
      <c r="R184" s="387">
        <v>8</v>
      </c>
      <c r="S184" s="388"/>
      <c r="T184" s="387">
        <v>5</v>
      </c>
      <c r="U184" s="388"/>
      <c r="V184" s="171" t="s">
        <v>1244</v>
      </c>
      <c r="W184" s="172"/>
      <c r="X184" s="252">
        <v>88</v>
      </c>
      <c r="Y184" s="253"/>
      <c r="Z184" s="254"/>
      <c r="AA184" s="192" t="s">
        <v>706</v>
      </c>
      <c r="AB184" s="193"/>
      <c r="AC184" s="223" t="s">
        <v>675</v>
      </c>
      <c r="AD184" s="224"/>
      <c r="AE184" s="24" t="s">
        <v>1247</v>
      </c>
      <c r="AF184" s="171" t="s">
        <v>1249</v>
      </c>
      <c r="AG184" s="407"/>
      <c r="AH184" s="172"/>
      <c r="AI184" s="24" t="s">
        <v>1250</v>
      </c>
      <c r="AJ184" s="164"/>
      <c r="AK184" s="15"/>
      <c r="AL184" s="15"/>
    </row>
    <row r="185" spans="1:38" ht="120" x14ac:dyDescent="0.3">
      <c r="A185" s="179"/>
      <c r="B185" s="292"/>
      <c r="C185" s="314"/>
      <c r="D185" s="293"/>
      <c r="E185" s="67"/>
      <c r="F185" s="235"/>
      <c r="G185" s="270"/>
      <c r="H185" s="236"/>
      <c r="I185" s="401"/>
      <c r="J185" s="403"/>
      <c r="K185" s="151"/>
      <c r="L185" s="152"/>
      <c r="M185" s="389"/>
      <c r="N185" s="496"/>
      <c r="O185" s="390"/>
      <c r="P185" s="389"/>
      <c r="Q185" s="390"/>
      <c r="R185" s="389"/>
      <c r="S185" s="390"/>
      <c r="T185" s="389"/>
      <c r="U185" s="390"/>
      <c r="V185" s="212"/>
      <c r="W185" s="213"/>
      <c r="X185" s="255"/>
      <c r="Y185" s="256"/>
      <c r="Z185" s="257"/>
      <c r="AA185" s="194"/>
      <c r="AB185" s="195"/>
      <c r="AC185" s="239" t="s">
        <v>1245</v>
      </c>
      <c r="AD185" s="240"/>
      <c r="AE185" s="31" t="s">
        <v>1248</v>
      </c>
      <c r="AF185" s="162"/>
      <c r="AG185" s="170"/>
      <c r="AH185" s="163"/>
      <c r="AI185" s="31" t="s">
        <v>1251</v>
      </c>
      <c r="AJ185" s="167"/>
      <c r="AK185" s="15"/>
      <c r="AL185" s="15"/>
    </row>
    <row r="186" spans="1:38" ht="75" x14ac:dyDescent="0.3">
      <c r="A186" s="179"/>
      <c r="B186" s="292"/>
      <c r="C186" s="314"/>
      <c r="D186" s="293"/>
      <c r="E186" s="19" t="s">
        <v>1252</v>
      </c>
      <c r="F186" s="235"/>
      <c r="G186" s="270"/>
      <c r="H186" s="236"/>
      <c r="I186" s="401"/>
      <c r="J186" s="403"/>
      <c r="K186" s="460"/>
      <c r="L186" s="461"/>
      <c r="M186" s="349">
        <v>32</v>
      </c>
      <c r="N186" s="423"/>
      <c r="O186" s="350"/>
      <c r="P186" s="349">
        <v>3</v>
      </c>
      <c r="Q186" s="350"/>
      <c r="R186" s="349">
        <v>8</v>
      </c>
      <c r="S186" s="350"/>
      <c r="T186" s="349">
        <v>5</v>
      </c>
      <c r="U186" s="350"/>
      <c r="V186" s="351" t="s">
        <v>1244</v>
      </c>
      <c r="W186" s="352"/>
      <c r="X186" s="334">
        <v>88</v>
      </c>
      <c r="Y186" s="335"/>
      <c r="Z186" s="336"/>
      <c r="AA186" s="337" t="s">
        <v>706</v>
      </c>
      <c r="AB186" s="338"/>
      <c r="AC186" s="239" t="s">
        <v>677</v>
      </c>
      <c r="AD186" s="240"/>
      <c r="AE186" s="31"/>
      <c r="AF186" s="162"/>
      <c r="AG186" s="170"/>
      <c r="AH186" s="163"/>
      <c r="AI186" s="31"/>
      <c r="AJ186" s="167"/>
      <c r="AK186" s="15"/>
      <c r="AL186" s="15"/>
    </row>
    <row r="187" spans="1:38" ht="75" x14ac:dyDescent="0.3">
      <c r="A187" s="179"/>
      <c r="B187" s="292"/>
      <c r="C187" s="314"/>
      <c r="D187" s="293"/>
      <c r="E187" s="19" t="s">
        <v>1253</v>
      </c>
      <c r="F187" s="235"/>
      <c r="G187" s="270"/>
      <c r="H187" s="236"/>
      <c r="I187" s="401"/>
      <c r="J187" s="403"/>
      <c r="K187" s="460"/>
      <c r="L187" s="461"/>
      <c r="M187" s="349">
        <v>32</v>
      </c>
      <c r="N187" s="423"/>
      <c r="O187" s="350"/>
      <c r="P187" s="349">
        <v>3</v>
      </c>
      <c r="Q187" s="350"/>
      <c r="R187" s="349">
        <v>8</v>
      </c>
      <c r="S187" s="350"/>
      <c r="T187" s="349">
        <v>5</v>
      </c>
      <c r="U187" s="350"/>
      <c r="V187" s="351" t="s">
        <v>1244</v>
      </c>
      <c r="W187" s="352"/>
      <c r="X187" s="334">
        <v>88</v>
      </c>
      <c r="Y187" s="335"/>
      <c r="Z187" s="336"/>
      <c r="AA187" s="337" t="s">
        <v>706</v>
      </c>
      <c r="AB187" s="338"/>
      <c r="AC187" s="239" t="s">
        <v>678</v>
      </c>
      <c r="AD187" s="240"/>
      <c r="AE187" s="31"/>
      <c r="AF187" s="162"/>
      <c r="AG187" s="170"/>
      <c r="AH187" s="163"/>
      <c r="AI187" s="31"/>
      <c r="AJ187" s="167"/>
      <c r="AK187" s="15"/>
      <c r="AL187" s="15"/>
    </row>
    <row r="188" spans="1:38" ht="75" x14ac:dyDescent="0.3">
      <c r="A188" s="230"/>
      <c r="B188" s="290"/>
      <c r="C188" s="345"/>
      <c r="D188" s="291"/>
      <c r="E188" s="19" t="s">
        <v>1254</v>
      </c>
      <c r="F188" s="237"/>
      <c r="G188" s="306"/>
      <c r="H188" s="238"/>
      <c r="I188" s="404"/>
      <c r="J188" s="406"/>
      <c r="K188" s="460"/>
      <c r="L188" s="461"/>
      <c r="M188" s="349">
        <v>32</v>
      </c>
      <c r="N188" s="423"/>
      <c r="O188" s="350"/>
      <c r="P188" s="349">
        <v>3</v>
      </c>
      <c r="Q188" s="350"/>
      <c r="R188" s="349">
        <v>8</v>
      </c>
      <c r="S188" s="350"/>
      <c r="T188" s="349">
        <v>5</v>
      </c>
      <c r="U188" s="350"/>
      <c r="V188" s="351" t="s">
        <v>1244</v>
      </c>
      <c r="W188" s="352"/>
      <c r="X188" s="334">
        <v>88</v>
      </c>
      <c r="Y188" s="335"/>
      <c r="Z188" s="336"/>
      <c r="AA188" s="337" t="s">
        <v>706</v>
      </c>
      <c r="AB188" s="338"/>
      <c r="AC188" s="225" t="s">
        <v>1246</v>
      </c>
      <c r="AD188" s="226"/>
      <c r="AE188" s="31"/>
      <c r="AF188" s="212"/>
      <c r="AG188" s="408"/>
      <c r="AH188" s="213"/>
      <c r="AI188" s="31"/>
      <c r="AJ188" s="167"/>
      <c r="AK188" s="15"/>
      <c r="AL188" s="15"/>
    </row>
    <row r="189" spans="1:38" ht="90" x14ac:dyDescent="0.3">
      <c r="A189" s="178"/>
      <c r="B189" s="303" t="s">
        <v>1255</v>
      </c>
      <c r="C189" s="344"/>
      <c r="D189" s="304"/>
      <c r="E189" s="19" t="s">
        <v>1256</v>
      </c>
      <c r="F189" s="171" t="s">
        <v>1257</v>
      </c>
      <c r="G189" s="407"/>
      <c r="H189" s="172"/>
      <c r="I189" s="171" t="s">
        <v>1258</v>
      </c>
      <c r="J189" s="172"/>
      <c r="K189" s="164"/>
      <c r="L189" s="166"/>
      <c r="M189" s="171" t="s">
        <v>1259</v>
      </c>
      <c r="N189" s="407"/>
      <c r="O189" s="172"/>
      <c r="P189" s="387">
        <v>6</v>
      </c>
      <c r="Q189" s="388"/>
      <c r="R189" s="387">
        <v>20</v>
      </c>
      <c r="S189" s="388"/>
      <c r="T189" s="387">
        <v>6</v>
      </c>
      <c r="U189" s="388"/>
      <c r="V189" s="171" t="s">
        <v>1260</v>
      </c>
      <c r="W189" s="172"/>
      <c r="X189" s="252">
        <v>128</v>
      </c>
      <c r="Y189" s="253"/>
      <c r="Z189" s="254"/>
      <c r="AA189" s="192" t="s">
        <v>1261</v>
      </c>
      <c r="AB189" s="193"/>
      <c r="AC189" s="223" t="s">
        <v>675</v>
      </c>
      <c r="AD189" s="224"/>
      <c r="AE189" s="24" t="s">
        <v>1264</v>
      </c>
      <c r="AF189" s="303" t="s">
        <v>1267</v>
      </c>
      <c r="AG189" s="344"/>
      <c r="AH189" s="304"/>
      <c r="AI189" s="24" t="s">
        <v>1268</v>
      </c>
      <c r="AJ189" s="167"/>
      <c r="AK189" s="15"/>
      <c r="AL189" s="15"/>
    </row>
    <row r="190" spans="1:38" ht="120" x14ac:dyDescent="0.3">
      <c r="A190" s="179"/>
      <c r="B190" s="292"/>
      <c r="C190" s="314"/>
      <c r="D190" s="293"/>
      <c r="E190" s="19" t="s">
        <v>1270</v>
      </c>
      <c r="F190" s="212"/>
      <c r="G190" s="408"/>
      <c r="H190" s="213"/>
      <c r="I190" s="212"/>
      <c r="J190" s="213"/>
      <c r="K190" s="214"/>
      <c r="L190" s="216"/>
      <c r="M190" s="212"/>
      <c r="N190" s="408"/>
      <c r="O190" s="213"/>
      <c r="P190" s="389"/>
      <c r="Q190" s="390"/>
      <c r="R190" s="389"/>
      <c r="S190" s="390"/>
      <c r="T190" s="389"/>
      <c r="U190" s="390"/>
      <c r="V190" s="212"/>
      <c r="W190" s="213"/>
      <c r="X190" s="255"/>
      <c r="Y190" s="256"/>
      <c r="Z190" s="257"/>
      <c r="AA190" s="194"/>
      <c r="AB190" s="195"/>
      <c r="AC190" s="239" t="s">
        <v>1262</v>
      </c>
      <c r="AD190" s="240"/>
      <c r="AE190" s="31" t="s">
        <v>1265</v>
      </c>
      <c r="AF190" s="292"/>
      <c r="AG190" s="314"/>
      <c r="AH190" s="293"/>
      <c r="AI190" s="31" t="s">
        <v>1269</v>
      </c>
      <c r="AJ190" s="167"/>
      <c r="AK190" s="15"/>
      <c r="AL190" s="15"/>
    </row>
    <row r="191" spans="1:38" ht="90" x14ac:dyDescent="0.3">
      <c r="A191" s="179"/>
      <c r="B191" s="292"/>
      <c r="C191" s="314"/>
      <c r="D191" s="293"/>
      <c r="E191" s="19" t="s">
        <v>1271</v>
      </c>
      <c r="F191" s="171" t="s">
        <v>1272</v>
      </c>
      <c r="G191" s="407"/>
      <c r="H191" s="172"/>
      <c r="I191" s="171" t="s">
        <v>1273</v>
      </c>
      <c r="J191" s="172"/>
      <c r="K191" s="164"/>
      <c r="L191" s="166"/>
      <c r="M191" s="387">
        <v>70</v>
      </c>
      <c r="N191" s="495"/>
      <c r="O191" s="388"/>
      <c r="P191" s="387">
        <v>7</v>
      </c>
      <c r="Q191" s="388"/>
      <c r="R191" s="387">
        <v>25</v>
      </c>
      <c r="S191" s="388"/>
      <c r="T191" s="387">
        <v>6</v>
      </c>
      <c r="U191" s="388"/>
      <c r="V191" s="387">
        <v>108</v>
      </c>
      <c r="W191" s="388"/>
      <c r="X191" s="252">
        <v>158</v>
      </c>
      <c r="Y191" s="253"/>
      <c r="Z191" s="254"/>
      <c r="AA191" s="192" t="s">
        <v>842</v>
      </c>
      <c r="AB191" s="193"/>
      <c r="AC191" s="239" t="s">
        <v>677</v>
      </c>
      <c r="AD191" s="240"/>
      <c r="AE191" s="31" t="s">
        <v>848</v>
      </c>
      <c r="AF191" s="292"/>
      <c r="AG191" s="314"/>
      <c r="AH191" s="293"/>
      <c r="AI191" s="31"/>
      <c r="AJ191" s="167"/>
      <c r="AK191" s="15"/>
      <c r="AL191" s="15"/>
    </row>
    <row r="192" spans="1:38" ht="120" x14ac:dyDescent="0.3">
      <c r="A192" s="179"/>
      <c r="B192" s="292"/>
      <c r="C192" s="314"/>
      <c r="D192" s="293"/>
      <c r="E192" s="19" t="s">
        <v>1274</v>
      </c>
      <c r="F192" s="212"/>
      <c r="G192" s="408"/>
      <c r="H192" s="213"/>
      <c r="I192" s="212"/>
      <c r="J192" s="213"/>
      <c r="K192" s="214"/>
      <c r="L192" s="216"/>
      <c r="M192" s="389"/>
      <c r="N192" s="496"/>
      <c r="O192" s="390"/>
      <c r="P192" s="389"/>
      <c r="Q192" s="390"/>
      <c r="R192" s="389"/>
      <c r="S192" s="390"/>
      <c r="T192" s="389"/>
      <c r="U192" s="390"/>
      <c r="V192" s="389"/>
      <c r="W192" s="390"/>
      <c r="X192" s="255"/>
      <c r="Y192" s="256"/>
      <c r="Z192" s="257"/>
      <c r="AA192" s="194"/>
      <c r="AB192" s="195"/>
      <c r="AC192" s="239" t="s">
        <v>678</v>
      </c>
      <c r="AD192" s="240"/>
      <c r="AE192" s="31" t="s">
        <v>1266</v>
      </c>
      <c r="AF192" s="292"/>
      <c r="AG192" s="314"/>
      <c r="AH192" s="293"/>
      <c r="AI192" s="31"/>
      <c r="AJ192" s="167"/>
      <c r="AK192" s="15"/>
      <c r="AL192" s="15"/>
    </row>
    <row r="193" spans="1:38" ht="105" x14ac:dyDescent="0.3">
      <c r="A193" s="179"/>
      <c r="B193" s="292"/>
      <c r="C193" s="314"/>
      <c r="D193" s="293"/>
      <c r="E193" s="42" t="s">
        <v>1275</v>
      </c>
      <c r="F193" s="171" t="s">
        <v>1272</v>
      </c>
      <c r="G193" s="407"/>
      <c r="H193" s="172"/>
      <c r="I193" s="171" t="s">
        <v>1273</v>
      </c>
      <c r="J193" s="172"/>
      <c r="K193" s="164"/>
      <c r="L193" s="166"/>
      <c r="M193" s="171" t="s">
        <v>1276</v>
      </c>
      <c r="N193" s="407"/>
      <c r="O193" s="172"/>
      <c r="P193" s="387">
        <v>7</v>
      </c>
      <c r="Q193" s="388"/>
      <c r="R193" s="387">
        <v>25</v>
      </c>
      <c r="S193" s="388"/>
      <c r="T193" s="387">
        <v>6</v>
      </c>
      <c r="U193" s="388"/>
      <c r="V193" s="171" t="s">
        <v>1277</v>
      </c>
      <c r="W193" s="172"/>
      <c r="X193" s="252">
        <v>178</v>
      </c>
      <c r="Y193" s="253"/>
      <c r="Z193" s="254"/>
      <c r="AA193" s="164"/>
      <c r="AB193" s="166"/>
      <c r="AC193" s="239" t="s">
        <v>1263</v>
      </c>
      <c r="AD193" s="240"/>
      <c r="AE193" s="31"/>
      <c r="AF193" s="292"/>
      <c r="AG193" s="314"/>
      <c r="AH193" s="293"/>
      <c r="AI193" s="31"/>
      <c r="AJ193" s="167"/>
      <c r="AK193" s="15"/>
      <c r="AL193" s="15"/>
    </row>
    <row r="194" spans="1:38" ht="90" x14ac:dyDescent="0.3">
      <c r="A194" s="230"/>
      <c r="B194" s="290"/>
      <c r="C194" s="345"/>
      <c r="D194" s="291"/>
      <c r="E194" s="42" t="s">
        <v>1278</v>
      </c>
      <c r="F194" s="212"/>
      <c r="G194" s="408"/>
      <c r="H194" s="213"/>
      <c r="I194" s="212"/>
      <c r="J194" s="213"/>
      <c r="K194" s="214"/>
      <c r="L194" s="216"/>
      <c r="M194" s="212"/>
      <c r="N194" s="408"/>
      <c r="O194" s="213"/>
      <c r="P194" s="389"/>
      <c r="Q194" s="390"/>
      <c r="R194" s="389"/>
      <c r="S194" s="390"/>
      <c r="T194" s="389"/>
      <c r="U194" s="390"/>
      <c r="V194" s="212"/>
      <c r="W194" s="213"/>
      <c r="X194" s="255"/>
      <c r="Y194" s="256"/>
      <c r="Z194" s="257"/>
      <c r="AA194" s="214"/>
      <c r="AB194" s="216"/>
      <c r="AC194" s="225"/>
      <c r="AD194" s="226"/>
      <c r="AE194" s="31"/>
      <c r="AF194" s="290"/>
      <c r="AG194" s="345"/>
      <c r="AH194" s="291"/>
      <c r="AI194" s="31"/>
      <c r="AJ194" s="167"/>
      <c r="AK194" s="15"/>
      <c r="AL194" s="15"/>
    </row>
    <row r="195" spans="1:38" ht="105" x14ac:dyDescent="0.35">
      <c r="A195" s="178"/>
      <c r="B195" s="303" t="s">
        <v>1279</v>
      </c>
      <c r="C195" s="344"/>
      <c r="D195" s="304"/>
      <c r="E195" s="28" t="s">
        <v>1280</v>
      </c>
      <c r="F195" s="149"/>
      <c r="G195" s="158"/>
      <c r="H195" s="150"/>
      <c r="I195" s="107"/>
      <c r="J195" s="109"/>
      <c r="K195" s="107"/>
      <c r="L195" s="109"/>
      <c r="M195" s="183">
        <v>255</v>
      </c>
      <c r="N195" s="184"/>
      <c r="O195" s="185"/>
      <c r="P195" s="107"/>
      <c r="Q195" s="109"/>
      <c r="R195" s="183">
        <v>25</v>
      </c>
      <c r="S195" s="185"/>
      <c r="T195" s="107"/>
      <c r="U195" s="109"/>
      <c r="V195" s="114" t="s">
        <v>1281</v>
      </c>
      <c r="W195" s="116"/>
      <c r="X195" s="227">
        <v>318</v>
      </c>
      <c r="Y195" s="228"/>
      <c r="Z195" s="229"/>
      <c r="AA195" s="110" t="s">
        <v>1078</v>
      </c>
      <c r="AB195" s="111"/>
      <c r="AC195" s="171" t="s">
        <v>675</v>
      </c>
      <c r="AD195" s="172"/>
      <c r="AE195" s="35" t="s">
        <v>1284</v>
      </c>
      <c r="AF195" s="233" t="s">
        <v>683</v>
      </c>
      <c r="AG195" s="305"/>
      <c r="AH195" s="234"/>
      <c r="AI195" s="167"/>
      <c r="AJ195" s="168"/>
      <c r="AK195" s="15"/>
      <c r="AL195" s="15"/>
    </row>
    <row r="196" spans="1:38" ht="105" x14ac:dyDescent="0.35">
      <c r="A196" s="179"/>
      <c r="B196" s="292"/>
      <c r="C196" s="314"/>
      <c r="D196" s="293"/>
      <c r="E196" s="28" t="s">
        <v>1286</v>
      </c>
      <c r="F196" s="151"/>
      <c r="G196" s="159"/>
      <c r="H196" s="152"/>
      <c r="I196" s="107"/>
      <c r="J196" s="109"/>
      <c r="K196" s="107"/>
      <c r="L196" s="109"/>
      <c r="M196" s="183">
        <v>255</v>
      </c>
      <c r="N196" s="184"/>
      <c r="O196" s="185"/>
      <c r="P196" s="107"/>
      <c r="Q196" s="109"/>
      <c r="R196" s="183">
        <v>25</v>
      </c>
      <c r="S196" s="185"/>
      <c r="T196" s="107"/>
      <c r="U196" s="109"/>
      <c r="V196" s="114" t="s">
        <v>1281</v>
      </c>
      <c r="W196" s="116"/>
      <c r="X196" s="227">
        <v>318</v>
      </c>
      <c r="Y196" s="228"/>
      <c r="Z196" s="229"/>
      <c r="AA196" s="110" t="s">
        <v>1078</v>
      </c>
      <c r="AB196" s="111"/>
      <c r="AC196" s="162" t="s">
        <v>1282</v>
      </c>
      <c r="AD196" s="163"/>
      <c r="AE196" s="36" t="s">
        <v>681</v>
      </c>
      <c r="AF196" s="235"/>
      <c r="AG196" s="270"/>
      <c r="AH196" s="236"/>
      <c r="AI196" s="167"/>
      <c r="AJ196" s="168"/>
      <c r="AK196" s="15"/>
      <c r="AL196" s="15"/>
    </row>
    <row r="197" spans="1:38" ht="90" x14ac:dyDescent="0.35">
      <c r="A197" s="179"/>
      <c r="B197" s="292"/>
      <c r="C197" s="314"/>
      <c r="D197" s="293"/>
      <c r="E197" s="28" t="s">
        <v>1287</v>
      </c>
      <c r="F197" s="164"/>
      <c r="G197" s="165"/>
      <c r="H197" s="166"/>
      <c r="I197" s="107"/>
      <c r="J197" s="109"/>
      <c r="K197" s="107"/>
      <c r="L197" s="109"/>
      <c r="M197" s="183">
        <v>330</v>
      </c>
      <c r="N197" s="184"/>
      <c r="O197" s="185"/>
      <c r="P197" s="107"/>
      <c r="Q197" s="109"/>
      <c r="R197" s="183">
        <v>30</v>
      </c>
      <c r="S197" s="185"/>
      <c r="T197" s="107"/>
      <c r="U197" s="109"/>
      <c r="V197" s="114" t="s">
        <v>1288</v>
      </c>
      <c r="W197" s="116"/>
      <c r="X197" s="227">
        <v>395</v>
      </c>
      <c r="Y197" s="228"/>
      <c r="Z197" s="229"/>
      <c r="AA197" s="110" t="s">
        <v>1289</v>
      </c>
      <c r="AB197" s="111"/>
      <c r="AC197" s="162" t="s">
        <v>677</v>
      </c>
      <c r="AD197" s="163"/>
      <c r="AE197" s="36" t="s">
        <v>1285</v>
      </c>
      <c r="AF197" s="235"/>
      <c r="AG197" s="270"/>
      <c r="AH197" s="236"/>
      <c r="AI197" s="167"/>
      <c r="AJ197" s="168"/>
      <c r="AK197" s="15"/>
      <c r="AL197" s="15"/>
    </row>
    <row r="198" spans="1:38" ht="90" x14ac:dyDescent="0.35">
      <c r="A198" s="179"/>
      <c r="B198" s="292"/>
      <c r="C198" s="314"/>
      <c r="D198" s="293"/>
      <c r="E198" s="28" t="s">
        <v>1290</v>
      </c>
      <c r="F198" s="167"/>
      <c r="G198" s="168"/>
      <c r="H198" s="169"/>
      <c r="I198" s="107"/>
      <c r="J198" s="109"/>
      <c r="K198" s="107"/>
      <c r="L198" s="109"/>
      <c r="M198" s="183">
        <v>330</v>
      </c>
      <c r="N198" s="184"/>
      <c r="O198" s="185"/>
      <c r="P198" s="107"/>
      <c r="Q198" s="109"/>
      <c r="R198" s="183">
        <v>30</v>
      </c>
      <c r="S198" s="185"/>
      <c r="T198" s="107"/>
      <c r="U198" s="109"/>
      <c r="V198" s="114" t="s">
        <v>1288</v>
      </c>
      <c r="W198" s="116"/>
      <c r="X198" s="227">
        <v>395</v>
      </c>
      <c r="Y198" s="228"/>
      <c r="Z198" s="229"/>
      <c r="AA198" s="110" t="s">
        <v>1289</v>
      </c>
      <c r="AB198" s="111"/>
      <c r="AC198" s="162" t="s">
        <v>678</v>
      </c>
      <c r="AD198" s="163"/>
      <c r="AE198" s="36"/>
      <c r="AF198" s="235"/>
      <c r="AG198" s="270"/>
      <c r="AH198" s="236"/>
      <c r="AI198" s="167"/>
      <c r="AJ198" s="168"/>
      <c r="AK198" s="15"/>
      <c r="AL198" s="15"/>
    </row>
    <row r="199" spans="1:38" ht="90" x14ac:dyDescent="0.35">
      <c r="A199" s="179"/>
      <c r="B199" s="292"/>
      <c r="C199" s="314"/>
      <c r="D199" s="293"/>
      <c r="E199" s="28" t="s">
        <v>1291</v>
      </c>
      <c r="F199" s="167"/>
      <c r="G199" s="168"/>
      <c r="H199" s="169"/>
      <c r="I199" s="107"/>
      <c r="J199" s="109"/>
      <c r="K199" s="107"/>
      <c r="L199" s="109"/>
      <c r="M199" s="183">
        <v>330</v>
      </c>
      <c r="N199" s="184"/>
      <c r="O199" s="185"/>
      <c r="P199" s="107"/>
      <c r="Q199" s="109"/>
      <c r="R199" s="183">
        <v>30</v>
      </c>
      <c r="S199" s="185"/>
      <c r="T199" s="107"/>
      <c r="U199" s="109"/>
      <c r="V199" s="114" t="s">
        <v>1288</v>
      </c>
      <c r="W199" s="116"/>
      <c r="X199" s="227">
        <v>395</v>
      </c>
      <c r="Y199" s="228"/>
      <c r="Z199" s="229"/>
      <c r="AA199" s="110" t="s">
        <v>1289</v>
      </c>
      <c r="AB199" s="111"/>
      <c r="AC199" s="162" t="s">
        <v>1283</v>
      </c>
      <c r="AD199" s="163"/>
      <c r="AE199" s="36"/>
      <c r="AF199" s="235"/>
      <c r="AG199" s="270"/>
      <c r="AH199" s="236"/>
      <c r="AI199" s="167"/>
      <c r="AJ199" s="168"/>
      <c r="AK199" s="15"/>
      <c r="AL199" s="15"/>
    </row>
    <row r="200" spans="1:38" ht="90" x14ac:dyDescent="0.35">
      <c r="A200" s="179"/>
      <c r="B200" s="292"/>
      <c r="C200" s="314"/>
      <c r="D200" s="293"/>
      <c r="E200" s="28" t="s">
        <v>1292</v>
      </c>
      <c r="F200" s="167"/>
      <c r="G200" s="168"/>
      <c r="H200" s="169"/>
      <c r="I200" s="107"/>
      <c r="J200" s="109"/>
      <c r="K200" s="107"/>
      <c r="L200" s="109"/>
      <c r="M200" s="183">
        <v>350</v>
      </c>
      <c r="N200" s="184"/>
      <c r="O200" s="185"/>
      <c r="P200" s="107"/>
      <c r="Q200" s="109"/>
      <c r="R200" s="183">
        <v>30</v>
      </c>
      <c r="S200" s="185"/>
      <c r="T200" s="107"/>
      <c r="U200" s="109"/>
      <c r="V200" s="114" t="s">
        <v>1293</v>
      </c>
      <c r="W200" s="116"/>
      <c r="X200" s="227">
        <v>400</v>
      </c>
      <c r="Y200" s="228"/>
      <c r="Z200" s="229"/>
      <c r="AA200" s="110" t="s">
        <v>1294</v>
      </c>
      <c r="AB200" s="111"/>
      <c r="AC200" s="162"/>
      <c r="AD200" s="163"/>
      <c r="AE200" s="36"/>
      <c r="AF200" s="235"/>
      <c r="AG200" s="270"/>
      <c r="AH200" s="236"/>
      <c r="AI200" s="167"/>
      <c r="AJ200" s="168"/>
      <c r="AK200" s="15"/>
      <c r="AL200" s="15"/>
    </row>
    <row r="201" spans="1:38" ht="90" x14ac:dyDescent="0.35">
      <c r="A201" s="179"/>
      <c r="B201" s="292"/>
      <c r="C201" s="314"/>
      <c r="D201" s="293"/>
      <c r="E201" s="28" t="s">
        <v>1295</v>
      </c>
      <c r="F201" s="214"/>
      <c r="G201" s="215"/>
      <c r="H201" s="216"/>
      <c r="I201" s="107"/>
      <c r="J201" s="109"/>
      <c r="K201" s="107"/>
      <c r="L201" s="109"/>
      <c r="M201" s="183">
        <v>350</v>
      </c>
      <c r="N201" s="184"/>
      <c r="O201" s="185"/>
      <c r="P201" s="107"/>
      <c r="Q201" s="109"/>
      <c r="R201" s="183">
        <v>30</v>
      </c>
      <c r="S201" s="185"/>
      <c r="T201" s="107"/>
      <c r="U201" s="109"/>
      <c r="V201" s="114" t="s">
        <v>1293</v>
      </c>
      <c r="W201" s="116"/>
      <c r="X201" s="227">
        <v>400</v>
      </c>
      <c r="Y201" s="228"/>
      <c r="Z201" s="229"/>
      <c r="AA201" s="110" t="s">
        <v>1294</v>
      </c>
      <c r="AB201" s="111"/>
      <c r="AC201" s="162"/>
      <c r="AD201" s="163"/>
      <c r="AE201" s="36"/>
      <c r="AF201" s="235"/>
      <c r="AG201" s="270"/>
      <c r="AH201" s="236"/>
      <c r="AI201" s="167"/>
      <c r="AJ201" s="168"/>
      <c r="AK201" s="15"/>
      <c r="AL201" s="15"/>
    </row>
    <row r="202" spans="1:38" ht="90" x14ac:dyDescent="0.35">
      <c r="A202" s="179"/>
      <c r="B202" s="292"/>
      <c r="C202" s="314"/>
      <c r="D202" s="293"/>
      <c r="E202" s="28" t="s">
        <v>1296</v>
      </c>
      <c r="F202" s="164"/>
      <c r="G202" s="165"/>
      <c r="H202" s="166"/>
      <c r="I202" s="107"/>
      <c r="J202" s="109"/>
      <c r="K202" s="107"/>
      <c r="L202" s="109"/>
      <c r="M202" s="183">
        <v>340</v>
      </c>
      <c r="N202" s="184"/>
      <c r="O202" s="185"/>
      <c r="P202" s="107"/>
      <c r="Q202" s="109"/>
      <c r="R202" s="183">
        <v>35</v>
      </c>
      <c r="S202" s="185"/>
      <c r="T202" s="107"/>
      <c r="U202" s="109"/>
      <c r="V202" s="114" t="s">
        <v>1297</v>
      </c>
      <c r="W202" s="116"/>
      <c r="X202" s="227">
        <v>430</v>
      </c>
      <c r="Y202" s="228"/>
      <c r="Z202" s="229"/>
      <c r="AA202" s="110" t="s">
        <v>1298</v>
      </c>
      <c r="AB202" s="111"/>
      <c r="AC202" s="162"/>
      <c r="AD202" s="163"/>
      <c r="AE202" s="36"/>
      <c r="AF202" s="235"/>
      <c r="AG202" s="270"/>
      <c r="AH202" s="236"/>
      <c r="AI202" s="167"/>
      <c r="AJ202" s="168"/>
      <c r="AK202" s="15"/>
      <c r="AL202" s="15"/>
    </row>
    <row r="203" spans="1:38" ht="90" x14ac:dyDescent="0.35">
      <c r="A203" s="179"/>
      <c r="B203" s="292"/>
      <c r="C203" s="314"/>
      <c r="D203" s="293"/>
      <c r="E203" s="28" t="s">
        <v>1299</v>
      </c>
      <c r="F203" s="167"/>
      <c r="G203" s="168"/>
      <c r="H203" s="169"/>
      <c r="I203" s="107"/>
      <c r="J203" s="109"/>
      <c r="K203" s="107"/>
      <c r="L203" s="109"/>
      <c r="M203" s="183">
        <v>340</v>
      </c>
      <c r="N203" s="184"/>
      <c r="O203" s="185"/>
      <c r="P203" s="107"/>
      <c r="Q203" s="109"/>
      <c r="R203" s="183">
        <v>35</v>
      </c>
      <c r="S203" s="185"/>
      <c r="T203" s="107"/>
      <c r="U203" s="109"/>
      <c r="V203" s="114" t="s">
        <v>1297</v>
      </c>
      <c r="W203" s="116"/>
      <c r="X203" s="227">
        <v>430</v>
      </c>
      <c r="Y203" s="228"/>
      <c r="Z203" s="229"/>
      <c r="AA203" s="110" t="s">
        <v>1298</v>
      </c>
      <c r="AB203" s="111"/>
      <c r="AC203" s="162"/>
      <c r="AD203" s="163"/>
      <c r="AE203" s="36"/>
      <c r="AF203" s="235"/>
      <c r="AG203" s="270"/>
      <c r="AH203" s="236"/>
      <c r="AI203" s="167"/>
      <c r="AJ203" s="168"/>
      <c r="AK203" s="15"/>
      <c r="AL203" s="15"/>
    </row>
    <row r="204" spans="1:38" ht="90" x14ac:dyDescent="0.35">
      <c r="A204" s="179"/>
      <c r="B204" s="292"/>
      <c r="C204" s="314"/>
      <c r="D204" s="293"/>
      <c r="E204" s="28" t="s">
        <v>1300</v>
      </c>
      <c r="F204" s="167"/>
      <c r="G204" s="168"/>
      <c r="H204" s="169"/>
      <c r="I204" s="107"/>
      <c r="J204" s="109"/>
      <c r="K204" s="107"/>
      <c r="L204" s="109"/>
      <c r="M204" s="183">
        <v>340</v>
      </c>
      <c r="N204" s="184"/>
      <c r="O204" s="185"/>
      <c r="P204" s="107"/>
      <c r="Q204" s="109"/>
      <c r="R204" s="183">
        <v>35</v>
      </c>
      <c r="S204" s="185"/>
      <c r="T204" s="107"/>
      <c r="U204" s="109"/>
      <c r="V204" s="114" t="s">
        <v>1297</v>
      </c>
      <c r="W204" s="116"/>
      <c r="X204" s="227">
        <v>430</v>
      </c>
      <c r="Y204" s="228"/>
      <c r="Z204" s="229"/>
      <c r="AA204" s="110" t="s">
        <v>1298</v>
      </c>
      <c r="AB204" s="111"/>
      <c r="AC204" s="162"/>
      <c r="AD204" s="163"/>
      <c r="AE204" s="36"/>
      <c r="AF204" s="235"/>
      <c r="AG204" s="270"/>
      <c r="AH204" s="236"/>
      <c r="AI204" s="167"/>
      <c r="AJ204" s="168"/>
      <c r="AK204" s="15"/>
      <c r="AL204" s="15"/>
    </row>
    <row r="205" spans="1:38" ht="90" x14ac:dyDescent="0.35">
      <c r="A205" s="179"/>
      <c r="B205" s="292"/>
      <c r="C205" s="314"/>
      <c r="D205" s="293"/>
      <c r="E205" s="28" t="s">
        <v>1301</v>
      </c>
      <c r="F205" s="167"/>
      <c r="G205" s="168"/>
      <c r="H205" s="169"/>
      <c r="I205" s="107"/>
      <c r="J205" s="109"/>
      <c r="K205" s="107"/>
      <c r="L205" s="109"/>
      <c r="M205" s="183">
        <v>360</v>
      </c>
      <c r="N205" s="184"/>
      <c r="O205" s="185"/>
      <c r="P205" s="107"/>
      <c r="Q205" s="109"/>
      <c r="R205" s="183">
        <v>35</v>
      </c>
      <c r="S205" s="185"/>
      <c r="T205" s="107"/>
      <c r="U205" s="109"/>
      <c r="V205" s="114" t="s">
        <v>1302</v>
      </c>
      <c r="W205" s="116"/>
      <c r="X205" s="227">
        <v>438</v>
      </c>
      <c r="Y205" s="228"/>
      <c r="Z205" s="229"/>
      <c r="AA205" s="110" t="s">
        <v>1303</v>
      </c>
      <c r="AB205" s="111"/>
      <c r="AC205" s="162"/>
      <c r="AD205" s="163"/>
      <c r="AE205" s="36"/>
      <c r="AF205" s="235"/>
      <c r="AG205" s="270"/>
      <c r="AH205" s="236"/>
      <c r="AI205" s="167"/>
      <c r="AJ205" s="168"/>
      <c r="AK205" s="15"/>
      <c r="AL205" s="15"/>
    </row>
    <row r="206" spans="1:38" ht="90" x14ac:dyDescent="0.35">
      <c r="A206" s="179"/>
      <c r="B206" s="292"/>
      <c r="C206" s="314"/>
      <c r="D206" s="293"/>
      <c r="E206" s="28" t="s">
        <v>1304</v>
      </c>
      <c r="F206" s="214"/>
      <c r="G206" s="215"/>
      <c r="H206" s="216"/>
      <c r="I206" s="107"/>
      <c r="J206" s="109"/>
      <c r="K206" s="107"/>
      <c r="L206" s="109"/>
      <c r="M206" s="183">
        <v>360</v>
      </c>
      <c r="N206" s="184"/>
      <c r="O206" s="185"/>
      <c r="P206" s="107"/>
      <c r="Q206" s="109"/>
      <c r="R206" s="183">
        <v>35</v>
      </c>
      <c r="S206" s="185"/>
      <c r="T206" s="107"/>
      <c r="U206" s="109"/>
      <c r="V206" s="114" t="s">
        <v>1302</v>
      </c>
      <c r="W206" s="116"/>
      <c r="X206" s="227">
        <v>438</v>
      </c>
      <c r="Y206" s="228"/>
      <c r="Z206" s="229"/>
      <c r="AA206" s="110" t="s">
        <v>1303</v>
      </c>
      <c r="AB206" s="111"/>
      <c r="AC206" s="162"/>
      <c r="AD206" s="163"/>
      <c r="AE206" s="36"/>
      <c r="AF206" s="235"/>
      <c r="AG206" s="270"/>
      <c r="AH206" s="236"/>
      <c r="AI206" s="167"/>
      <c r="AJ206" s="168"/>
      <c r="AK206" s="15"/>
      <c r="AL206" s="15"/>
    </row>
    <row r="207" spans="1:38" ht="90" x14ac:dyDescent="0.35">
      <c r="A207" s="179"/>
      <c r="B207" s="292"/>
      <c r="C207" s="314"/>
      <c r="D207" s="293"/>
      <c r="E207" s="28" t="s">
        <v>1305</v>
      </c>
      <c r="F207" s="164"/>
      <c r="G207" s="165"/>
      <c r="H207" s="166"/>
      <c r="I207" s="107"/>
      <c r="J207" s="109"/>
      <c r="K207" s="107"/>
      <c r="L207" s="109"/>
      <c r="M207" s="183">
        <v>350</v>
      </c>
      <c r="N207" s="184"/>
      <c r="O207" s="185"/>
      <c r="P207" s="107"/>
      <c r="Q207" s="109"/>
      <c r="R207" s="183">
        <v>40</v>
      </c>
      <c r="S207" s="185"/>
      <c r="T207" s="107"/>
      <c r="U207" s="109"/>
      <c r="V207" s="114" t="s">
        <v>1306</v>
      </c>
      <c r="W207" s="116"/>
      <c r="X207" s="227">
        <v>480</v>
      </c>
      <c r="Y207" s="228"/>
      <c r="Z207" s="229"/>
      <c r="AA207" s="110" t="s">
        <v>1062</v>
      </c>
      <c r="AB207" s="111"/>
      <c r="AC207" s="162"/>
      <c r="AD207" s="163"/>
      <c r="AE207" s="36"/>
      <c r="AF207" s="235"/>
      <c r="AG207" s="270"/>
      <c r="AH207" s="236"/>
      <c r="AI207" s="167"/>
      <c r="AJ207" s="168"/>
      <c r="AK207" s="15"/>
      <c r="AL207" s="15"/>
    </row>
    <row r="208" spans="1:38" ht="90" x14ac:dyDescent="0.35">
      <c r="A208" s="179"/>
      <c r="B208" s="292"/>
      <c r="C208" s="314"/>
      <c r="D208" s="293"/>
      <c r="E208" s="28" t="s">
        <v>1307</v>
      </c>
      <c r="F208" s="167"/>
      <c r="G208" s="168"/>
      <c r="H208" s="169"/>
      <c r="I208" s="107"/>
      <c r="J208" s="109"/>
      <c r="K208" s="107"/>
      <c r="L208" s="109"/>
      <c r="M208" s="183">
        <v>350</v>
      </c>
      <c r="N208" s="184"/>
      <c r="O208" s="185"/>
      <c r="P208" s="107"/>
      <c r="Q208" s="109"/>
      <c r="R208" s="183">
        <v>40</v>
      </c>
      <c r="S208" s="185"/>
      <c r="T208" s="107"/>
      <c r="U208" s="109"/>
      <c r="V208" s="114" t="s">
        <v>1306</v>
      </c>
      <c r="W208" s="116"/>
      <c r="X208" s="227">
        <v>480</v>
      </c>
      <c r="Y208" s="228"/>
      <c r="Z208" s="229"/>
      <c r="AA208" s="110" t="s">
        <v>1062</v>
      </c>
      <c r="AB208" s="111"/>
      <c r="AC208" s="162"/>
      <c r="AD208" s="163"/>
      <c r="AE208" s="36"/>
      <c r="AF208" s="235"/>
      <c r="AG208" s="270"/>
      <c r="AH208" s="236"/>
      <c r="AI208" s="167"/>
      <c r="AJ208" s="168"/>
      <c r="AK208" s="15"/>
      <c r="AL208" s="15"/>
    </row>
    <row r="209" spans="1:38" ht="90" x14ac:dyDescent="0.35">
      <c r="A209" s="179"/>
      <c r="B209" s="292"/>
      <c r="C209" s="314"/>
      <c r="D209" s="293"/>
      <c r="E209" s="28" t="s">
        <v>1308</v>
      </c>
      <c r="F209" s="167"/>
      <c r="G209" s="168"/>
      <c r="H209" s="169"/>
      <c r="I209" s="107"/>
      <c r="J209" s="109"/>
      <c r="K209" s="107"/>
      <c r="L209" s="109"/>
      <c r="M209" s="183">
        <v>350</v>
      </c>
      <c r="N209" s="184"/>
      <c r="O209" s="185"/>
      <c r="P209" s="107"/>
      <c r="Q209" s="109"/>
      <c r="R209" s="183">
        <v>40</v>
      </c>
      <c r="S209" s="185"/>
      <c r="T209" s="107"/>
      <c r="U209" s="109"/>
      <c r="V209" s="114" t="s">
        <v>1306</v>
      </c>
      <c r="W209" s="116"/>
      <c r="X209" s="227">
        <v>480</v>
      </c>
      <c r="Y209" s="228"/>
      <c r="Z209" s="229"/>
      <c r="AA209" s="110" t="s">
        <v>1062</v>
      </c>
      <c r="AB209" s="111"/>
      <c r="AC209" s="162"/>
      <c r="AD209" s="163"/>
      <c r="AE209" s="36"/>
      <c r="AF209" s="235"/>
      <c r="AG209" s="270"/>
      <c r="AH209" s="236"/>
      <c r="AI209" s="167"/>
      <c r="AJ209" s="168"/>
      <c r="AK209" s="15"/>
      <c r="AL209" s="15"/>
    </row>
    <row r="210" spans="1:38" ht="90" x14ac:dyDescent="0.35">
      <c r="A210" s="179"/>
      <c r="B210" s="292"/>
      <c r="C210" s="314"/>
      <c r="D210" s="293"/>
      <c r="E210" s="28" t="s">
        <v>1309</v>
      </c>
      <c r="F210" s="167"/>
      <c r="G210" s="168"/>
      <c r="H210" s="169"/>
      <c r="I210" s="107"/>
      <c r="J210" s="109"/>
      <c r="K210" s="107"/>
      <c r="L210" s="109"/>
      <c r="M210" s="183">
        <v>370</v>
      </c>
      <c r="N210" s="184"/>
      <c r="O210" s="185"/>
      <c r="P210" s="107"/>
      <c r="Q210" s="109"/>
      <c r="R210" s="183">
        <v>40</v>
      </c>
      <c r="S210" s="185"/>
      <c r="T210" s="107"/>
      <c r="U210" s="109"/>
      <c r="V210" s="114" t="s">
        <v>1310</v>
      </c>
      <c r="W210" s="116"/>
      <c r="X210" s="227">
        <v>490</v>
      </c>
      <c r="Y210" s="228"/>
      <c r="Z210" s="229"/>
      <c r="AA210" s="110" t="s">
        <v>1311</v>
      </c>
      <c r="AB210" s="111"/>
      <c r="AC210" s="162"/>
      <c r="AD210" s="163"/>
      <c r="AE210" s="36"/>
      <c r="AF210" s="235"/>
      <c r="AG210" s="270"/>
      <c r="AH210" s="236"/>
      <c r="AI210" s="167"/>
      <c r="AJ210" s="168"/>
      <c r="AK210" s="15"/>
      <c r="AL210" s="15"/>
    </row>
    <row r="211" spans="1:38" ht="90" x14ac:dyDescent="0.35">
      <c r="A211" s="230"/>
      <c r="B211" s="290"/>
      <c r="C211" s="345"/>
      <c r="D211" s="291"/>
      <c r="E211" s="28" t="s">
        <v>1312</v>
      </c>
      <c r="F211" s="214"/>
      <c r="G211" s="215"/>
      <c r="H211" s="216"/>
      <c r="I211" s="107"/>
      <c r="J211" s="109"/>
      <c r="K211" s="107"/>
      <c r="L211" s="109"/>
      <c r="M211" s="183">
        <v>370</v>
      </c>
      <c r="N211" s="184"/>
      <c r="O211" s="185"/>
      <c r="P211" s="107"/>
      <c r="Q211" s="109"/>
      <c r="R211" s="183">
        <v>40</v>
      </c>
      <c r="S211" s="185"/>
      <c r="T211" s="107"/>
      <c r="U211" s="109"/>
      <c r="V211" s="114" t="s">
        <v>1310</v>
      </c>
      <c r="W211" s="116"/>
      <c r="X211" s="227">
        <v>490</v>
      </c>
      <c r="Y211" s="228"/>
      <c r="Z211" s="229"/>
      <c r="AA211" s="110" t="s">
        <v>1311</v>
      </c>
      <c r="AB211" s="111"/>
      <c r="AC211" s="212"/>
      <c r="AD211" s="213"/>
      <c r="AE211" s="36"/>
      <c r="AF211" s="237"/>
      <c r="AG211" s="306"/>
      <c r="AH211" s="238"/>
      <c r="AI211" s="167"/>
      <c r="AJ211" s="168"/>
      <c r="AK211" s="15"/>
      <c r="AL211" s="15"/>
    </row>
    <row r="212" spans="1:38" ht="105" x14ac:dyDescent="0.3">
      <c r="A212" s="178"/>
      <c r="B212" s="303" t="s">
        <v>1313</v>
      </c>
      <c r="C212" s="344"/>
      <c r="D212" s="304"/>
      <c r="E212" s="19" t="s">
        <v>1314</v>
      </c>
      <c r="F212" s="192" t="s">
        <v>1315</v>
      </c>
      <c r="G212" s="196"/>
      <c r="H212" s="193"/>
      <c r="I212" s="192" t="s">
        <v>1316</v>
      </c>
      <c r="J212" s="193"/>
      <c r="K212" s="460"/>
      <c r="L212" s="461"/>
      <c r="M212" s="351" t="s">
        <v>1317</v>
      </c>
      <c r="N212" s="444"/>
      <c r="O212" s="352"/>
      <c r="P212" s="351" t="s">
        <v>1174</v>
      </c>
      <c r="Q212" s="352"/>
      <c r="R212" s="349">
        <v>14</v>
      </c>
      <c r="S212" s="350"/>
      <c r="T212" s="349">
        <v>6</v>
      </c>
      <c r="U212" s="350"/>
      <c r="V212" s="351" t="s">
        <v>1318</v>
      </c>
      <c r="W212" s="352"/>
      <c r="X212" s="334">
        <v>128</v>
      </c>
      <c r="Y212" s="335"/>
      <c r="Z212" s="336"/>
      <c r="AA212" s="337" t="s">
        <v>1038</v>
      </c>
      <c r="AB212" s="338"/>
      <c r="AC212" s="223" t="s">
        <v>675</v>
      </c>
      <c r="AD212" s="224"/>
      <c r="AE212" s="24" t="s">
        <v>1321</v>
      </c>
      <c r="AF212" s="171" t="s">
        <v>1323</v>
      </c>
      <c r="AG212" s="407"/>
      <c r="AH212" s="172"/>
      <c r="AI212" s="24" t="s">
        <v>1324</v>
      </c>
      <c r="AJ212" s="167"/>
      <c r="AK212" s="15"/>
      <c r="AL212" s="15"/>
    </row>
    <row r="213" spans="1:38" ht="105" x14ac:dyDescent="0.3">
      <c r="A213" s="179"/>
      <c r="B213" s="292"/>
      <c r="C213" s="314"/>
      <c r="D213" s="293"/>
      <c r="E213" s="28" t="s">
        <v>1326</v>
      </c>
      <c r="F213" s="272"/>
      <c r="G213" s="282"/>
      <c r="H213" s="273"/>
      <c r="I213" s="272"/>
      <c r="J213" s="273"/>
      <c r="K213" s="460"/>
      <c r="L213" s="461"/>
      <c r="M213" s="114" t="s">
        <v>1327</v>
      </c>
      <c r="N213" s="115"/>
      <c r="O213" s="116"/>
      <c r="P213" s="114" t="s">
        <v>1174</v>
      </c>
      <c r="Q213" s="116"/>
      <c r="R213" s="183">
        <v>14</v>
      </c>
      <c r="S213" s="185"/>
      <c r="T213" s="183">
        <v>6</v>
      </c>
      <c r="U213" s="185"/>
      <c r="V213" s="114" t="s">
        <v>1328</v>
      </c>
      <c r="W213" s="116"/>
      <c r="X213" s="227">
        <v>128</v>
      </c>
      <c r="Y213" s="228"/>
      <c r="Z213" s="229"/>
      <c r="AA213" s="110" t="s">
        <v>1159</v>
      </c>
      <c r="AB213" s="111"/>
      <c r="AC213" s="239" t="s">
        <v>1319</v>
      </c>
      <c r="AD213" s="240"/>
      <c r="AE213" s="31" t="s">
        <v>681</v>
      </c>
      <c r="AF213" s="162"/>
      <c r="AG213" s="170"/>
      <c r="AH213" s="163"/>
      <c r="AI213" s="31" t="s">
        <v>681</v>
      </c>
      <c r="AJ213" s="167"/>
      <c r="AK213" s="15"/>
      <c r="AL213" s="15"/>
    </row>
    <row r="214" spans="1:38" ht="105" x14ac:dyDescent="0.3">
      <c r="A214" s="179"/>
      <c r="B214" s="292"/>
      <c r="C214" s="314"/>
      <c r="D214" s="293"/>
      <c r="E214" s="28" t="s">
        <v>1329</v>
      </c>
      <c r="F214" s="194"/>
      <c r="G214" s="197"/>
      <c r="H214" s="195"/>
      <c r="I214" s="194"/>
      <c r="J214" s="195"/>
      <c r="K214" s="460"/>
      <c r="L214" s="461"/>
      <c r="M214" s="114" t="s">
        <v>1330</v>
      </c>
      <c r="N214" s="115"/>
      <c r="O214" s="116"/>
      <c r="P214" s="114" t="s">
        <v>1174</v>
      </c>
      <c r="Q214" s="116"/>
      <c r="R214" s="183">
        <v>14</v>
      </c>
      <c r="S214" s="185"/>
      <c r="T214" s="183">
        <v>6</v>
      </c>
      <c r="U214" s="185"/>
      <c r="V214" s="114" t="s">
        <v>1331</v>
      </c>
      <c r="W214" s="116"/>
      <c r="X214" s="227">
        <v>128</v>
      </c>
      <c r="Y214" s="228"/>
      <c r="Z214" s="229"/>
      <c r="AA214" s="110" t="s">
        <v>1127</v>
      </c>
      <c r="AB214" s="111"/>
      <c r="AC214" s="239" t="s">
        <v>677</v>
      </c>
      <c r="AD214" s="240"/>
      <c r="AE214" s="31" t="s">
        <v>1322</v>
      </c>
      <c r="AF214" s="162"/>
      <c r="AG214" s="170"/>
      <c r="AH214" s="163"/>
      <c r="AI214" s="31" t="s">
        <v>1325</v>
      </c>
      <c r="AJ214" s="167"/>
      <c r="AK214" s="15"/>
      <c r="AL214" s="15"/>
    </row>
    <row r="215" spans="1:38" ht="105" x14ac:dyDescent="0.3">
      <c r="A215" s="179"/>
      <c r="B215" s="292"/>
      <c r="C215" s="314"/>
      <c r="D215" s="293"/>
      <c r="E215" s="28" t="s">
        <v>1332</v>
      </c>
      <c r="F215" s="192" t="s">
        <v>1333</v>
      </c>
      <c r="G215" s="196"/>
      <c r="H215" s="193"/>
      <c r="I215" s="192" t="s">
        <v>1334</v>
      </c>
      <c r="J215" s="193"/>
      <c r="K215" s="460"/>
      <c r="L215" s="461"/>
      <c r="M215" s="114" t="s">
        <v>1335</v>
      </c>
      <c r="N215" s="115"/>
      <c r="O215" s="116"/>
      <c r="P215" s="114" t="s">
        <v>1336</v>
      </c>
      <c r="Q215" s="116"/>
      <c r="R215" s="183">
        <v>16</v>
      </c>
      <c r="S215" s="185"/>
      <c r="T215" s="183">
        <v>6</v>
      </c>
      <c r="U215" s="185"/>
      <c r="V215" s="114" t="s">
        <v>1337</v>
      </c>
      <c r="W215" s="116"/>
      <c r="X215" s="227">
        <v>148</v>
      </c>
      <c r="Y215" s="228"/>
      <c r="Z215" s="229"/>
      <c r="AA215" s="110" t="s">
        <v>1338</v>
      </c>
      <c r="AB215" s="111"/>
      <c r="AC215" s="239" t="s">
        <v>678</v>
      </c>
      <c r="AD215" s="240"/>
      <c r="AE215" s="31"/>
      <c r="AF215" s="162"/>
      <c r="AG215" s="170"/>
      <c r="AH215" s="163"/>
      <c r="AI215" s="31"/>
      <c r="AJ215" s="167"/>
      <c r="AK215" s="15"/>
      <c r="AL215" s="15"/>
    </row>
    <row r="216" spans="1:38" ht="105" x14ac:dyDescent="0.3">
      <c r="A216" s="179"/>
      <c r="B216" s="292"/>
      <c r="C216" s="314"/>
      <c r="D216" s="293"/>
      <c r="E216" s="28" t="s">
        <v>1339</v>
      </c>
      <c r="F216" s="272"/>
      <c r="G216" s="282"/>
      <c r="H216" s="273"/>
      <c r="I216" s="272"/>
      <c r="J216" s="273"/>
      <c r="K216" s="460"/>
      <c r="L216" s="461"/>
      <c r="M216" s="114" t="s">
        <v>1340</v>
      </c>
      <c r="N216" s="115"/>
      <c r="O216" s="116"/>
      <c r="P216" s="114" t="s">
        <v>1336</v>
      </c>
      <c r="Q216" s="116"/>
      <c r="R216" s="183">
        <v>16</v>
      </c>
      <c r="S216" s="185"/>
      <c r="T216" s="183">
        <v>6</v>
      </c>
      <c r="U216" s="185"/>
      <c r="V216" s="114" t="s">
        <v>1341</v>
      </c>
      <c r="W216" s="116"/>
      <c r="X216" s="227">
        <v>148</v>
      </c>
      <c r="Y216" s="228"/>
      <c r="Z216" s="229"/>
      <c r="AA216" s="110" t="s">
        <v>1342</v>
      </c>
      <c r="AB216" s="111"/>
      <c r="AC216" s="239" t="s">
        <v>1320</v>
      </c>
      <c r="AD216" s="240"/>
      <c r="AE216" s="31"/>
      <c r="AF216" s="162"/>
      <c r="AG216" s="170"/>
      <c r="AH216" s="163"/>
      <c r="AI216" s="31"/>
      <c r="AJ216" s="167"/>
      <c r="AK216" s="15"/>
      <c r="AL216" s="15"/>
    </row>
    <row r="217" spans="1:38" ht="105" x14ac:dyDescent="0.3">
      <c r="A217" s="230"/>
      <c r="B217" s="290"/>
      <c r="C217" s="345"/>
      <c r="D217" s="291"/>
      <c r="E217" s="28" t="s">
        <v>1343</v>
      </c>
      <c r="F217" s="194"/>
      <c r="G217" s="197"/>
      <c r="H217" s="195"/>
      <c r="I217" s="194"/>
      <c r="J217" s="195"/>
      <c r="K217" s="460"/>
      <c r="L217" s="461"/>
      <c r="M217" s="114" t="s">
        <v>1344</v>
      </c>
      <c r="N217" s="115"/>
      <c r="O217" s="116"/>
      <c r="P217" s="114" t="s">
        <v>1336</v>
      </c>
      <c r="Q217" s="116"/>
      <c r="R217" s="183">
        <v>16</v>
      </c>
      <c r="S217" s="185"/>
      <c r="T217" s="183">
        <v>6</v>
      </c>
      <c r="U217" s="185"/>
      <c r="V217" s="114" t="s">
        <v>1345</v>
      </c>
      <c r="W217" s="116"/>
      <c r="X217" s="227">
        <v>148</v>
      </c>
      <c r="Y217" s="228"/>
      <c r="Z217" s="229"/>
      <c r="AA217" s="110" t="s">
        <v>1038</v>
      </c>
      <c r="AB217" s="111"/>
      <c r="AC217" s="225"/>
      <c r="AD217" s="226"/>
      <c r="AE217" s="31"/>
      <c r="AF217" s="212"/>
      <c r="AG217" s="408"/>
      <c r="AH217" s="213"/>
      <c r="AI217" s="31"/>
      <c r="AJ217" s="167"/>
      <c r="AK217" s="15"/>
      <c r="AL217" s="15"/>
    </row>
    <row r="218" spans="1:38" ht="90" x14ac:dyDescent="0.3">
      <c r="A218" s="178"/>
      <c r="B218" s="171" t="s">
        <v>1346</v>
      </c>
      <c r="C218" s="407"/>
      <c r="D218" s="172"/>
      <c r="E218" s="61" t="s">
        <v>1348</v>
      </c>
      <c r="F218" s="143" t="s">
        <v>1349</v>
      </c>
      <c r="G218" s="144"/>
      <c r="H218" s="145"/>
      <c r="I218" s="143" t="s">
        <v>1350</v>
      </c>
      <c r="J218" s="145"/>
      <c r="K218" s="88" t="s">
        <v>1351</v>
      </c>
      <c r="L218" s="89"/>
      <c r="M218" s="204">
        <v>360</v>
      </c>
      <c r="N218" s="250"/>
      <c r="O218" s="205"/>
      <c r="P218" s="164"/>
      <c r="Q218" s="166"/>
      <c r="R218" s="204">
        <v>48</v>
      </c>
      <c r="S218" s="205"/>
      <c r="T218" s="164"/>
      <c r="U218" s="166"/>
      <c r="V218" s="88" t="s">
        <v>1352</v>
      </c>
      <c r="W218" s="89"/>
      <c r="X218" s="241">
        <v>508</v>
      </c>
      <c r="Y218" s="242"/>
      <c r="Z218" s="243"/>
      <c r="AA218" s="143" t="s">
        <v>1181</v>
      </c>
      <c r="AB218" s="145"/>
      <c r="AC218" s="88" t="s">
        <v>675</v>
      </c>
      <c r="AD218" s="89"/>
      <c r="AE218" s="24" t="s">
        <v>1355</v>
      </c>
      <c r="AF218" s="192" t="s">
        <v>683</v>
      </c>
      <c r="AG218" s="196"/>
      <c r="AH218" s="193"/>
      <c r="AI218" s="718" t="s">
        <v>1358</v>
      </c>
      <c r="AJ218" s="719"/>
      <c r="AK218" s="15"/>
      <c r="AL218" s="15"/>
    </row>
    <row r="219" spans="1:38" ht="45" x14ac:dyDescent="0.3">
      <c r="A219" s="179"/>
      <c r="B219" s="162" t="s">
        <v>1347</v>
      </c>
      <c r="C219" s="170"/>
      <c r="D219" s="163"/>
      <c r="E219" s="82"/>
      <c r="F219" s="104"/>
      <c r="G219" s="202"/>
      <c r="H219" s="105"/>
      <c r="I219" s="104"/>
      <c r="J219" s="105"/>
      <c r="K219" s="126"/>
      <c r="L219" s="127"/>
      <c r="M219" s="231"/>
      <c r="N219" s="683"/>
      <c r="O219" s="232"/>
      <c r="P219" s="167"/>
      <c r="Q219" s="169"/>
      <c r="R219" s="231"/>
      <c r="S219" s="232"/>
      <c r="T219" s="167"/>
      <c r="U219" s="169"/>
      <c r="V219" s="126"/>
      <c r="W219" s="127"/>
      <c r="X219" s="247"/>
      <c r="Y219" s="248"/>
      <c r="Z219" s="249"/>
      <c r="AA219" s="104"/>
      <c r="AB219" s="105"/>
      <c r="AC219" s="126" t="s">
        <v>1353</v>
      </c>
      <c r="AD219" s="127"/>
      <c r="AE219" s="31" t="s">
        <v>1356</v>
      </c>
      <c r="AF219" s="272"/>
      <c r="AG219" s="282"/>
      <c r="AH219" s="273"/>
      <c r="AI219" s="718" t="s">
        <v>1358</v>
      </c>
      <c r="AJ219" s="719"/>
      <c r="AK219" s="15"/>
      <c r="AL219" s="15"/>
    </row>
    <row r="220" spans="1:38" ht="60" x14ac:dyDescent="0.3">
      <c r="A220" s="179"/>
      <c r="B220" s="162"/>
      <c r="C220" s="170"/>
      <c r="D220" s="163"/>
      <c r="E220" s="62"/>
      <c r="F220" s="146"/>
      <c r="G220" s="147"/>
      <c r="H220" s="148"/>
      <c r="I220" s="146"/>
      <c r="J220" s="148"/>
      <c r="K220" s="117"/>
      <c r="L220" s="118"/>
      <c r="M220" s="206"/>
      <c r="N220" s="251"/>
      <c r="O220" s="207"/>
      <c r="P220" s="214"/>
      <c r="Q220" s="216"/>
      <c r="R220" s="206"/>
      <c r="S220" s="207"/>
      <c r="T220" s="214"/>
      <c r="U220" s="216"/>
      <c r="V220" s="117"/>
      <c r="W220" s="118"/>
      <c r="X220" s="244"/>
      <c r="Y220" s="245"/>
      <c r="Z220" s="246"/>
      <c r="AA220" s="146"/>
      <c r="AB220" s="148"/>
      <c r="AC220" s="126" t="s">
        <v>677</v>
      </c>
      <c r="AD220" s="127"/>
      <c r="AE220" s="31" t="s">
        <v>1357</v>
      </c>
      <c r="AF220" s="272"/>
      <c r="AG220" s="282"/>
      <c r="AH220" s="273"/>
      <c r="AI220" s="718" t="s">
        <v>1358</v>
      </c>
      <c r="AJ220" s="719"/>
      <c r="AK220" s="15"/>
      <c r="AL220" s="15"/>
    </row>
    <row r="221" spans="1:38" ht="15.5" x14ac:dyDescent="0.3">
      <c r="A221" s="179"/>
      <c r="B221" s="162"/>
      <c r="C221" s="170"/>
      <c r="D221" s="163"/>
      <c r="E221" s="61" t="s">
        <v>1359</v>
      </c>
      <c r="F221" s="143" t="s">
        <v>1349</v>
      </c>
      <c r="G221" s="144"/>
      <c r="H221" s="145"/>
      <c r="I221" s="143" t="s">
        <v>1350</v>
      </c>
      <c r="J221" s="145"/>
      <c r="K221" s="88" t="s">
        <v>1351</v>
      </c>
      <c r="L221" s="89"/>
      <c r="M221" s="204">
        <v>360</v>
      </c>
      <c r="N221" s="250"/>
      <c r="O221" s="205"/>
      <c r="P221" s="164"/>
      <c r="Q221" s="166"/>
      <c r="R221" s="204">
        <v>48</v>
      </c>
      <c r="S221" s="205"/>
      <c r="T221" s="164"/>
      <c r="U221" s="166"/>
      <c r="V221" s="88" t="s">
        <v>1352</v>
      </c>
      <c r="W221" s="89"/>
      <c r="X221" s="241">
        <v>508</v>
      </c>
      <c r="Y221" s="242"/>
      <c r="Z221" s="243"/>
      <c r="AA221" s="143" t="s">
        <v>1181</v>
      </c>
      <c r="AB221" s="145"/>
      <c r="AC221" s="126" t="s">
        <v>678</v>
      </c>
      <c r="AD221" s="127"/>
      <c r="AE221" s="31"/>
      <c r="AF221" s="272"/>
      <c r="AG221" s="282"/>
      <c r="AH221" s="273"/>
      <c r="AI221" s="718" t="s">
        <v>1358</v>
      </c>
      <c r="AJ221" s="719"/>
      <c r="AK221" s="15"/>
      <c r="AL221" s="15"/>
    </row>
    <row r="222" spans="1:38" ht="15.5" x14ac:dyDescent="0.3">
      <c r="A222" s="179"/>
      <c r="B222" s="162"/>
      <c r="C222" s="170"/>
      <c r="D222" s="163"/>
      <c r="E222" s="82"/>
      <c r="F222" s="104"/>
      <c r="G222" s="202"/>
      <c r="H222" s="105"/>
      <c r="I222" s="104"/>
      <c r="J222" s="105"/>
      <c r="K222" s="126"/>
      <c r="L222" s="127"/>
      <c r="M222" s="231"/>
      <c r="N222" s="683"/>
      <c r="O222" s="232"/>
      <c r="P222" s="167"/>
      <c r="Q222" s="169"/>
      <c r="R222" s="231"/>
      <c r="S222" s="232"/>
      <c r="T222" s="167"/>
      <c r="U222" s="169"/>
      <c r="V222" s="126"/>
      <c r="W222" s="127"/>
      <c r="X222" s="247"/>
      <c r="Y222" s="248"/>
      <c r="Z222" s="249"/>
      <c r="AA222" s="104"/>
      <c r="AB222" s="105"/>
      <c r="AC222" s="126" t="s">
        <v>1354</v>
      </c>
      <c r="AD222" s="127"/>
      <c r="AE222" s="31"/>
      <c r="AF222" s="272"/>
      <c r="AG222" s="282"/>
      <c r="AH222" s="273"/>
      <c r="AI222" s="718" t="s">
        <v>809</v>
      </c>
      <c r="AJ222" s="719"/>
      <c r="AK222" s="15"/>
      <c r="AL222" s="15"/>
    </row>
    <row r="223" spans="1:38" ht="15.5" x14ac:dyDescent="0.3">
      <c r="A223" s="179"/>
      <c r="B223" s="162"/>
      <c r="C223" s="170"/>
      <c r="D223" s="163"/>
      <c r="E223" s="62"/>
      <c r="F223" s="146"/>
      <c r="G223" s="147"/>
      <c r="H223" s="148"/>
      <c r="I223" s="146"/>
      <c r="J223" s="148"/>
      <c r="K223" s="117"/>
      <c r="L223" s="118"/>
      <c r="M223" s="206"/>
      <c r="N223" s="251"/>
      <c r="O223" s="207"/>
      <c r="P223" s="214"/>
      <c r="Q223" s="216"/>
      <c r="R223" s="206"/>
      <c r="S223" s="207"/>
      <c r="T223" s="214"/>
      <c r="U223" s="216"/>
      <c r="V223" s="117"/>
      <c r="W223" s="118"/>
      <c r="X223" s="244"/>
      <c r="Y223" s="245"/>
      <c r="Z223" s="246"/>
      <c r="AA223" s="146"/>
      <c r="AB223" s="148"/>
      <c r="AC223" s="126"/>
      <c r="AD223" s="127"/>
      <c r="AE223" s="31"/>
      <c r="AF223" s="272"/>
      <c r="AG223" s="282"/>
      <c r="AH223" s="273"/>
      <c r="AI223" s="718" t="s">
        <v>1030</v>
      </c>
      <c r="AJ223" s="719"/>
      <c r="AK223" s="15"/>
      <c r="AL223" s="15"/>
    </row>
    <row r="224" spans="1:38" ht="15.5" x14ac:dyDescent="0.3">
      <c r="A224" s="179"/>
      <c r="B224" s="162"/>
      <c r="C224" s="170"/>
      <c r="D224" s="163"/>
      <c r="E224" s="61" t="s">
        <v>1360</v>
      </c>
      <c r="F224" s="143" t="s">
        <v>1361</v>
      </c>
      <c r="G224" s="144"/>
      <c r="H224" s="145"/>
      <c r="I224" s="143" t="s">
        <v>1362</v>
      </c>
      <c r="J224" s="145"/>
      <c r="K224" s="88" t="s">
        <v>1351</v>
      </c>
      <c r="L224" s="89"/>
      <c r="M224" s="204">
        <v>420</v>
      </c>
      <c r="N224" s="250"/>
      <c r="O224" s="205"/>
      <c r="P224" s="164"/>
      <c r="Q224" s="166"/>
      <c r="R224" s="204">
        <v>64</v>
      </c>
      <c r="S224" s="205"/>
      <c r="T224" s="164"/>
      <c r="U224" s="166"/>
      <c r="V224" s="88" t="s">
        <v>1363</v>
      </c>
      <c r="W224" s="89"/>
      <c r="X224" s="241">
        <v>608</v>
      </c>
      <c r="Y224" s="242"/>
      <c r="Z224" s="243"/>
      <c r="AA224" s="143" t="s">
        <v>1364</v>
      </c>
      <c r="AB224" s="145"/>
      <c r="AC224" s="126"/>
      <c r="AD224" s="127"/>
      <c r="AE224" s="31"/>
      <c r="AF224" s="272"/>
      <c r="AG224" s="282"/>
      <c r="AH224" s="273"/>
      <c r="AI224" s="718" t="s">
        <v>1030</v>
      </c>
      <c r="AJ224" s="719"/>
      <c r="AK224" s="15"/>
      <c r="AL224" s="15"/>
    </row>
    <row r="225" spans="1:38" ht="15.5" x14ac:dyDescent="0.3">
      <c r="A225" s="179"/>
      <c r="B225" s="162"/>
      <c r="C225" s="170"/>
      <c r="D225" s="163"/>
      <c r="E225" s="82"/>
      <c r="F225" s="104"/>
      <c r="G225" s="202"/>
      <c r="H225" s="105"/>
      <c r="I225" s="104"/>
      <c r="J225" s="105"/>
      <c r="K225" s="126"/>
      <c r="L225" s="127"/>
      <c r="M225" s="231"/>
      <c r="N225" s="683"/>
      <c r="O225" s="232"/>
      <c r="P225" s="167"/>
      <c r="Q225" s="169"/>
      <c r="R225" s="231"/>
      <c r="S225" s="232"/>
      <c r="T225" s="167"/>
      <c r="U225" s="169"/>
      <c r="V225" s="126"/>
      <c r="W225" s="127"/>
      <c r="X225" s="247"/>
      <c r="Y225" s="248"/>
      <c r="Z225" s="249"/>
      <c r="AA225" s="104"/>
      <c r="AB225" s="105"/>
      <c r="AC225" s="126"/>
      <c r="AD225" s="127"/>
      <c r="AE225" s="31"/>
      <c r="AF225" s="272"/>
      <c r="AG225" s="282"/>
      <c r="AH225" s="273"/>
      <c r="AI225" s="718" t="s">
        <v>1030</v>
      </c>
      <c r="AJ225" s="719"/>
      <c r="AK225" s="15"/>
      <c r="AL225" s="15"/>
    </row>
    <row r="226" spans="1:38" ht="15.5" x14ac:dyDescent="0.3">
      <c r="A226" s="179"/>
      <c r="B226" s="162"/>
      <c r="C226" s="170"/>
      <c r="D226" s="163"/>
      <c r="E226" s="62"/>
      <c r="F226" s="146"/>
      <c r="G226" s="147"/>
      <c r="H226" s="148"/>
      <c r="I226" s="146"/>
      <c r="J226" s="148"/>
      <c r="K226" s="117"/>
      <c r="L226" s="118"/>
      <c r="M226" s="206"/>
      <c r="N226" s="251"/>
      <c r="O226" s="207"/>
      <c r="P226" s="214"/>
      <c r="Q226" s="216"/>
      <c r="R226" s="206"/>
      <c r="S226" s="207"/>
      <c r="T226" s="214"/>
      <c r="U226" s="216"/>
      <c r="V226" s="117"/>
      <c r="W226" s="118"/>
      <c r="X226" s="244"/>
      <c r="Y226" s="245"/>
      <c r="Z226" s="246"/>
      <c r="AA226" s="146"/>
      <c r="AB226" s="148"/>
      <c r="AC226" s="126"/>
      <c r="AD226" s="127"/>
      <c r="AE226" s="31"/>
      <c r="AF226" s="272"/>
      <c r="AG226" s="282"/>
      <c r="AH226" s="273"/>
      <c r="AI226" s="718" t="s">
        <v>809</v>
      </c>
      <c r="AJ226" s="719"/>
      <c r="AK226" s="15"/>
      <c r="AL226" s="15"/>
    </row>
    <row r="227" spans="1:38" ht="15.5" x14ac:dyDescent="0.3">
      <c r="A227" s="179"/>
      <c r="B227" s="162"/>
      <c r="C227" s="170"/>
      <c r="D227" s="163"/>
      <c r="E227" s="61" t="s">
        <v>1365</v>
      </c>
      <c r="F227" s="143" t="s">
        <v>1361</v>
      </c>
      <c r="G227" s="144"/>
      <c r="H227" s="145"/>
      <c r="I227" s="143" t="s">
        <v>1362</v>
      </c>
      <c r="J227" s="145"/>
      <c r="K227" s="88" t="s">
        <v>1351</v>
      </c>
      <c r="L227" s="89"/>
      <c r="M227" s="204">
        <v>420</v>
      </c>
      <c r="N227" s="250"/>
      <c r="O227" s="205"/>
      <c r="P227" s="164"/>
      <c r="Q227" s="166"/>
      <c r="R227" s="204">
        <v>64</v>
      </c>
      <c r="S227" s="205"/>
      <c r="T227" s="164"/>
      <c r="U227" s="166"/>
      <c r="V227" s="88" t="s">
        <v>1363</v>
      </c>
      <c r="W227" s="89"/>
      <c r="X227" s="241">
        <v>608</v>
      </c>
      <c r="Y227" s="242"/>
      <c r="Z227" s="243"/>
      <c r="AA227" s="143" t="s">
        <v>1364</v>
      </c>
      <c r="AB227" s="145"/>
      <c r="AC227" s="126"/>
      <c r="AD227" s="127"/>
      <c r="AE227" s="31"/>
      <c r="AF227" s="272"/>
      <c r="AG227" s="282"/>
      <c r="AH227" s="273"/>
      <c r="AI227" s="718" t="s">
        <v>1030</v>
      </c>
      <c r="AJ227" s="719"/>
      <c r="AK227" s="15"/>
      <c r="AL227" s="15"/>
    </row>
    <row r="228" spans="1:38" ht="15.5" x14ac:dyDescent="0.3">
      <c r="A228" s="179"/>
      <c r="B228" s="162"/>
      <c r="C228" s="170"/>
      <c r="D228" s="163"/>
      <c r="E228" s="82"/>
      <c r="F228" s="104"/>
      <c r="G228" s="202"/>
      <c r="H228" s="105"/>
      <c r="I228" s="104"/>
      <c r="J228" s="105"/>
      <c r="K228" s="126"/>
      <c r="L228" s="127"/>
      <c r="M228" s="231"/>
      <c r="N228" s="683"/>
      <c r="O228" s="232"/>
      <c r="P228" s="167"/>
      <c r="Q228" s="169"/>
      <c r="R228" s="231"/>
      <c r="S228" s="232"/>
      <c r="T228" s="167"/>
      <c r="U228" s="169"/>
      <c r="V228" s="126"/>
      <c r="W228" s="127"/>
      <c r="X228" s="247"/>
      <c r="Y228" s="248"/>
      <c r="Z228" s="249"/>
      <c r="AA228" s="104"/>
      <c r="AB228" s="105"/>
      <c r="AC228" s="126"/>
      <c r="AD228" s="127"/>
      <c r="AE228" s="31"/>
      <c r="AF228" s="272"/>
      <c r="AG228" s="282"/>
      <c r="AH228" s="273"/>
      <c r="AI228" s="718" t="s">
        <v>1030</v>
      </c>
      <c r="AJ228" s="719"/>
      <c r="AK228" s="15"/>
      <c r="AL228" s="15"/>
    </row>
    <row r="229" spans="1:38" ht="15.5" x14ac:dyDescent="0.3">
      <c r="A229" s="230"/>
      <c r="B229" s="212"/>
      <c r="C229" s="408"/>
      <c r="D229" s="213"/>
      <c r="E229" s="62"/>
      <c r="F229" s="146"/>
      <c r="G229" s="147"/>
      <c r="H229" s="148"/>
      <c r="I229" s="146"/>
      <c r="J229" s="148"/>
      <c r="K229" s="117"/>
      <c r="L229" s="118"/>
      <c r="M229" s="206"/>
      <c r="N229" s="251"/>
      <c r="O229" s="207"/>
      <c r="P229" s="214"/>
      <c r="Q229" s="216"/>
      <c r="R229" s="206"/>
      <c r="S229" s="207"/>
      <c r="T229" s="214"/>
      <c r="U229" s="216"/>
      <c r="V229" s="117"/>
      <c r="W229" s="118"/>
      <c r="X229" s="244"/>
      <c r="Y229" s="245"/>
      <c r="Z229" s="246"/>
      <c r="AA229" s="146"/>
      <c r="AB229" s="148"/>
      <c r="AC229" s="117"/>
      <c r="AD229" s="118"/>
      <c r="AE229" s="31"/>
      <c r="AF229" s="194"/>
      <c r="AG229" s="197"/>
      <c r="AH229" s="195"/>
      <c r="AI229" s="718" t="s">
        <v>1030</v>
      </c>
      <c r="AJ229" s="719"/>
      <c r="AK229" s="15"/>
      <c r="AL229" s="15"/>
    </row>
    <row r="230" spans="1:38" ht="75" x14ac:dyDescent="0.3">
      <c r="A230" s="178"/>
      <c r="B230" s="303" t="s">
        <v>1366</v>
      </c>
      <c r="C230" s="344"/>
      <c r="D230" s="304"/>
      <c r="E230" s="66" t="s">
        <v>1367</v>
      </c>
      <c r="F230" s="223" t="s">
        <v>1104</v>
      </c>
      <c r="G230" s="398"/>
      <c r="H230" s="224"/>
      <c r="I230" s="192" t="s">
        <v>1105</v>
      </c>
      <c r="J230" s="193"/>
      <c r="K230" s="171" t="s">
        <v>1106</v>
      </c>
      <c r="L230" s="172"/>
      <c r="M230" s="604">
        <v>230</v>
      </c>
      <c r="N230" s="698"/>
      <c r="O230" s="605"/>
      <c r="P230" s="149"/>
      <c r="Q230" s="150"/>
      <c r="R230" s="387">
        <v>80</v>
      </c>
      <c r="S230" s="388"/>
      <c r="T230" s="149"/>
      <c r="U230" s="150"/>
      <c r="V230" s="171" t="s">
        <v>1368</v>
      </c>
      <c r="W230" s="172"/>
      <c r="X230" s="252">
        <v>380</v>
      </c>
      <c r="Y230" s="253"/>
      <c r="Z230" s="254"/>
      <c r="AA230" s="192" t="s">
        <v>1369</v>
      </c>
      <c r="AB230" s="193"/>
      <c r="AC230" s="112" t="s">
        <v>675</v>
      </c>
      <c r="AD230" s="113"/>
      <c r="AE230" s="24" t="s">
        <v>1372</v>
      </c>
      <c r="AF230" s="233" t="s">
        <v>683</v>
      </c>
      <c r="AG230" s="305"/>
      <c r="AH230" s="234"/>
      <c r="AI230" s="718"/>
      <c r="AJ230" s="719"/>
      <c r="AK230" s="15"/>
      <c r="AL230" s="15"/>
    </row>
    <row r="231" spans="1:38" ht="30" x14ac:dyDescent="0.3">
      <c r="A231" s="179"/>
      <c r="B231" s="292"/>
      <c r="C231" s="314"/>
      <c r="D231" s="293"/>
      <c r="E231" s="67"/>
      <c r="F231" s="225"/>
      <c r="G231" s="391"/>
      <c r="H231" s="226"/>
      <c r="I231" s="194"/>
      <c r="J231" s="195"/>
      <c r="K231" s="212"/>
      <c r="L231" s="213"/>
      <c r="M231" s="608"/>
      <c r="N231" s="700"/>
      <c r="O231" s="609"/>
      <c r="P231" s="151"/>
      <c r="Q231" s="152"/>
      <c r="R231" s="389"/>
      <c r="S231" s="390"/>
      <c r="T231" s="151"/>
      <c r="U231" s="152"/>
      <c r="V231" s="212"/>
      <c r="W231" s="213"/>
      <c r="X231" s="255"/>
      <c r="Y231" s="256"/>
      <c r="Z231" s="257"/>
      <c r="AA231" s="194"/>
      <c r="AB231" s="195"/>
      <c r="AC231" s="155" t="s">
        <v>1370</v>
      </c>
      <c r="AD231" s="157"/>
      <c r="AE231" s="31" t="s">
        <v>1373</v>
      </c>
      <c r="AF231" s="235"/>
      <c r="AG231" s="270"/>
      <c r="AH231" s="236"/>
      <c r="AI231" s="718"/>
      <c r="AJ231" s="719"/>
      <c r="AK231" s="15"/>
      <c r="AL231" s="15"/>
    </row>
    <row r="232" spans="1:38" ht="120" x14ac:dyDescent="0.3">
      <c r="A232" s="179"/>
      <c r="B232" s="292"/>
      <c r="C232" s="314"/>
      <c r="D232" s="293"/>
      <c r="E232" s="19" t="s">
        <v>1375</v>
      </c>
      <c r="F232" s="346" t="s">
        <v>1376</v>
      </c>
      <c r="G232" s="347"/>
      <c r="H232" s="348"/>
      <c r="I232" s="460"/>
      <c r="J232" s="461"/>
      <c r="K232" s="460"/>
      <c r="L232" s="461"/>
      <c r="M232" s="349">
        <v>390</v>
      </c>
      <c r="N232" s="423"/>
      <c r="O232" s="350"/>
      <c r="P232" s="349">
        <v>41</v>
      </c>
      <c r="Q232" s="350"/>
      <c r="R232" s="349">
        <v>148</v>
      </c>
      <c r="S232" s="350"/>
      <c r="T232" s="349">
        <v>5</v>
      </c>
      <c r="U232" s="350"/>
      <c r="V232" s="351" t="s">
        <v>1377</v>
      </c>
      <c r="W232" s="352"/>
      <c r="X232" s="334">
        <v>850</v>
      </c>
      <c r="Y232" s="335"/>
      <c r="Z232" s="336"/>
      <c r="AA232" s="337" t="s">
        <v>842</v>
      </c>
      <c r="AB232" s="338"/>
      <c r="AC232" s="155" t="s">
        <v>677</v>
      </c>
      <c r="AD232" s="157"/>
      <c r="AE232" s="31" t="s">
        <v>1374</v>
      </c>
      <c r="AF232" s="235"/>
      <c r="AG232" s="270"/>
      <c r="AH232" s="236"/>
      <c r="AI232" s="718"/>
      <c r="AJ232" s="719"/>
      <c r="AK232" s="15"/>
      <c r="AL232" s="15"/>
    </row>
    <row r="233" spans="1:38" ht="75" x14ac:dyDescent="0.3">
      <c r="A233" s="179"/>
      <c r="B233" s="292"/>
      <c r="C233" s="314"/>
      <c r="D233" s="293"/>
      <c r="E233" s="19" t="s">
        <v>1378</v>
      </c>
      <c r="F233" s="346" t="s">
        <v>1379</v>
      </c>
      <c r="G233" s="347"/>
      <c r="H233" s="348"/>
      <c r="I233" s="460"/>
      <c r="J233" s="461"/>
      <c r="K233" s="460"/>
      <c r="L233" s="461"/>
      <c r="M233" s="349">
        <v>460</v>
      </c>
      <c r="N233" s="423"/>
      <c r="O233" s="350"/>
      <c r="P233" s="349">
        <v>48</v>
      </c>
      <c r="Q233" s="350"/>
      <c r="R233" s="349">
        <v>180</v>
      </c>
      <c r="S233" s="350"/>
      <c r="T233" s="349">
        <v>7</v>
      </c>
      <c r="U233" s="350"/>
      <c r="V233" s="346" t="s">
        <v>1380</v>
      </c>
      <c r="W233" s="348"/>
      <c r="X233" s="334">
        <v>980</v>
      </c>
      <c r="Y233" s="335"/>
      <c r="Z233" s="336"/>
      <c r="AA233" s="337" t="s">
        <v>1023</v>
      </c>
      <c r="AB233" s="338"/>
      <c r="AC233" s="155" t="s">
        <v>678</v>
      </c>
      <c r="AD233" s="157"/>
      <c r="AE233" s="31"/>
      <c r="AF233" s="235"/>
      <c r="AG233" s="270"/>
      <c r="AH233" s="236"/>
      <c r="AI233" s="718"/>
      <c r="AJ233" s="719"/>
      <c r="AK233" s="15"/>
      <c r="AL233" s="15"/>
    </row>
    <row r="234" spans="1:38" ht="75" x14ac:dyDescent="0.3">
      <c r="A234" s="230"/>
      <c r="B234" s="290"/>
      <c r="C234" s="345"/>
      <c r="D234" s="291"/>
      <c r="E234" s="19" t="s">
        <v>1381</v>
      </c>
      <c r="F234" s="346" t="s">
        <v>1382</v>
      </c>
      <c r="G234" s="347"/>
      <c r="H234" s="348"/>
      <c r="I234" s="460"/>
      <c r="J234" s="461"/>
      <c r="K234" s="460"/>
      <c r="L234" s="461"/>
      <c r="M234" s="349">
        <v>500</v>
      </c>
      <c r="N234" s="423"/>
      <c r="O234" s="350"/>
      <c r="P234" s="349">
        <v>53</v>
      </c>
      <c r="Q234" s="350"/>
      <c r="R234" s="349">
        <v>210</v>
      </c>
      <c r="S234" s="350"/>
      <c r="T234" s="349">
        <v>9</v>
      </c>
      <c r="U234" s="350"/>
      <c r="V234" s="346" t="s">
        <v>1383</v>
      </c>
      <c r="W234" s="348"/>
      <c r="X234" s="334">
        <v>1100</v>
      </c>
      <c r="Y234" s="335"/>
      <c r="Z234" s="336"/>
      <c r="AA234" s="337" t="s">
        <v>1023</v>
      </c>
      <c r="AB234" s="338"/>
      <c r="AC234" s="160" t="s">
        <v>1371</v>
      </c>
      <c r="AD234" s="161"/>
      <c r="AE234" s="31"/>
      <c r="AF234" s="237"/>
      <c r="AG234" s="306"/>
      <c r="AH234" s="238"/>
      <c r="AI234" s="718"/>
      <c r="AJ234" s="719"/>
      <c r="AK234" s="15"/>
      <c r="AL234" s="15"/>
    </row>
    <row r="235" spans="1:38" ht="75" x14ac:dyDescent="0.3">
      <c r="A235" s="178"/>
      <c r="B235" s="303" t="s">
        <v>1366</v>
      </c>
      <c r="C235" s="344"/>
      <c r="D235" s="304"/>
      <c r="E235" s="66" t="s">
        <v>1384</v>
      </c>
      <c r="F235" s="223" t="s">
        <v>1104</v>
      </c>
      <c r="G235" s="398"/>
      <c r="H235" s="224"/>
      <c r="I235" s="192" t="s">
        <v>1105</v>
      </c>
      <c r="J235" s="193"/>
      <c r="K235" s="171" t="s">
        <v>1106</v>
      </c>
      <c r="L235" s="172"/>
      <c r="M235" s="604">
        <v>230</v>
      </c>
      <c r="N235" s="698"/>
      <c r="O235" s="605"/>
      <c r="P235" s="149"/>
      <c r="Q235" s="150"/>
      <c r="R235" s="387">
        <v>80</v>
      </c>
      <c r="S235" s="388"/>
      <c r="T235" s="149"/>
      <c r="U235" s="150"/>
      <c r="V235" s="171" t="s">
        <v>1368</v>
      </c>
      <c r="W235" s="172"/>
      <c r="X235" s="252">
        <v>380</v>
      </c>
      <c r="Y235" s="253"/>
      <c r="Z235" s="254"/>
      <c r="AA235" s="192" t="s">
        <v>1369</v>
      </c>
      <c r="AB235" s="193"/>
      <c r="AC235" s="112" t="s">
        <v>675</v>
      </c>
      <c r="AD235" s="113"/>
      <c r="AE235" s="24" t="s">
        <v>1372</v>
      </c>
      <c r="AF235" s="233" t="s">
        <v>683</v>
      </c>
      <c r="AG235" s="305"/>
      <c r="AH235" s="234"/>
      <c r="AI235" s="718"/>
      <c r="AJ235" s="719"/>
      <c r="AK235" s="15"/>
      <c r="AL235" s="15"/>
    </row>
    <row r="236" spans="1:38" ht="150" x14ac:dyDescent="0.3">
      <c r="A236" s="179"/>
      <c r="B236" s="292"/>
      <c r="C236" s="314"/>
      <c r="D236" s="293"/>
      <c r="E236" s="67"/>
      <c r="F236" s="225"/>
      <c r="G236" s="391"/>
      <c r="H236" s="226"/>
      <c r="I236" s="194"/>
      <c r="J236" s="195"/>
      <c r="K236" s="212"/>
      <c r="L236" s="213"/>
      <c r="M236" s="608"/>
      <c r="N236" s="700"/>
      <c r="O236" s="609"/>
      <c r="P236" s="151"/>
      <c r="Q236" s="152"/>
      <c r="R236" s="389"/>
      <c r="S236" s="390"/>
      <c r="T236" s="151"/>
      <c r="U236" s="152"/>
      <c r="V236" s="212"/>
      <c r="W236" s="213"/>
      <c r="X236" s="255"/>
      <c r="Y236" s="256"/>
      <c r="Z236" s="257"/>
      <c r="AA236" s="194"/>
      <c r="AB236" s="195"/>
      <c r="AC236" s="155" t="s">
        <v>1385</v>
      </c>
      <c r="AD236" s="157"/>
      <c r="AE236" s="31" t="s">
        <v>1387</v>
      </c>
      <c r="AF236" s="235"/>
      <c r="AG236" s="270"/>
      <c r="AH236" s="236"/>
      <c r="AI236" s="718"/>
      <c r="AJ236" s="719"/>
      <c r="AK236" s="15"/>
      <c r="AL236" s="15"/>
    </row>
    <row r="237" spans="1:38" ht="75" x14ac:dyDescent="0.3">
      <c r="A237" s="179"/>
      <c r="B237" s="292"/>
      <c r="C237" s="314"/>
      <c r="D237" s="293"/>
      <c r="E237" s="19" t="s">
        <v>1388</v>
      </c>
      <c r="F237" s="346" t="s">
        <v>1376</v>
      </c>
      <c r="G237" s="347"/>
      <c r="H237" s="348"/>
      <c r="I237" s="460"/>
      <c r="J237" s="461"/>
      <c r="K237" s="460"/>
      <c r="L237" s="461"/>
      <c r="M237" s="349">
        <v>390</v>
      </c>
      <c r="N237" s="423"/>
      <c r="O237" s="350"/>
      <c r="P237" s="349">
        <v>41</v>
      </c>
      <c r="Q237" s="350"/>
      <c r="R237" s="349">
        <v>148</v>
      </c>
      <c r="S237" s="350"/>
      <c r="T237" s="349">
        <v>5</v>
      </c>
      <c r="U237" s="350"/>
      <c r="V237" s="351" t="s">
        <v>1377</v>
      </c>
      <c r="W237" s="352"/>
      <c r="X237" s="334">
        <v>850</v>
      </c>
      <c r="Y237" s="335"/>
      <c r="Z237" s="336"/>
      <c r="AA237" s="337" t="s">
        <v>842</v>
      </c>
      <c r="AB237" s="338"/>
      <c r="AC237" s="155" t="s">
        <v>677</v>
      </c>
      <c r="AD237" s="157"/>
      <c r="AE237" s="31"/>
      <c r="AF237" s="235"/>
      <c r="AG237" s="270"/>
      <c r="AH237" s="236"/>
      <c r="AI237" s="718"/>
      <c r="AJ237" s="719"/>
      <c r="AK237" s="15"/>
      <c r="AL237" s="15"/>
    </row>
    <row r="238" spans="1:38" ht="75" x14ac:dyDescent="0.3">
      <c r="A238" s="179"/>
      <c r="B238" s="292"/>
      <c r="C238" s="314"/>
      <c r="D238" s="293"/>
      <c r="E238" s="19" t="s">
        <v>1389</v>
      </c>
      <c r="F238" s="346" t="s">
        <v>1379</v>
      </c>
      <c r="G238" s="347"/>
      <c r="H238" s="348"/>
      <c r="I238" s="460"/>
      <c r="J238" s="461"/>
      <c r="K238" s="460"/>
      <c r="L238" s="461"/>
      <c r="M238" s="349">
        <v>460</v>
      </c>
      <c r="N238" s="423"/>
      <c r="O238" s="350"/>
      <c r="P238" s="349">
        <v>48</v>
      </c>
      <c r="Q238" s="350"/>
      <c r="R238" s="349">
        <v>180</v>
      </c>
      <c r="S238" s="350"/>
      <c r="T238" s="349">
        <v>7</v>
      </c>
      <c r="U238" s="350"/>
      <c r="V238" s="346" t="s">
        <v>1380</v>
      </c>
      <c r="W238" s="348"/>
      <c r="X238" s="334">
        <v>980</v>
      </c>
      <c r="Y238" s="335"/>
      <c r="Z238" s="336"/>
      <c r="AA238" s="337" t="s">
        <v>1023</v>
      </c>
      <c r="AB238" s="338"/>
      <c r="AC238" s="155" t="s">
        <v>678</v>
      </c>
      <c r="AD238" s="157"/>
      <c r="AE238" s="31"/>
      <c r="AF238" s="235"/>
      <c r="AG238" s="270"/>
      <c r="AH238" s="236"/>
      <c r="AI238" s="718"/>
      <c r="AJ238" s="719"/>
      <c r="AK238" s="15"/>
      <c r="AL238" s="15"/>
    </row>
    <row r="239" spans="1:38" ht="75" x14ac:dyDescent="0.3">
      <c r="A239" s="230"/>
      <c r="B239" s="290"/>
      <c r="C239" s="345"/>
      <c r="D239" s="291"/>
      <c r="E239" s="19" t="s">
        <v>1390</v>
      </c>
      <c r="F239" s="346" t="s">
        <v>1382</v>
      </c>
      <c r="G239" s="347"/>
      <c r="H239" s="348"/>
      <c r="I239" s="460"/>
      <c r="J239" s="461"/>
      <c r="K239" s="460"/>
      <c r="L239" s="461"/>
      <c r="M239" s="349">
        <v>500</v>
      </c>
      <c r="N239" s="423"/>
      <c r="O239" s="350"/>
      <c r="P239" s="349">
        <v>53</v>
      </c>
      <c r="Q239" s="350"/>
      <c r="R239" s="349">
        <v>210</v>
      </c>
      <c r="S239" s="350"/>
      <c r="T239" s="349">
        <v>9</v>
      </c>
      <c r="U239" s="350"/>
      <c r="V239" s="346" t="s">
        <v>1383</v>
      </c>
      <c r="W239" s="348"/>
      <c r="X239" s="334">
        <v>1100</v>
      </c>
      <c r="Y239" s="335"/>
      <c r="Z239" s="336"/>
      <c r="AA239" s="337" t="s">
        <v>1023</v>
      </c>
      <c r="AB239" s="338"/>
      <c r="AC239" s="160" t="s">
        <v>1386</v>
      </c>
      <c r="AD239" s="161"/>
      <c r="AE239" s="31"/>
      <c r="AF239" s="237"/>
      <c r="AG239" s="306"/>
      <c r="AH239" s="238"/>
      <c r="AI239" s="718"/>
      <c r="AJ239" s="719"/>
      <c r="AK239" s="15"/>
      <c r="AL239" s="15"/>
    </row>
    <row r="240" spans="1:38" ht="90" x14ac:dyDescent="0.25">
      <c r="A240" s="178"/>
      <c r="B240" s="303" t="s">
        <v>1391</v>
      </c>
      <c r="C240" s="344"/>
      <c r="D240" s="304"/>
      <c r="E240" s="19" t="s">
        <v>1392</v>
      </c>
      <c r="F240" s="346" t="s">
        <v>919</v>
      </c>
      <c r="G240" s="347"/>
      <c r="H240" s="348"/>
      <c r="I240" s="337" t="s">
        <v>717</v>
      </c>
      <c r="J240" s="338"/>
      <c r="K240" s="460"/>
      <c r="L240" s="461"/>
      <c r="M240" s="351" t="s">
        <v>1393</v>
      </c>
      <c r="N240" s="444"/>
      <c r="O240" s="352"/>
      <c r="P240" s="351" t="s">
        <v>1394</v>
      </c>
      <c r="Q240" s="352"/>
      <c r="R240" s="351" t="s">
        <v>1127</v>
      </c>
      <c r="S240" s="352"/>
      <c r="T240" s="349">
        <v>3</v>
      </c>
      <c r="U240" s="350"/>
      <c r="V240" s="351" t="s">
        <v>1395</v>
      </c>
      <c r="W240" s="352"/>
      <c r="X240" s="717" t="s">
        <v>1396</v>
      </c>
      <c r="Y240" s="661"/>
      <c r="Z240" s="662"/>
      <c r="AA240" s="337" t="s">
        <v>1114</v>
      </c>
      <c r="AB240" s="338"/>
      <c r="AC240" s="223" t="s">
        <v>675</v>
      </c>
      <c r="AD240" s="224"/>
      <c r="AE240" s="35" t="s">
        <v>1399</v>
      </c>
      <c r="AF240" s="303" t="s">
        <v>1401</v>
      </c>
      <c r="AG240" s="344"/>
      <c r="AH240" s="304"/>
      <c r="AI240" s="24" t="s">
        <v>1402</v>
      </c>
      <c r="AJ240" s="34" t="s">
        <v>1404</v>
      </c>
      <c r="AK240" s="15"/>
      <c r="AL240" s="15"/>
    </row>
    <row r="241" spans="1:38" ht="120" x14ac:dyDescent="0.25">
      <c r="A241" s="179"/>
      <c r="B241" s="292"/>
      <c r="C241" s="314"/>
      <c r="D241" s="293"/>
      <c r="E241" s="19" t="s">
        <v>1409</v>
      </c>
      <c r="F241" s="346" t="s">
        <v>919</v>
      </c>
      <c r="G241" s="347"/>
      <c r="H241" s="348"/>
      <c r="I241" s="337" t="s">
        <v>717</v>
      </c>
      <c r="J241" s="338"/>
      <c r="K241" s="460"/>
      <c r="L241" s="461"/>
      <c r="M241" s="351" t="s">
        <v>1393</v>
      </c>
      <c r="N241" s="444"/>
      <c r="O241" s="352"/>
      <c r="P241" s="351" t="s">
        <v>1394</v>
      </c>
      <c r="Q241" s="352"/>
      <c r="R241" s="351" t="s">
        <v>1127</v>
      </c>
      <c r="S241" s="352"/>
      <c r="T241" s="349">
        <v>3</v>
      </c>
      <c r="U241" s="350"/>
      <c r="V241" s="351" t="s">
        <v>1395</v>
      </c>
      <c r="W241" s="352"/>
      <c r="X241" s="717" t="s">
        <v>1396</v>
      </c>
      <c r="Y241" s="661"/>
      <c r="Z241" s="662"/>
      <c r="AA241" s="337" t="s">
        <v>1114</v>
      </c>
      <c r="AB241" s="338"/>
      <c r="AC241" s="239" t="s">
        <v>1397</v>
      </c>
      <c r="AD241" s="240"/>
      <c r="AE241" s="36" t="s">
        <v>848</v>
      </c>
      <c r="AF241" s="292"/>
      <c r="AG241" s="314"/>
      <c r="AH241" s="293"/>
      <c r="AI241" s="31" t="s">
        <v>1403</v>
      </c>
      <c r="AJ241" s="34" t="s">
        <v>1405</v>
      </c>
      <c r="AK241" s="15"/>
      <c r="AL241" s="15"/>
    </row>
    <row r="242" spans="1:38" ht="120" x14ac:dyDescent="0.25">
      <c r="A242" s="179"/>
      <c r="B242" s="292"/>
      <c r="C242" s="314"/>
      <c r="D242" s="293"/>
      <c r="E242" s="19" t="s">
        <v>1410</v>
      </c>
      <c r="F242" s="346" t="s">
        <v>919</v>
      </c>
      <c r="G242" s="347"/>
      <c r="H242" s="348"/>
      <c r="I242" s="337" t="s">
        <v>717</v>
      </c>
      <c r="J242" s="338"/>
      <c r="K242" s="460"/>
      <c r="L242" s="461"/>
      <c r="M242" s="351" t="s">
        <v>1393</v>
      </c>
      <c r="N242" s="444"/>
      <c r="O242" s="352"/>
      <c r="P242" s="351" t="s">
        <v>1394</v>
      </c>
      <c r="Q242" s="352"/>
      <c r="R242" s="351" t="s">
        <v>1127</v>
      </c>
      <c r="S242" s="352"/>
      <c r="T242" s="349">
        <v>3</v>
      </c>
      <c r="U242" s="350"/>
      <c r="V242" s="351" t="s">
        <v>1395</v>
      </c>
      <c r="W242" s="352"/>
      <c r="X242" s="717" t="s">
        <v>1396</v>
      </c>
      <c r="Y242" s="661"/>
      <c r="Z242" s="662"/>
      <c r="AA242" s="337" t="s">
        <v>1114</v>
      </c>
      <c r="AB242" s="338"/>
      <c r="AC242" s="239" t="s">
        <v>678</v>
      </c>
      <c r="AD242" s="240"/>
      <c r="AE242" s="36" t="s">
        <v>1400</v>
      </c>
      <c r="AF242" s="292"/>
      <c r="AG242" s="314"/>
      <c r="AH242" s="293"/>
      <c r="AI242" s="31"/>
      <c r="AJ242" s="34" t="s">
        <v>1406</v>
      </c>
      <c r="AK242" s="15"/>
      <c r="AL242" s="15"/>
    </row>
    <row r="243" spans="1:38" ht="90" x14ac:dyDescent="0.25">
      <c r="A243" s="230"/>
      <c r="B243" s="290"/>
      <c r="C243" s="345"/>
      <c r="D243" s="291"/>
      <c r="E243" s="19" t="s">
        <v>1411</v>
      </c>
      <c r="F243" s="346" t="s">
        <v>919</v>
      </c>
      <c r="G243" s="347"/>
      <c r="H243" s="348"/>
      <c r="I243" s="337" t="s">
        <v>717</v>
      </c>
      <c r="J243" s="338"/>
      <c r="K243" s="460"/>
      <c r="L243" s="461"/>
      <c r="M243" s="351" t="s">
        <v>1393</v>
      </c>
      <c r="N243" s="444"/>
      <c r="O243" s="352"/>
      <c r="P243" s="351" t="s">
        <v>1394</v>
      </c>
      <c r="Q243" s="352"/>
      <c r="R243" s="351" t="s">
        <v>1127</v>
      </c>
      <c r="S243" s="352"/>
      <c r="T243" s="349">
        <v>3</v>
      </c>
      <c r="U243" s="350"/>
      <c r="V243" s="351" t="s">
        <v>1395</v>
      </c>
      <c r="W243" s="352"/>
      <c r="X243" s="717" t="s">
        <v>1396</v>
      </c>
      <c r="Y243" s="661"/>
      <c r="Z243" s="662"/>
      <c r="AA243" s="337" t="s">
        <v>1114</v>
      </c>
      <c r="AB243" s="338"/>
      <c r="AC243" s="239" t="s">
        <v>1398</v>
      </c>
      <c r="AD243" s="240"/>
      <c r="AE243" s="36"/>
      <c r="AF243" s="292"/>
      <c r="AG243" s="314"/>
      <c r="AH243" s="293"/>
      <c r="AI243" s="31"/>
      <c r="AJ243" s="34" t="s">
        <v>1404</v>
      </c>
      <c r="AK243" s="15"/>
      <c r="AL243" s="15"/>
    </row>
    <row r="244" spans="1:38" ht="90" x14ac:dyDescent="0.25">
      <c r="A244" s="178"/>
      <c r="B244" s="303" t="s">
        <v>1412</v>
      </c>
      <c r="C244" s="344"/>
      <c r="D244" s="304"/>
      <c r="E244" s="19" t="s">
        <v>1413</v>
      </c>
      <c r="F244" s="346" t="s">
        <v>1414</v>
      </c>
      <c r="G244" s="347"/>
      <c r="H244" s="348"/>
      <c r="I244" s="337" t="s">
        <v>922</v>
      </c>
      <c r="J244" s="338"/>
      <c r="K244" s="460"/>
      <c r="L244" s="461"/>
      <c r="M244" s="353" t="s">
        <v>1415</v>
      </c>
      <c r="N244" s="354"/>
      <c r="O244" s="355"/>
      <c r="P244" s="351" t="s">
        <v>1416</v>
      </c>
      <c r="Q244" s="352"/>
      <c r="R244" s="349">
        <v>3</v>
      </c>
      <c r="S244" s="350"/>
      <c r="T244" s="349">
        <v>2</v>
      </c>
      <c r="U244" s="350"/>
      <c r="V244" s="351" t="s">
        <v>1417</v>
      </c>
      <c r="W244" s="352"/>
      <c r="X244" s="717" t="s">
        <v>1418</v>
      </c>
      <c r="Y244" s="661"/>
      <c r="Z244" s="662"/>
      <c r="AA244" s="337" t="s">
        <v>1419</v>
      </c>
      <c r="AB244" s="338"/>
      <c r="AC244" s="239"/>
      <c r="AD244" s="240"/>
      <c r="AE244" s="36"/>
      <c r="AF244" s="292"/>
      <c r="AG244" s="314"/>
      <c r="AH244" s="293"/>
      <c r="AI244" s="24" t="s">
        <v>1420</v>
      </c>
      <c r="AJ244" s="34" t="s">
        <v>1405</v>
      </c>
      <c r="AK244" s="15"/>
      <c r="AL244" s="15"/>
    </row>
    <row r="245" spans="1:38" ht="120" x14ac:dyDescent="0.25">
      <c r="A245" s="179"/>
      <c r="B245" s="292"/>
      <c r="C245" s="314"/>
      <c r="D245" s="293"/>
      <c r="E245" s="19" t="s">
        <v>1422</v>
      </c>
      <c r="F245" s="346" t="s">
        <v>1414</v>
      </c>
      <c r="G245" s="347"/>
      <c r="H245" s="348"/>
      <c r="I245" s="337" t="s">
        <v>922</v>
      </c>
      <c r="J245" s="338"/>
      <c r="K245" s="460"/>
      <c r="L245" s="461"/>
      <c r="M245" s="353" t="s">
        <v>1415</v>
      </c>
      <c r="N245" s="354"/>
      <c r="O245" s="355"/>
      <c r="P245" s="351" t="s">
        <v>1416</v>
      </c>
      <c r="Q245" s="352"/>
      <c r="R245" s="349">
        <v>3</v>
      </c>
      <c r="S245" s="350"/>
      <c r="T245" s="349">
        <v>2</v>
      </c>
      <c r="U245" s="350"/>
      <c r="V245" s="351" t="s">
        <v>1417</v>
      </c>
      <c r="W245" s="352"/>
      <c r="X245" s="717" t="s">
        <v>1418</v>
      </c>
      <c r="Y245" s="661"/>
      <c r="Z245" s="662"/>
      <c r="AA245" s="337" t="s">
        <v>1419</v>
      </c>
      <c r="AB245" s="338"/>
      <c r="AC245" s="239"/>
      <c r="AD245" s="240"/>
      <c r="AE245" s="36"/>
      <c r="AF245" s="292"/>
      <c r="AG245" s="314"/>
      <c r="AH245" s="293"/>
      <c r="AI245" s="31" t="s">
        <v>1421</v>
      </c>
      <c r="AJ245" s="34" t="s">
        <v>1406</v>
      </c>
      <c r="AK245" s="15"/>
      <c r="AL245" s="15"/>
    </row>
    <row r="246" spans="1:38" ht="60" x14ac:dyDescent="0.25">
      <c r="A246" s="179"/>
      <c r="B246" s="292"/>
      <c r="C246" s="314"/>
      <c r="D246" s="293"/>
      <c r="E246" s="19" t="s">
        <v>1423</v>
      </c>
      <c r="F246" s="346" t="s">
        <v>1414</v>
      </c>
      <c r="G246" s="347"/>
      <c r="H246" s="348"/>
      <c r="I246" s="337" t="s">
        <v>922</v>
      </c>
      <c r="J246" s="338"/>
      <c r="K246" s="460"/>
      <c r="L246" s="461"/>
      <c r="M246" s="353" t="s">
        <v>1415</v>
      </c>
      <c r="N246" s="354"/>
      <c r="O246" s="355"/>
      <c r="P246" s="351" t="s">
        <v>1416</v>
      </c>
      <c r="Q246" s="352"/>
      <c r="R246" s="349">
        <v>3</v>
      </c>
      <c r="S246" s="350"/>
      <c r="T246" s="349">
        <v>2</v>
      </c>
      <c r="U246" s="350"/>
      <c r="V246" s="351" t="s">
        <v>1417</v>
      </c>
      <c r="W246" s="352"/>
      <c r="X246" s="717" t="s">
        <v>1418</v>
      </c>
      <c r="Y246" s="661"/>
      <c r="Z246" s="662"/>
      <c r="AA246" s="337" t="s">
        <v>1419</v>
      </c>
      <c r="AB246" s="338"/>
      <c r="AC246" s="239"/>
      <c r="AD246" s="240"/>
      <c r="AE246" s="36"/>
      <c r="AF246" s="292"/>
      <c r="AG246" s="314"/>
      <c r="AH246" s="293"/>
      <c r="AI246" s="31"/>
      <c r="AJ246" s="34" t="s">
        <v>1404</v>
      </c>
      <c r="AK246" s="15"/>
      <c r="AL246" s="15"/>
    </row>
    <row r="247" spans="1:38" ht="60" x14ac:dyDescent="0.25">
      <c r="A247" s="230"/>
      <c r="B247" s="290"/>
      <c r="C247" s="345"/>
      <c r="D247" s="291"/>
      <c r="E247" s="19" t="s">
        <v>1424</v>
      </c>
      <c r="F247" s="346" t="s">
        <v>1414</v>
      </c>
      <c r="G247" s="347"/>
      <c r="H247" s="348"/>
      <c r="I247" s="337" t="s">
        <v>922</v>
      </c>
      <c r="J247" s="338"/>
      <c r="K247" s="460"/>
      <c r="L247" s="461"/>
      <c r="M247" s="353" t="s">
        <v>1415</v>
      </c>
      <c r="N247" s="354"/>
      <c r="O247" s="355"/>
      <c r="P247" s="351" t="s">
        <v>1416</v>
      </c>
      <c r="Q247" s="352"/>
      <c r="R247" s="349">
        <v>3</v>
      </c>
      <c r="S247" s="350"/>
      <c r="T247" s="349">
        <v>2</v>
      </c>
      <c r="U247" s="350"/>
      <c r="V247" s="351" t="s">
        <v>1417</v>
      </c>
      <c r="W247" s="352"/>
      <c r="X247" s="717" t="s">
        <v>1418</v>
      </c>
      <c r="Y247" s="661"/>
      <c r="Z247" s="662"/>
      <c r="AA247" s="337" t="s">
        <v>1419</v>
      </c>
      <c r="AB247" s="338"/>
      <c r="AC247" s="225"/>
      <c r="AD247" s="226"/>
      <c r="AE247" s="36"/>
      <c r="AF247" s="290"/>
      <c r="AG247" s="345"/>
      <c r="AH247" s="291"/>
      <c r="AI247" s="31"/>
      <c r="AJ247" s="34" t="s">
        <v>1404</v>
      </c>
      <c r="AK247" s="15"/>
      <c r="AL247" s="15"/>
    </row>
    <row r="248" spans="1:38" ht="105" x14ac:dyDescent="0.3">
      <c r="A248" s="178"/>
      <c r="B248" s="303" t="s">
        <v>1425</v>
      </c>
      <c r="C248" s="344"/>
      <c r="D248" s="304"/>
      <c r="E248" s="28" t="s">
        <v>1426</v>
      </c>
      <c r="F248" s="192" t="s">
        <v>1427</v>
      </c>
      <c r="G248" s="196"/>
      <c r="H248" s="193"/>
      <c r="I248" s="192" t="s">
        <v>1428</v>
      </c>
      <c r="J248" s="193"/>
      <c r="K248" s="114" t="s">
        <v>1429</v>
      </c>
      <c r="L248" s="116"/>
      <c r="M248" s="114" t="s">
        <v>1079</v>
      </c>
      <c r="N248" s="115"/>
      <c r="O248" s="116"/>
      <c r="P248" s="183">
        <v>10</v>
      </c>
      <c r="Q248" s="185"/>
      <c r="R248" s="183">
        <v>18</v>
      </c>
      <c r="S248" s="185"/>
      <c r="T248" s="183">
        <v>6</v>
      </c>
      <c r="U248" s="185"/>
      <c r="V248" s="114" t="s">
        <v>1080</v>
      </c>
      <c r="W248" s="116"/>
      <c r="X248" s="227">
        <v>158</v>
      </c>
      <c r="Y248" s="228"/>
      <c r="Z248" s="229"/>
      <c r="AA248" s="110" t="s">
        <v>1081</v>
      </c>
      <c r="AB248" s="111"/>
      <c r="AC248" s="223" t="s">
        <v>675</v>
      </c>
      <c r="AD248" s="224"/>
      <c r="AE248" s="24" t="s">
        <v>1432</v>
      </c>
      <c r="AF248" s="171" t="s">
        <v>1434</v>
      </c>
      <c r="AG248" s="407"/>
      <c r="AH248" s="172"/>
      <c r="AI248" s="24" t="s">
        <v>1436</v>
      </c>
      <c r="AJ248" s="34" t="s">
        <v>1405</v>
      </c>
      <c r="AK248" s="15"/>
      <c r="AL248" s="15"/>
    </row>
    <row r="249" spans="1:38" ht="105" x14ac:dyDescent="0.3">
      <c r="A249" s="179"/>
      <c r="B249" s="292"/>
      <c r="C249" s="314"/>
      <c r="D249" s="293"/>
      <c r="E249" s="28" t="s">
        <v>1438</v>
      </c>
      <c r="F249" s="272"/>
      <c r="G249" s="282"/>
      <c r="H249" s="273"/>
      <c r="I249" s="272"/>
      <c r="J249" s="273"/>
      <c r="K249" s="114" t="s">
        <v>1429</v>
      </c>
      <c r="L249" s="116"/>
      <c r="M249" s="114" t="s">
        <v>1083</v>
      </c>
      <c r="N249" s="115"/>
      <c r="O249" s="116"/>
      <c r="P249" s="183">
        <v>10</v>
      </c>
      <c r="Q249" s="185"/>
      <c r="R249" s="183">
        <v>18</v>
      </c>
      <c r="S249" s="185"/>
      <c r="T249" s="183">
        <v>6</v>
      </c>
      <c r="U249" s="185"/>
      <c r="V249" s="114" t="s">
        <v>1084</v>
      </c>
      <c r="W249" s="116"/>
      <c r="X249" s="227">
        <v>158</v>
      </c>
      <c r="Y249" s="228"/>
      <c r="Z249" s="229"/>
      <c r="AA249" s="110" t="s">
        <v>1038</v>
      </c>
      <c r="AB249" s="111"/>
      <c r="AC249" s="239" t="s">
        <v>1430</v>
      </c>
      <c r="AD249" s="240"/>
      <c r="AE249" s="31" t="s">
        <v>681</v>
      </c>
      <c r="AF249" s="162" t="s">
        <v>1435</v>
      </c>
      <c r="AG249" s="170"/>
      <c r="AH249" s="163"/>
      <c r="AI249" s="31" t="s">
        <v>681</v>
      </c>
      <c r="AJ249" s="34" t="s">
        <v>1406</v>
      </c>
      <c r="AK249" s="15"/>
      <c r="AL249" s="15"/>
    </row>
    <row r="250" spans="1:38" ht="105" x14ac:dyDescent="0.3">
      <c r="A250" s="179"/>
      <c r="B250" s="292"/>
      <c r="C250" s="314"/>
      <c r="D250" s="293"/>
      <c r="E250" s="28" t="s">
        <v>1439</v>
      </c>
      <c r="F250" s="194"/>
      <c r="G250" s="197"/>
      <c r="H250" s="195"/>
      <c r="I250" s="194"/>
      <c r="J250" s="195"/>
      <c r="K250" s="114" t="s">
        <v>1429</v>
      </c>
      <c r="L250" s="116"/>
      <c r="M250" s="114" t="s">
        <v>1083</v>
      </c>
      <c r="N250" s="115"/>
      <c r="O250" s="116"/>
      <c r="P250" s="183">
        <v>10</v>
      </c>
      <c r="Q250" s="185"/>
      <c r="R250" s="183">
        <v>18</v>
      </c>
      <c r="S250" s="185"/>
      <c r="T250" s="183">
        <v>6</v>
      </c>
      <c r="U250" s="185"/>
      <c r="V250" s="114" t="s">
        <v>1084</v>
      </c>
      <c r="W250" s="116"/>
      <c r="X250" s="227">
        <v>158</v>
      </c>
      <c r="Y250" s="228"/>
      <c r="Z250" s="229"/>
      <c r="AA250" s="110" t="s">
        <v>1038</v>
      </c>
      <c r="AB250" s="111"/>
      <c r="AC250" s="239" t="s">
        <v>677</v>
      </c>
      <c r="AD250" s="240"/>
      <c r="AE250" s="31" t="s">
        <v>1433</v>
      </c>
      <c r="AF250" s="162" t="s">
        <v>984</v>
      </c>
      <c r="AG250" s="170"/>
      <c r="AH250" s="163"/>
      <c r="AI250" s="31" t="s">
        <v>1437</v>
      </c>
      <c r="AJ250" s="34" t="s">
        <v>1404</v>
      </c>
      <c r="AK250" s="15"/>
      <c r="AL250" s="15"/>
    </row>
    <row r="251" spans="1:38" ht="105" x14ac:dyDescent="0.3">
      <c r="A251" s="179"/>
      <c r="B251" s="292"/>
      <c r="C251" s="314"/>
      <c r="D251" s="293"/>
      <c r="E251" s="28" t="s">
        <v>1440</v>
      </c>
      <c r="F251" s="192" t="s">
        <v>1441</v>
      </c>
      <c r="G251" s="196"/>
      <c r="H251" s="193"/>
      <c r="I251" s="192" t="s">
        <v>1442</v>
      </c>
      <c r="J251" s="193"/>
      <c r="K251" s="114" t="s">
        <v>1443</v>
      </c>
      <c r="L251" s="116"/>
      <c r="M251" s="114" t="s">
        <v>1088</v>
      </c>
      <c r="N251" s="115"/>
      <c r="O251" s="116"/>
      <c r="P251" s="183">
        <v>11</v>
      </c>
      <c r="Q251" s="185"/>
      <c r="R251" s="183">
        <v>24</v>
      </c>
      <c r="S251" s="185"/>
      <c r="T251" s="183">
        <v>6</v>
      </c>
      <c r="U251" s="185"/>
      <c r="V251" s="114" t="s">
        <v>1089</v>
      </c>
      <c r="W251" s="116"/>
      <c r="X251" s="227">
        <v>195</v>
      </c>
      <c r="Y251" s="228"/>
      <c r="Z251" s="229"/>
      <c r="AA251" s="110" t="s">
        <v>1090</v>
      </c>
      <c r="AB251" s="111"/>
      <c r="AC251" s="239" t="s">
        <v>678</v>
      </c>
      <c r="AD251" s="240"/>
      <c r="AE251" s="31"/>
      <c r="AF251" s="162"/>
      <c r="AG251" s="170"/>
      <c r="AH251" s="163"/>
      <c r="AI251" s="31"/>
      <c r="AJ251" s="34" t="s">
        <v>1404</v>
      </c>
      <c r="AK251" s="15"/>
      <c r="AL251" s="15"/>
    </row>
    <row r="252" spans="1:38" ht="180" x14ac:dyDescent="0.3">
      <c r="A252" s="179"/>
      <c r="B252" s="292"/>
      <c r="C252" s="314"/>
      <c r="D252" s="293"/>
      <c r="E252" s="28" t="s">
        <v>1444</v>
      </c>
      <c r="F252" s="272"/>
      <c r="G252" s="282"/>
      <c r="H252" s="273"/>
      <c r="I252" s="272"/>
      <c r="J252" s="273"/>
      <c r="K252" s="114" t="s">
        <v>1443</v>
      </c>
      <c r="L252" s="116"/>
      <c r="M252" s="114" t="s">
        <v>1092</v>
      </c>
      <c r="N252" s="115"/>
      <c r="O252" s="116"/>
      <c r="P252" s="183">
        <v>11</v>
      </c>
      <c r="Q252" s="185"/>
      <c r="R252" s="183">
        <v>24</v>
      </c>
      <c r="S252" s="185"/>
      <c r="T252" s="183">
        <v>6</v>
      </c>
      <c r="U252" s="185"/>
      <c r="V252" s="114" t="s">
        <v>1093</v>
      </c>
      <c r="W252" s="116"/>
      <c r="X252" s="227">
        <v>195</v>
      </c>
      <c r="Y252" s="228"/>
      <c r="Z252" s="229"/>
      <c r="AA252" s="110" t="s">
        <v>842</v>
      </c>
      <c r="AB252" s="111"/>
      <c r="AC252" s="239" t="s">
        <v>1431</v>
      </c>
      <c r="AD252" s="240"/>
      <c r="AE252" s="31"/>
      <c r="AF252" s="162"/>
      <c r="AG252" s="170"/>
      <c r="AH252" s="163"/>
      <c r="AI252" s="31"/>
      <c r="AJ252" s="34" t="s">
        <v>1407</v>
      </c>
      <c r="AK252" s="15"/>
      <c r="AL252" s="15"/>
    </row>
    <row r="253" spans="1:38" ht="105" x14ac:dyDescent="0.3">
      <c r="A253" s="179"/>
      <c r="B253" s="292"/>
      <c r="C253" s="314"/>
      <c r="D253" s="293"/>
      <c r="E253" s="28" t="s">
        <v>1445</v>
      </c>
      <c r="F253" s="194"/>
      <c r="G253" s="197"/>
      <c r="H253" s="195"/>
      <c r="I253" s="194"/>
      <c r="J253" s="195"/>
      <c r="K253" s="114" t="s">
        <v>1443</v>
      </c>
      <c r="L253" s="116"/>
      <c r="M253" s="114" t="s">
        <v>1092</v>
      </c>
      <c r="N253" s="115"/>
      <c r="O253" s="116"/>
      <c r="P253" s="183">
        <v>11</v>
      </c>
      <c r="Q253" s="185"/>
      <c r="R253" s="183">
        <v>24</v>
      </c>
      <c r="S253" s="185"/>
      <c r="T253" s="183">
        <v>6</v>
      </c>
      <c r="U253" s="185"/>
      <c r="V253" s="114" t="s">
        <v>1093</v>
      </c>
      <c r="W253" s="116"/>
      <c r="X253" s="227">
        <v>195</v>
      </c>
      <c r="Y253" s="228"/>
      <c r="Z253" s="229"/>
      <c r="AA253" s="110" t="s">
        <v>842</v>
      </c>
      <c r="AB253" s="111"/>
      <c r="AC253" s="239"/>
      <c r="AD253" s="240"/>
      <c r="AE253" s="31"/>
      <c r="AF253" s="162"/>
      <c r="AG253" s="170"/>
      <c r="AH253" s="163"/>
      <c r="AI253" s="31"/>
      <c r="AJ253" s="34" t="s">
        <v>1408</v>
      </c>
      <c r="AK253" s="15"/>
      <c r="AL253" s="15"/>
    </row>
    <row r="254" spans="1:38" ht="105" x14ac:dyDescent="0.3">
      <c r="A254" s="179"/>
      <c r="B254" s="292"/>
      <c r="C254" s="314"/>
      <c r="D254" s="293"/>
      <c r="E254" s="28" t="s">
        <v>1446</v>
      </c>
      <c r="F254" s="192" t="s">
        <v>1447</v>
      </c>
      <c r="G254" s="196"/>
      <c r="H254" s="193"/>
      <c r="I254" s="192" t="s">
        <v>1448</v>
      </c>
      <c r="J254" s="193"/>
      <c r="K254" s="114" t="s">
        <v>1449</v>
      </c>
      <c r="L254" s="116"/>
      <c r="M254" s="114" t="s">
        <v>1450</v>
      </c>
      <c r="N254" s="115"/>
      <c r="O254" s="116"/>
      <c r="P254" s="183">
        <v>12</v>
      </c>
      <c r="Q254" s="185"/>
      <c r="R254" s="183">
        <v>24</v>
      </c>
      <c r="S254" s="185"/>
      <c r="T254" s="183">
        <v>7</v>
      </c>
      <c r="U254" s="185"/>
      <c r="V254" s="114" t="s">
        <v>1451</v>
      </c>
      <c r="W254" s="116"/>
      <c r="X254" s="227">
        <v>208</v>
      </c>
      <c r="Y254" s="228"/>
      <c r="Z254" s="229"/>
      <c r="AA254" s="110" t="s">
        <v>1452</v>
      </c>
      <c r="AB254" s="111"/>
      <c r="AC254" s="239"/>
      <c r="AD254" s="240"/>
      <c r="AE254" s="31"/>
      <c r="AF254" s="162"/>
      <c r="AG254" s="170"/>
      <c r="AH254" s="163"/>
      <c r="AI254" s="31"/>
      <c r="AJ254" s="34" t="s">
        <v>1408</v>
      </c>
      <c r="AK254" s="15"/>
      <c r="AL254" s="15"/>
    </row>
    <row r="255" spans="1:38" ht="105" x14ac:dyDescent="0.3">
      <c r="A255" s="179"/>
      <c r="B255" s="292"/>
      <c r="C255" s="314"/>
      <c r="D255" s="293"/>
      <c r="E255" s="28" t="s">
        <v>1453</v>
      </c>
      <c r="F255" s="272"/>
      <c r="G255" s="282"/>
      <c r="H255" s="273"/>
      <c r="I255" s="272"/>
      <c r="J255" s="273"/>
      <c r="K255" s="114" t="s">
        <v>1449</v>
      </c>
      <c r="L255" s="116"/>
      <c r="M255" s="114" t="s">
        <v>1454</v>
      </c>
      <c r="N255" s="115"/>
      <c r="O255" s="116"/>
      <c r="P255" s="183">
        <v>12</v>
      </c>
      <c r="Q255" s="185"/>
      <c r="R255" s="183">
        <v>24</v>
      </c>
      <c r="S255" s="185"/>
      <c r="T255" s="183">
        <v>7</v>
      </c>
      <c r="U255" s="185"/>
      <c r="V255" s="114" t="s">
        <v>1455</v>
      </c>
      <c r="W255" s="116"/>
      <c r="X255" s="227">
        <v>208</v>
      </c>
      <c r="Y255" s="228"/>
      <c r="Z255" s="229"/>
      <c r="AA255" s="110" t="s">
        <v>1452</v>
      </c>
      <c r="AB255" s="111"/>
      <c r="AC255" s="239"/>
      <c r="AD255" s="240"/>
      <c r="AE255" s="31"/>
      <c r="AF255" s="162"/>
      <c r="AG255" s="170"/>
      <c r="AH255" s="163"/>
      <c r="AI255" s="31"/>
      <c r="AJ255" s="34" t="s">
        <v>1408</v>
      </c>
      <c r="AK255" s="15"/>
      <c r="AL255" s="15"/>
    </row>
    <row r="256" spans="1:38" ht="105" x14ac:dyDescent="0.3">
      <c r="A256" s="230"/>
      <c r="B256" s="290"/>
      <c r="C256" s="345"/>
      <c r="D256" s="291"/>
      <c r="E256" s="28" t="s">
        <v>1456</v>
      </c>
      <c r="F256" s="194"/>
      <c r="G256" s="197"/>
      <c r="H256" s="195"/>
      <c r="I256" s="194"/>
      <c r="J256" s="195"/>
      <c r="K256" s="114" t="s">
        <v>1449</v>
      </c>
      <c r="L256" s="116"/>
      <c r="M256" s="114" t="s">
        <v>1454</v>
      </c>
      <c r="N256" s="115"/>
      <c r="O256" s="116"/>
      <c r="P256" s="183">
        <v>12</v>
      </c>
      <c r="Q256" s="185"/>
      <c r="R256" s="183">
        <v>24</v>
      </c>
      <c r="S256" s="185"/>
      <c r="T256" s="183">
        <v>7</v>
      </c>
      <c r="U256" s="185"/>
      <c r="V256" s="114" t="s">
        <v>1455</v>
      </c>
      <c r="W256" s="116"/>
      <c r="X256" s="227">
        <v>208</v>
      </c>
      <c r="Y256" s="228"/>
      <c r="Z256" s="229"/>
      <c r="AA256" s="110" t="s">
        <v>1452</v>
      </c>
      <c r="AB256" s="111"/>
      <c r="AC256" s="225"/>
      <c r="AD256" s="226"/>
      <c r="AE256" s="31"/>
      <c r="AF256" s="212"/>
      <c r="AG256" s="408"/>
      <c r="AH256" s="213"/>
      <c r="AI256" s="31"/>
      <c r="AJ256" s="34" t="s">
        <v>1408</v>
      </c>
      <c r="AK256" s="15"/>
      <c r="AL256" s="15"/>
    </row>
    <row r="257" spans="1:38" ht="90" x14ac:dyDescent="0.25">
      <c r="A257" s="178"/>
      <c r="B257" s="303" t="s">
        <v>1457</v>
      </c>
      <c r="C257" s="344"/>
      <c r="D257" s="304"/>
      <c r="E257" s="28" t="s">
        <v>1458</v>
      </c>
      <c r="F257" s="233" t="s">
        <v>1459</v>
      </c>
      <c r="G257" s="305"/>
      <c r="H257" s="234"/>
      <c r="I257" s="192" t="s">
        <v>1460</v>
      </c>
      <c r="J257" s="193"/>
      <c r="K257" s="114" t="s">
        <v>1461</v>
      </c>
      <c r="L257" s="116"/>
      <c r="M257" s="114" t="s">
        <v>1462</v>
      </c>
      <c r="N257" s="115"/>
      <c r="O257" s="116"/>
      <c r="P257" s="114" t="s">
        <v>706</v>
      </c>
      <c r="Q257" s="116"/>
      <c r="R257" s="114" t="s">
        <v>1463</v>
      </c>
      <c r="S257" s="116"/>
      <c r="T257" s="183">
        <v>2</v>
      </c>
      <c r="U257" s="185"/>
      <c r="V257" s="114" t="s">
        <v>1464</v>
      </c>
      <c r="W257" s="116"/>
      <c r="X257" s="488" t="s">
        <v>1465</v>
      </c>
      <c r="Y257" s="489"/>
      <c r="Z257" s="490"/>
      <c r="AA257" s="110" t="s">
        <v>1071</v>
      </c>
      <c r="AB257" s="111"/>
      <c r="AC257" s="409" t="s">
        <v>675</v>
      </c>
      <c r="AD257" s="411"/>
      <c r="AE257" s="35" t="s">
        <v>1468</v>
      </c>
      <c r="AF257" s="303" t="s">
        <v>1323</v>
      </c>
      <c r="AG257" s="344"/>
      <c r="AH257" s="304"/>
      <c r="AI257" s="178"/>
      <c r="AJ257" s="34" t="s">
        <v>1404</v>
      </c>
      <c r="AK257" s="15"/>
      <c r="AL257" s="15"/>
    </row>
    <row r="258" spans="1:38" ht="60" x14ac:dyDescent="0.25">
      <c r="A258" s="179"/>
      <c r="B258" s="292"/>
      <c r="C258" s="314"/>
      <c r="D258" s="293"/>
      <c r="E258" s="28" t="s">
        <v>1470</v>
      </c>
      <c r="F258" s="235"/>
      <c r="G258" s="270"/>
      <c r="H258" s="236"/>
      <c r="I258" s="272"/>
      <c r="J258" s="273"/>
      <c r="K258" s="114" t="s">
        <v>1461</v>
      </c>
      <c r="L258" s="116"/>
      <c r="M258" s="114" t="s">
        <v>1462</v>
      </c>
      <c r="N258" s="115"/>
      <c r="O258" s="116"/>
      <c r="P258" s="114" t="s">
        <v>706</v>
      </c>
      <c r="Q258" s="116"/>
      <c r="R258" s="114" t="s">
        <v>1463</v>
      </c>
      <c r="S258" s="116"/>
      <c r="T258" s="183">
        <v>2</v>
      </c>
      <c r="U258" s="185"/>
      <c r="V258" s="114" t="s">
        <v>1464</v>
      </c>
      <c r="W258" s="116"/>
      <c r="X258" s="488" t="s">
        <v>1465</v>
      </c>
      <c r="Y258" s="489"/>
      <c r="Z258" s="490"/>
      <c r="AA258" s="110" t="s">
        <v>1071</v>
      </c>
      <c r="AB258" s="111"/>
      <c r="AC258" s="401" t="s">
        <v>1466</v>
      </c>
      <c r="AD258" s="403"/>
      <c r="AE258" s="36" t="s">
        <v>681</v>
      </c>
      <c r="AF258" s="292"/>
      <c r="AG258" s="314"/>
      <c r="AH258" s="293"/>
      <c r="AI258" s="179"/>
      <c r="AJ258" s="34" t="s">
        <v>1405</v>
      </c>
      <c r="AK258" s="15"/>
      <c r="AL258" s="15"/>
    </row>
    <row r="259" spans="1:38" ht="75" x14ac:dyDescent="0.25">
      <c r="A259" s="179"/>
      <c r="B259" s="292"/>
      <c r="C259" s="314"/>
      <c r="D259" s="293"/>
      <c r="E259" s="28" t="s">
        <v>1471</v>
      </c>
      <c r="F259" s="235"/>
      <c r="G259" s="270"/>
      <c r="H259" s="236"/>
      <c r="I259" s="194"/>
      <c r="J259" s="195"/>
      <c r="K259" s="114" t="s">
        <v>1461</v>
      </c>
      <c r="L259" s="116"/>
      <c r="M259" s="114" t="s">
        <v>1472</v>
      </c>
      <c r="N259" s="115"/>
      <c r="O259" s="116"/>
      <c r="P259" s="114" t="s">
        <v>706</v>
      </c>
      <c r="Q259" s="116"/>
      <c r="R259" s="114" t="s">
        <v>1463</v>
      </c>
      <c r="S259" s="116"/>
      <c r="T259" s="183">
        <v>2</v>
      </c>
      <c r="U259" s="185"/>
      <c r="V259" s="114" t="s">
        <v>1473</v>
      </c>
      <c r="W259" s="116"/>
      <c r="X259" s="488" t="s">
        <v>1474</v>
      </c>
      <c r="Y259" s="489"/>
      <c r="Z259" s="490"/>
      <c r="AA259" s="110" t="s">
        <v>1369</v>
      </c>
      <c r="AB259" s="111"/>
      <c r="AC259" s="401" t="s">
        <v>677</v>
      </c>
      <c r="AD259" s="403"/>
      <c r="AE259" s="36" t="s">
        <v>1469</v>
      </c>
      <c r="AF259" s="292"/>
      <c r="AG259" s="314"/>
      <c r="AH259" s="293"/>
      <c r="AI259" s="179"/>
      <c r="AJ259" s="34" t="s">
        <v>1406</v>
      </c>
      <c r="AK259" s="15"/>
      <c r="AL259" s="15"/>
    </row>
    <row r="260" spans="1:38" ht="60" x14ac:dyDescent="0.25">
      <c r="A260" s="179"/>
      <c r="B260" s="292"/>
      <c r="C260" s="314"/>
      <c r="D260" s="293"/>
      <c r="E260" s="28" t="s">
        <v>1475</v>
      </c>
      <c r="F260" s="235"/>
      <c r="G260" s="270"/>
      <c r="H260" s="236"/>
      <c r="I260" s="192" t="s">
        <v>1476</v>
      </c>
      <c r="J260" s="193"/>
      <c r="K260" s="114" t="s">
        <v>1461</v>
      </c>
      <c r="L260" s="116"/>
      <c r="M260" s="114" t="s">
        <v>1477</v>
      </c>
      <c r="N260" s="115"/>
      <c r="O260" s="116"/>
      <c r="P260" s="114" t="s">
        <v>706</v>
      </c>
      <c r="Q260" s="116"/>
      <c r="R260" s="114" t="s">
        <v>1463</v>
      </c>
      <c r="S260" s="116"/>
      <c r="T260" s="183">
        <v>2</v>
      </c>
      <c r="U260" s="185"/>
      <c r="V260" s="114" t="s">
        <v>1478</v>
      </c>
      <c r="W260" s="116"/>
      <c r="X260" s="488" t="s">
        <v>1479</v>
      </c>
      <c r="Y260" s="489"/>
      <c r="Z260" s="490"/>
      <c r="AA260" s="110" t="s">
        <v>826</v>
      </c>
      <c r="AB260" s="111"/>
      <c r="AC260" s="401" t="s">
        <v>678</v>
      </c>
      <c r="AD260" s="403"/>
      <c r="AE260" s="36"/>
      <c r="AF260" s="292"/>
      <c r="AG260" s="314"/>
      <c r="AH260" s="293"/>
      <c r="AI260" s="179"/>
      <c r="AJ260" s="34" t="s">
        <v>1405</v>
      </c>
      <c r="AK260" s="15"/>
      <c r="AL260" s="15"/>
    </row>
    <row r="261" spans="1:38" ht="60" x14ac:dyDescent="0.25">
      <c r="A261" s="179"/>
      <c r="B261" s="292"/>
      <c r="C261" s="314"/>
      <c r="D261" s="293"/>
      <c r="E261" s="28" t="s">
        <v>1480</v>
      </c>
      <c r="F261" s="235"/>
      <c r="G261" s="270"/>
      <c r="H261" s="236"/>
      <c r="I261" s="272"/>
      <c r="J261" s="273"/>
      <c r="K261" s="114" t="s">
        <v>1461</v>
      </c>
      <c r="L261" s="116"/>
      <c r="M261" s="114" t="s">
        <v>1477</v>
      </c>
      <c r="N261" s="115"/>
      <c r="O261" s="116"/>
      <c r="P261" s="114" t="s">
        <v>706</v>
      </c>
      <c r="Q261" s="116"/>
      <c r="R261" s="114" t="s">
        <v>1463</v>
      </c>
      <c r="S261" s="116"/>
      <c r="T261" s="183">
        <v>2</v>
      </c>
      <c r="U261" s="185"/>
      <c r="V261" s="114" t="s">
        <v>1478</v>
      </c>
      <c r="W261" s="116"/>
      <c r="X261" s="488" t="s">
        <v>1479</v>
      </c>
      <c r="Y261" s="489"/>
      <c r="Z261" s="490"/>
      <c r="AA261" s="110" t="s">
        <v>826</v>
      </c>
      <c r="AB261" s="111"/>
      <c r="AC261" s="401" t="s">
        <v>1467</v>
      </c>
      <c r="AD261" s="403"/>
      <c r="AE261" s="36"/>
      <c r="AF261" s="292"/>
      <c r="AG261" s="314"/>
      <c r="AH261" s="293"/>
      <c r="AI261" s="179"/>
      <c r="AJ261" s="34" t="s">
        <v>1406</v>
      </c>
      <c r="AK261" s="15"/>
      <c r="AL261" s="15"/>
    </row>
    <row r="262" spans="1:38" ht="60" x14ac:dyDescent="0.25">
      <c r="A262" s="179"/>
      <c r="B262" s="292"/>
      <c r="C262" s="314"/>
      <c r="D262" s="293"/>
      <c r="E262" s="28" t="s">
        <v>1481</v>
      </c>
      <c r="F262" s="235"/>
      <c r="G262" s="270"/>
      <c r="H262" s="236"/>
      <c r="I262" s="194"/>
      <c r="J262" s="195"/>
      <c r="K262" s="114" t="s">
        <v>1461</v>
      </c>
      <c r="L262" s="116"/>
      <c r="M262" s="114" t="s">
        <v>1482</v>
      </c>
      <c r="N262" s="115"/>
      <c r="O262" s="116"/>
      <c r="P262" s="114" t="s">
        <v>706</v>
      </c>
      <c r="Q262" s="116"/>
      <c r="R262" s="114" t="s">
        <v>1463</v>
      </c>
      <c r="S262" s="116"/>
      <c r="T262" s="183">
        <v>2</v>
      </c>
      <c r="U262" s="185"/>
      <c r="V262" s="114" t="s">
        <v>1483</v>
      </c>
      <c r="W262" s="116"/>
      <c r="X262" s="488" t="s">
        <v>1484</v>
      </c>
      <c r="Y262" s="489"/>
      <c r="Z262" s="490"/>
      <c r="AA262" s="110" t="s">
        <v>1452</v>
      </c>
      <c r="AB262" s="111"/>
      <c r="AC262" s="401"/>
      <c r="AD262" s="403"/>
      <c r="AE262" s="36"/>
      <c r="AF262" s="292"/>
      <c r="AG262" s="314"/>
      <c r="AH262" s="293"/>
      <c r="AI262" s="179"/>
      <c r="AJ262" s="34" t="s">
        <v>1405</v>
      </c>
      <c r="AK262" s="15"/>
      <c r="AL262" s="15"/>
    </row>
    <row r="263" spans="1:38" ht="60" x14ac:dyDescent="0.25">
      <c r="A263" s="179"/>
      <c r="B263" s="292"/>
      <c r="C263" s="314"/>
      <c r="D263" s="293"/>
      <c r="E263" s="28" t="s">
        <v>1485</v>
      </c>
      <c r="F263" s="235"/>
      <c r="G263" s="270"/>
      <c r="H263" s="236"/>
      <c r="I263" s="192" t="s">
        <v>924</v>
      </c>
      <c r="J263" s="193"/>
      <c r="K263" s="114" t="s">
        <v>1461</v>
      </c>
      <c r="L263" s="116"/>
      <c r="M263" s="114" t="s">
        <v>1486</v>
      </c>
      <c r="N263" s="115"/>
      <c r="O263" s="116"/>
      <c r="P263" s="114" t="s">
        <v>706</v>
      </c>
      <c r="Q263" s="116"/>
      <c r="R263" s="114" t="s">
        <v>1463</v>
      </c>
      <c r="S263" s="116"/>
      <c r="T263" s="183">
        <v>2</v>
      </c>
      <c r="U263" s="185"/>
      <c r="V263" s="114" t="s">
        <v>1487</v>
      </c>
      <c r="W263" s="116"/>
      <c r="X263" s="488" t="s">
        <v>1488</v>
      </c>
      <c r="Y263" s="489"/>
      <c r="Z263" s="490"/>
      <c r="AA263" s="110" t="s">
        <v>674</v>
      </c>
      <c r="AB263" s="111"/>
      <c r="AC263" s="401"/>
      <c r="AD263" s="403"/>
      <c r="AE263" s="36"/>
      <c r="AF263" s="292"/>
      <c r="AG263" s="314"/>
      <c r="AH263" s="293"/>
      <c r="AI263" s="179"/>
      <c r="AJ263" s="34" t="s">
        <v>1406</v>
      </c>
      <c r="AK263" s="15"/>
      <c r="AL263" s="15"/>
    </row>
    <row r="264" spans="1:38" ht="60" x14ac:dyDescent="0.25">
      <c r="A264" s="179"/>
      <c r="B264" s="292"/>
      <c r="C264" s="314"/>
      <c r="D264" s="293"/>
      <c r="E264" s="28" t="s">
        <v>1489</v>
      </c>
      <c r="F264" s="235"/>
      <c r="G264" s="270"/>
      <c r="H264" s="236"/>
      <c r="I264" s="272"/>
      <c r="J264" s="273"/>
      <c r="K264" s="114" t="s">
        <v>1461</v>
      </c>
      <c r="L264" s="116"/>
      <c r="M264" s="114" t="s">
        <v>1486</v>
      </c>
      <c r="N264" s="115"/>
      <c r="O264" s="116"/>
      <c r="P264" s="114" t="s">
        <v>706</v>
      </c>
      <c r="Q264" s="116"/>
      <c r="R264" s="114" t="s">
        <v>1463</v>
      </c>
      <c r="S264" s="116"/>
      <c r="T264" s="183">
        <v>2</v>
      </c>
      <c r="U264" s="185"/>
      <c r="V264" s="114" t="s">
        <v>1487</v>
      </c>
      <c r="W264" s="116"/>
      <c r="X264" s="488" t="s">
        <v>1488</v>
      </c>
      <c r="Y264" s="489"/>
      <c r="Z264" s="490"/>
      <c r="AA264" s="110" t="s">
        <v>674</v>
      </c>
      <c r="AB264" s="111"/>
      <c r="AC264" s="401"/>
      <c r="AD264" s="403"/>
      <c r="AE264" s="36"/>
      <c r="AF264" s="292"/>
      <c r="AG264" s="314"/>
      <c r="AH264" s="293"/>
      <c r="AI264" s="179"/>
      <c r="AJ264" s="34"/>
      <c r="AK264" s="15"/>
      <c r="AL264" s="15"/>
    </row>
    <row r="265" spans="1:38" ht="60" x14ac:dyDescent="0.25">
      <c r="A265" s="179"/>
      <c r="B265" s="292"/>
      <c r="C265" s="314"/>
      <c r="D265" s="293"/>
      <c r="E265" s="28" t="s">
        <v>1490</v>
      </c>
      <c r="F265" s="235"/>
      <c r="G265" s="270"/>
      <c r="H265" s="236"/>
      <c r="I265" s="194"/>
      <c r="J265" s="195"/>
      <c r="K265" s="114" t="s">
        <v>1461</v>
      </c>
      <c r="L265" s="116"/>
      <c r="M265" s="183">
        <v>21</v>
      </c>
      <c r="N265" s="184"/>
      <c r="O265" s="185"/>
      <c r="P265" s="114" t="s">
        <v>706</v>
      </c>
      <c r="Q265" s="116"/>
      <c r="R265" s="114" t="s">
        <v>1463</v>
      </c>
      <c r="S265" s="116"/>
      <c r="T265" s="183">
        <v>2</v>
      </c>
      <c r="U265" s="185"/>
      <c r="V265" s="114" t="s">
        <v>1491</v>
      </c>
      <c r="W265" s="116"/>
      <c r="X265" s="488" t="s">
        <v>1492</v>
      </c>
      <c r="Y265" s="489"/>
      <c r="Z265" s="490"/>
      <c r="AA265" s="110" t="s">
        <v>879</v>
      </c>
      <c r="AB265" s="111"/>
      <c r="AC265" s="401"/>
      <c r="AD265" s="403"/>
      <c r="AE265" s="36"/>
      <c r="AF265" s="292"/>
      <c r="AG265" s="314"/>
      <c r="AH265" s="293"/>
      <c r="AI265" s="179"/>
      <c r="AJ265" s="34"/>
      <c r="AK265" s="15"/>
      <c r="AL265" s="15"/>
    </row>
    <row r="266" spans="1:38" ht="60" x14ac:dyDescent="0.25">
      <c r="A266" s="179"/>
      <c r="B266" s="292"/>
      <c r="C266" s="314"/>
      <c r="D266" s="293"/>
      <c r="E266" s="28" t="s">
        <v>1493</v>
      </c>
      <c r="F266" s="235"/>
      <c r="G266" s="270"/>
      <c r="H266" s="236"/>
      <c r="I266" s="387">
        <v>2</v>
      </c>
      <c r="J266" s="388"/>
      <c r="K266" s="114" t="s">
        <v>1461</v>
      </c>
      <c r="L266" s="116"/>
      <c r="M266" s="114" t="s">
        <v>1494</v>
      </c>
      <c r="N266" s="115"/>
      <c r="O266" s="116"/>
      <c r="P266" s="114" t="s">
        <v>706</v>
      </c>
      <c r="Q266" s="116"/>
      <c r="R266" s="114" t="s">
        <v>1463</v>
      </c>
      <c r="S266" s="116"/>
      <c r="T266" s="183">
        <v>2</v>
      </c>
      <c r="U266" s="185"/>
      <c r="V266" s="114" t="s">
        <v>1495</v>
      </c>
      <c r="W266" s="116"/>
      <c r="X266" s="488" t="s">
        <v>1496</v>
      </c>
      <c r="Y266" s="489"/>
      <c r="Z266" s="490"/>
      <c r="AA266" s="110" t="s">
        <v>722</v>
      </c>
      <c r="AB266" s="111"/>
      <c r="AC266" s="401"/>
      <c r="AD266" s="403"/>
      <c r="AE266" s="36"/>
      <c r="AF266" s="292"/>
      <c r="AG266" s="314"/>
      <c r="AH266" s="293"/>
      <c r="AI266" s="179"/>
      <c r="AJ266" s="34"/>
      <c r="AK266" s="15"/>
      <c r="AL266" s="15"/>
    </row>
    <row r="267" spans="1:38" ht="60" x14ac:dyDescent="0.25">
      <c r="A267" s="179"/>
      <c r="B267" s="292"/>
      <c r="C267" s="314"/>
      <c r="D267" s="293"/>
      <c r="E267" s="28" t="s">
        <v>1497</v>
      </c>
      <c r="F267" s="235"/>
      <c r="G267" s="270"/>
      <c r="H267" s="236"/>
      <c r="I267" s="506"/>
      <c r="J267" s="507"/>
      <c r="K267" s="114" t="s">
        <v>1461</v>
      </c>
      <c r="L267" s="116"/>
      <c r="M267" s="114" t="s">
        <v>1494</v>
      </c>
      <c r="N267" s="115"/>
      <c r="O267" s="116"/>
      <c r="P267" s="114" t="s">
        <v>706</v>
      </c>
      <c r="Q267" s="116"/>
      <c r="R267" s="114" t="s">
        <v>1463</v>
      </c>
      <c r="S267" s="116"/>
      <c r="T267" s="183">
        <v>2</v>
      </c>
      <c r="U267" s="185"/>
      <c r="V267" s="114" t="s">
        <v>1495</v>
      </c>
      <c r="W267" s="116"/>
      <c r="X267" s="488" t="s">
        <v>1496</v>
      </c>
      <c r="Y267" s="489"/>
      <c r="Z267" s="490"/>
      <c r="AA267" s="110" t="s">
        <v>722</v>
      </c>
      <c r="AB267" s="111"/>
      <c r="AC267" s="401"/>
      <c r="AD267" s="403"/>
      <c r="AE267" s="36"/>
      <c r="AF267" s="292"/>
      <c r="AG267" s="314"/>
      <c r="AH267" s="293"/>
      <c r="AI267" s="179"/>
      <c r="AJ267" s="34"/>
      <c r="AK267" s="15"/>
      <c r="AL267" s="15"/>
    </row>
    <row r="268" spans="1:38" ht="60" x14ac:dyDescent="0.25">
      <c r="A268" s="179"/>
      <c r="B268" s="292"/>
      <c r="C268" s="314"/>
      <c r="D268" s="293"/>
      <c r="E268" s="28" t="s">
        <v>1498</v>
      </c>
      <c r="F268" s="235"/>
      <c r="G268" s="270"/>
      <c r="H268" s="236"/>
      <c r="I268" s="389"/>
      <c r="J268" s="390"/>
      <c r="K268" s="114" t="s">
        <v>1461</v>
      </c>
      <c r="L268" s="116"/>
      <c r="M268" s="114" t="s">
        <v>903</v>
      </c>
      <c r="N268" s="115"/>
      <c r="O268" s="116"/>
      <c r="P268" s="114" t="s">
        <v>706</v>
      </c>
      <c r="Q268" s="116"/>
      <c r="R268" s="114" t="s">
        <v>1463</v>
      </c>
      <c r="S268" s="116"/>
      <c r="T268" s="183">
        <v>2</v>
      </c>
      <c r="U268" s="185"/>
      <c r="V268" s="114" t="s">
        <v>1499</v>
      </c>
      <c r="W268" s="116"/>
      <c r="X268" s="488" t="s">
        <v>1500</v>
      </c>
      <c r="Y268" s="489"/>
      <c r="Z268" s="490"/>
      <c r="AA268" s="110" t="s">
        <v>722</v>
      </c>
      <c r="AB268" s="111"/>
      <c r="AC268" s="401"/>
      <c r="AD268" s="403"/>
      <c r="AE268" s="36"/>
      <c r="AF268" s="292"/>
      <c r="AG268" s="314"/>
      <c r="AH268" s="293"/>
      <c r="AI268" s="179"/>
      <c r="AJ268" s="34"/>
      <c r="AK268" s="15"/>
      <c r="AL268" s="15"/>
    </row>
    <row r="269" spans="1:38" ht="60" x14ac:dyDescent="0.25">
      <c r="A269" s="179"/>
      <c r="B269" s="292"/>
      <c r="C269" s="314"/>
      <c r="D269" s="293"/>
      <c r="E269" s="28" t="s">
        <v>1501</v>
      </c>
      <c r="F269" s="235"/>
      <c r="G269" s="270"/>
      <c r="H269" s="236"/>
      <c r="I269" s="192" t="s">
        <v>706</v>
      </c>
      <c r="J269" s="193"/>
      <c r="K269" s="114" t="s">
        <v>1461</v>
      </c>
      <c r="L269" s="116"/>
      <c r="M269" s="114" t="s">
        <v>1502</v>
      </c>
      <c r="N269" s="115"/>
      <c r="O269" s="116"/>
      <c r="P269" s="114" t="s">
        <v>706</v>
      </c>
      <c r="Q269" s="116"/>
      <c r="R269" s="114" t="s">
        <v>1463</v>
      </c>
      <c r="S269" s="116"/>
      <c r="T269" s="183">
        <v>2</v>
      </c>
      <c r="U269" s="185"/>
      <c r="V269" s="114" t="s">
        <v>1503</v>
      </c>
      <c r="W269" s="116"/>
      <c r="X269" s="488" t="s">
        <v>1504</v>
      </c>
      <c r="Y269" s="489"/>
      <c r="Z269" s="490"/>
      <c r="AA269" s="110" t="s">
        <v>889</v>
      </c>
      <c r="AB269" s="111"/>
      <c r="AC269" s="401"/>
      <c r="AD269" s="403"/>
      <c r="AE269" s="36"/>
      <c r="AF269" s="292"/>
      <c r="AG269" s="314"/>
      <c r="AH269" s="293"/>
      <c r="AI269" s="179"/>
      <c r="AJ269" s="34"/>
      <c r="AK269" s="15"/>
      <c r="AL269" s="15"/>
    </row>
    <row r="270" spans="1:38" ht="60" x14ac:dyDescent="0.25">
      <c r="A270" s="179"/>
      <c r="B270" s="292"/>
      <c r="C270" s="314"/>
      <c r="D270" s="293"/>
      <c r="E270" s="28" t="s">
        <v>1505</v>
      </c>
      <c r="F270" s="235"/>
      <c r="G270" s="270"/>
      <c r="H270" s="236"/>
      <c r="I270" s="272"/>
      <c r="J270" s="273"/>
      <c r="K270" s="114" t="s">
        <v>1461</v>
      </c>
      <c r="L270" s="116"/>
      <c r="M270" s="114" t="s">
        <v>1502</v>
      </c>
      <c r="N270" s="115"/>
      <c r="O270" s="116"/>
      <c r="P270" s="114" t="s">
        <v>706</v>
      </c>
      <c r="Q270" s="116"/>
      <c r="R270" s="114" t="s">
        <v>1463</v>
      </c>
      <c r="S270" s="116"/>
      <c r="T270" s="183">
        <v>2</v>
      </c>
      <c r="U270" s="185"/>
      <c r="V270" s="114" t="s">
        <v>1503</v>
      </c>
      <c r="W270" s="116"/>
      <c r="X270" s="488" t="s">
        <v>1504</v>
      </c>
      <c r="Y270" s="489"/>
      <c r="Z270" s="490"/>
      <c r="AA270" s="110" t="s">
        <v>889</v>
      </c>
      <c r="AB270" s="111"/>
      <c r="AC270" s="401"/>
      <c r="AD270" s="403"/>
      <c r="AE270" s="36"/>
      <c r="AF270" s="292"/>
      <c r="AG270" s="314"/>
      <c r="AH270" s="293"/>
      <c r="AI270" s="179"/>
      <c r="AJ270" s="34"/>
      <c r="AK270" s="15"/>
      <c r="AL270" s="15"/>
    </row>
    <row r="271" spans="1:38" ht="60" x14ac:dyDescent="0.25">
      <c r="A271" s="179"/>
      <c r="B271" s="292"/>
      <c r="C271" s="314"/>
      <c r="D271" s="293"/>
      <c r="E271" s="28" t="s">
        <v>1506</v>
      </c>
      <c r="F271" s="235"/>
      <c r="G271" s="270"/>
      <c r="H271" s="236"/>
      <c r="I271" s="194"/>
      <c r="J271" s="195"/>
      <c r="K271" s="114" t="s">
        <v>1461</v>
      </c>
      <c r="L271" s="116"/>
      <c r="M271" s="183">
        <v>28</v>
      </c>
      <c r="N271" s="184"/>
      <c r="O271" s="185"/>
      <c r="P271" s="114" t="s">
        <v>706</v>
      </c>
      <c r="Q271" s="116"/>
      <c r="R271" s="114" t="s">
        <v>1463</v>
      </c>
      <c r="S271" s="116"/>
      <c r="T271" s="183">
        <v>2</v>
      </c>
      <c r="U271" s="185"/>
      <c r="V271" s="114" t="s">
        <v>1507</v>
      </c>
      <c r="W271" s="116"/>
      <c r="X271" s="488" t="s">
        <v>1508</v>
      </c>
      <c r="Y271" s="489"/>
      <c r="Z271" s="490"/>
      <c r="AA271" s="110" t="s">
        <v>706</v>
      </c>
      <c r="AB271" s="111"/>
      <c r="AC271" s="401"/>
      <c r="AD271" s="403"/>
      <c r="AE271" s="36"/>
      <c r="AF271" s="292"/>
      <c r="AG271" s="314"/>
      <c r="AH271" s="293"/>
      <c r="AI271" s="179"/>
      <c r="AJ271" s="34"/>
      <c r="AK271" s="15"/>
      <c r="AL271" s="15"/>
    </row>
    <row r="272" spans="1:38" ht="60" x14ac:dyDescent="0.25">
      <c r="A272" s="179"/>
      <c r="B272" s="292"/>
      <c r="C272" s="314"/>
      <c r="D272" s="293"/>
      <c r="E272" s="28" t="s">
        <v>1509</v>
      </c>
      <c r="F272" s="235"/>
      <c r="G272" s="270"/>
      <c r="H272" s="236"/>
      <c r="I272" s="192" t="s">
        <v>674</v>
      </c>
      <c r="J272" s="193"/>
      <c r="K272" s="114" t="s">
        <v>1461</v>
      </c>
      <c r="L272" s="116"/>
      <c r="M272" s="114" t="s">
        <v>1510</v>
      </c>
      <c r="N272" s="115"/>
      <c r="O272" s="116"/>
      <c r="P272" s="114" t="s">
        <v>706</v>
      </c>
      <c r="Q272" s="116"/>
      <c r="R272" s="114" t="s">
        <v>1463</v>
      </c>
      <c r="S272" s="116"/>
      <c r="T272" s="183">
        <v>2</v>
      </c>
      <c r="U272" s="185"/>
      <c r="V272" s="114" t="s">
        <v>1511</v>
      </c>
      <c r="W272" s="116"/>
      <c r="X272" s="488" t="s">
        <v>1512</v>
      </c>
      <c r="Y272" s="489"/>
      <c r="Z272" s="490"/>
      <c r="AA272" s="110" t="s">
        <v>873</v>
      </c>
      <c r="AB272" s="111"/>
      <c r="AC272" s="401"/>
      <c r="AD272" s="403"/>
      <c r="AE272" s="36"/>
      <c r="AF272" s="292"/>
      <c r="AG272" s="314"/>
      <c r="AH272" s="293"/>
      <c r="AI272" s="179"/>
      <c r="AJ272" s="34"/>
      <c r="AK272" s="15"/>
      <c r="AL272" s="15"/>
    </row>
    <row r="273" spans="1:38" ht="60" x14ac:dyDescent="0.25">
      <c r="A273" s="179"/>
      <c r="B273" s="292"/>
      <c r="C273" s="314"/>
      <c r="D273" s="293"/>
      <c r="E273" s="28" t="s">
        <v>1513</v>
      </c>
      <c r="F273" s="235"/>
      <c r="G273" s="270"/>
      <c r="H273" s="236"/>
      <c r="I273" s="272"/>
      <c r="J273" s="273"/>
      <c r="K273" s="114" t="s">
        <v>1461</v>
      </c>
      <c r="L273" s="116"/>
      <c r="M273" s="114" t="s">
        <v>1510</v>
      </c>
      <c r="N273" s="115"/>
      <c r="O273" s="116"/>
      <c r="P273" s="114" t="s">
        <v>706</v>
      </c>
      <c r="Q273" s="116"/>
      <c r="R273" s="114" t="s">
        <v>1463</v>
      </c>
      <c r="S273" s="116"/>
      <c r="T273" s="183">
        <v>2</v>
      </c>
      <c r="U273" s="185"/>
      <c r="V273" s="114" t="s">
        <v>1511</v>
      </c>
      <c r="W273" s="116"/>
      <c r="X273" s="488" t="s">
        <v>1512</v>
      </c>
      <c r="Y273" s="489"/>
      <c r="Z273" s="490"/>
      <c r="AA273" s="110" t="s">
        <v>873</v>
      </c>
      <c r="AB273" s="111"/>
      <c r="AC273" s="401"/>
      <c r="AD273" s="403"/>
      <c r="AE273" s="36"/>
      <c r="AF273" s="292"/>
      <c r="AG273" s="314"/>
      <c r="AH273" s="293"/>
      <c r="AI273" s="179"/>
      <c r="AJ273" s="34"/>
      <c r="AK273" s="15"/>
      <c r="AL273" s="15"/>
    </row>
    <row r="274" spans="1:38" ht="60" x14ac:dyDescent="0.25">
      <c r="A274" s="230"/>
      <c r="B274" s="290"/>
      <c r="C274" s="345"/>
      <c r="D274" s="291"/>
      <c r="E274" s="28" t="s">
        <v>1514</v>
      </c>
      <c r="F274" s="237"/>
      <c r="G274" s="306"/>
      <c r="H274" s="238"/>
      <c r="I274" s="194"/>
      <c r="J274" s="195"/>
      <c r="K274" s="114" t="s">
        <v>1461</v>
      </c>
      <c r="L274" s="116"/>
      <c r="M274" s="114" t="s">
        <v>1515</v>
      </c>
      <c r="N274" s="115"/>
      <c r="O274" s="116"/>
      <c r="P274" s="114" t="s">
        <v>706</v>
      </c>
      <c r="Q274" s="116"/>
      <c r="R274" s="114" t="s">
        <v>1463</v>
      </c>
      <c r="S274" s="116"/>
      <c r="T274" s="183">
        <v>2</v>
      </c>
      <c r="U274" s="185"/>
      <c r="V274" s="114" t="s">
        <v>1516</v>
      </c>
      <c r="W274" s="116"/>
      <c r="X274" s="488" t="s">
        <v>1344</v>
      </c>
      <c r="Y274" s="489"/>
      <c r="Z274" s="490"/>
      <c r="AA274" s="110" t="s">
        <v>889</v>
      </c>
      <c r="AB274" s="111"/>
      <c r="AC274" s="404"/>
      <c r="AD274" s="406"/>
      <c r="AE274" s="36"/>
      <c r="AF274" s="290"/>
      <c r="AG274" s="345"/>
      <c r="AH274" s="291"/>
      <c r="AI274" s="230"/>
      <c r="AJ274" s="34"/>
      <c r="AK274" s="15"/>
      <c r="AL274" s="15"/>
    </row>
    <row r="275" spans="1:38" ht="90" x14ac:dyDescent="0.3">
      <c r="A275" s="178"/>
      <c r="B275" s="303" t="s">
        <v>1517</v>
      </c>
      <c r="C275" s="344"/>
      <c r="D275" s="304"/>
      <c r="E275" s="19" t="s">
        <v>1518</v>
      </c>
      <c r="F275" s="346" t="s">
        <v>1519</v>
      </c>
      <c r="G275" s="347"/>
      <c r="H275" s="348"/>
      <c r="I275" s="337" t="s">
        <v>1520</v>
      </c>
      <c r="J275" s="338"/>
      <c r="K275" s="351" t="s">
        <v>1521</v>
      </c>
      <c r="L275" s="352"/>
      <c r="M275" s="351" t="s">
        <v>1522</v>
      </c>
      <c r="N275" s="444"/>
      <c r="O275" s="352"/>
      <c r="P275" s="349">
        <v>3</v>
      </c>
      <c r="Q275" s="350"/>
      <c r="R275" s="349">
        <v>10</v>
      </c>
      <c r="S275" s="350"/>
      <c r="T275" s="349">
        <v>4</v>
      </c>
      <c r="U275" s="350"/>
      <c r="V275" s="351" t="s">
        <v>1523</v>
      </c>
      <c r="W275" s="352"/>
      <c r="X275" s="334">
        <v>56</v>
      </c>
      <c r="Y275" s="335"/>
      <c r="Z275" s="336"/>
      <c r="AA275" s="337" t="s">
        <v>1062</v>
      </c>
      <c r="AB275" s="338"/>
      <c r="AC275" s="171" t="s">
        <v>1524</v>
      </c>
      <c r="AD275" s="172"/>
      <c r="AE275" s="16" t="s">
        <v>1527</v>
      </c>
      <c r="AF275" s="303" t="s">
        <v>1529</v>
      </c>
      <c r="AG275" s="344"/>
      <c r="AH275" s="304"/>
      <c r="AI275" s="24" t="s">
        <v>1530</v>
      </c>
      <c r="AJ275" s="34"/>
      <c r="AK275" s="15"/>
      <c r="AL275" s="15"/>
    </row>
    <row r="276" spans="1:38" ht="120" x14ac:dyDescent="0.3">
      <c r="A276" s="179"/>
      <c r="B276" s="292"/>
      <c r="C276" s="314"/>
      <c r="D276" s="293"/>
      <c r="E276" s="19" t="s">
        <v>1532</v>
      </c>
      <c r="F276" s="346" t="s">
        <v>1519</v>
      </c>
      <c r="G276" s="347"/>
      <c r="H276" s="348"/>
      <c r="I276" s="337" t="s">
        <v>1520</v>
      </c>
      <c r="J276" s="338"/>
      <c r="K276" s="351" t="s">
        <v>1521</v>
      </c>
      <c r="L276" s="352"/>
      <c r="M276" s="351" t="s">
        <v>1522</v>
      </c>
      <c r="N276" s="444"/>
      <c r="O276" s="352"/>
      <c r="P276" s="349">
        <v>3</v>
      </c>
      <c r="Q276" s="350"/>
      <c r="R276" s="349">
        <v>10</v>
      </c>
      <c r="S276" s="350"/>
      <c r="T276" s="349">
        <v>4</v>
      </c>
      <c r="U276" s="350"/>
      <c r="V276" s="351" t="s">
        <v>1523</v>
      </c>
      <c r="W276" s="352"/>
      <c r="X276" s="334">
        <v>56</v>
      </c>
      <c r="Y276" s="335"/>
      <c r="Z276" s="336"/>
      <c r="AA276" s="337" t="s">
        <v>1062</v>
      </c>
      <c r="AB276" s="338"/>
      <c r="AC276" s="162" t="s">
        <v>1525</v>
      </c>
      <c r="AD276" s="163"/>
      <c r="AE276" s="43" t="s">
        <v>848</v>
      </c>
      <c r="AF276" s="292"/>
      <c r="AG276" s="314"/>
      <c r="AH276" s="293"/>
      <c r="AI276" s="31" t="s">
        <v>1531</v>
      </c>
      <c r="AJ276" s="34"/>
      <c r="AK276" s="15"/>
      <c r="AL276" s="15"/>
    </row>
    <row r="277" spans="1:38" ht="120" x14ac:dyDescent="0.3">
      <c r="A277" s="179"/>
      <c r="B277" s="292"/>
      <c r="C277" s="314"/>
      <c r="D277" s="293"/>
      <c r="E277" s="19" t="s">
        <v>1533</v>
      </c>
      <c r="F277" s="346" t="s">
        <v>1519</v>
      </c>
      <c r="G277" s="347"/>
      <c r="H277" s="348"/>
      <c r="I277" s="337" t="s">
        <v>1520</v>
      </c>
      <c r="J277" s="338"/>
      <c r="K277" s="351" t="s">
        <v>1521</v>
      </c>
      <c r="L277" s="352"/>
      <c r="M277" s="351" t="s">
        <v>1522</v>
      </c>
      <c r="N277" s="444"/>
      <c r="O277" s="352"/>
      <c r="P277" s="349">
        <v>3</v>
      </c>
      <c r="Q277" s="350"/>
      <c r="R277" s="349">
        <v>10</v>
      </c>
      <c r="S277" s="350"/>
      <c r="T277" s="349">
        <v>4</v>
      </c>
      <c r="U277" s="350"/>
      <c r="V277" s="351" t="s">
        <v>1523</v>
      </c>
      <c r="W277" s="352"/>
      <c r="X277" s="334">
        <v>56</v>
      </c>
      <c r="Y277" s="335"/>
      <c r="Z277" s="336"/>
      <c r="AA277" s="337" t="s">
        <v>1062</v>
      </c>
      <c r="AB277" s="338"/>
      <c r="AC277" s="162" t="s">
        <v>678</v>
      </c>
      <c r="AD277" s="163"/>
      <c r="AE277" s="43" t="s">
        <v>1528</v>
      </c>
      <c r="AF277" s="292"/>
      <c r="AG277" s="314"/>
      <c r="AH277" s="293"/>
      <c r="AI277" s="31"/>
      <c r="AJ277" s="34"/>
      <c r="AK277" s="15"/>
      <c r="AL277" s="15"/>
    </row>
    <row r="278" spans="1:38" ht="90" x14ac:dyDescent="0.3">
      <c r="A278" s="230"/>
      <c r="B278" s="290"/>
      <c r="C278" s="345"/>
      <c r="D278" s="291"/>
      <c r="E278" s="19" t="s">
        <v>1534</v>
      </c>
      <c r="F278" s="346" t="s">
        <v>1519</v>
      </c>
      <c r="G278" s="347"/>
      <c r="H278" s="348"/>
      <c r="I278" s="337" t="s">
        <v>1520</v>
      </c>
      <c r="J278" s="338"/>
      <c r="K278" s="351" t="s">
        <v>1521</v>
      </c>
      <c r="L278" s="352"/>
      <c r="M278" s="351" t="s">
        <v>1522</v>
      </c>
      <c r="N278" s="444"/>
      <c r="O278" s="352"/>
      <c r="P278" s="349">
        <v>3</v>
      </c>
      <c r="Q278" s="350"/>
      <c r="R278" s="349">
        <v>10</v>
      </c>
      <c r="S278" s="350"/>
      <c r="T278" s="349">
        <v>4</v>
      </c>
      <c r="U278" s="350"/>
      <c r="V278" s="351" t="s">
        <v>1523</v>
      </c>
      <c r="W278" s="352"/>
      <c r="X278" s="334">
        <v>56</v>
      </c>
      <c r="Y278" s="335"/>
      <c r="Z278" s="336"/>
      <c r="AA278" s="337" t="s">
        <v>1062</v>
      </c>
      <c r="AB278" s="338"/>
      <c r="AC278" s="212" t="s">
        <v>1526</v>
      </c>
      <c r="AD278" s="213"/>
      <c r="AE278" s="43"/>
      <c r="AF278" s="290"/>
      <c r="AG278" s="345"/>
      <c r="AH278" s="291"/>
      <c r="AI278" s="31"/>
      <c r="AJ278" s="34"/>
      <c r="AK278" s="15"/>
      <c r="AL278" s="15"/>
    </row>
    <row r="279" spans="1:38" ht="75" x14ac:dyDescent="0.25">
      <c r="A279" s="178"/>
      <c r="B279" s="164"/>
      <c r="C279" s="165"/>
      <c r="D279" s="166"/>
      <c r="E279" s="28" t="s">
        <v>1535</v>
      </c>
      <c r="F279" s="192" t="s">
        <v>1536</v>
      </c>
      <c r="G279" s="196"/>
      <c r="H279" s="193"/>
      <c r="I279" s="192" t="s">
        <v>1537</v>
      </c>
      <c r="J279" s="193"/>
      <c r="K279" s="149"/>
      <c r="L279" s="150"/>
      <c r="M279" s="114" t="s">
        <v>1538</v>
      </c>
      <c r="N279" s="115"/>
      <c r="O279" s="116"/>
      <c r="P279" s="114" t="s">
        <v>1045</v>
      </c>
      <c r="Q279" s="116"/>
      <c r="R279" s="183">
        <v>12</v>
      </c>
      <c r="S279" s="185"/>
      <c r="T279" s="183">
        <v>6</v>
      </c>
      <c r="U279" s="185"/>
      <c r="V279" s="114" t="s">
        <v>1335</v>
      </c>
      <c r="W279" s="116"/>
      <c r="X279" s="227">
        <v>108</v>
      </c>
      <c r="Y279" s="228"/>
      <c r="Z279" s="229"/>
      <c r="AA279" s="110" t="s">
        <v>1159</v>
      </c>
      <c r="AB279" s="111"/>
      <c r="AC279" s="303" t="s">
        <v>675</v>
      </c>
      <c r="AD279" s="304"/>
      <c r="AE279" s="715" t="s">
        <v>1540</v>
      </c>
      <c r="AF279" s="303" t="s">
        <v>1051</v>
      </c>
      <c r="AG279" s="344"/>
      <c r="AH279" s="304"/>
      <c r="AI279" s="715" t="s">
        <v>1541</v>
      </c>
      <c r="AJ279" s="34"/>
      <c r="AK279" s="15"/>
      <c r="AL279" s="15"/>
    </row>
    <row r="280" spans="1:38" ht="75" x14ac:dyDescent="0.25">
      <c r="A280" s="179"/>
      <c r="B280" s="167"/>
      <c r="C280" s="168"/>
      <c r="D280" s="169"/>
      <c r="E280" s="28" t="s">
        <v>1542</v>
      </c>
      <c r="F280" s="194"/>
      <c r="G280" s="197"/>
      <c r="H280" s="195"/>
      <c r="I280" s="194"/>
      <c r="J280" s="195"/>
      <c r="K280" s="151"/>
      <c r="L280" s="152"/>
      <c r="M280" s="114" t="s">
        <v>1543</v>
      </c>
      <c r="N280" s="115"/>
      <c r="O280" s="116"/>
      <c r="P280" s="114" t="s">
        <v>1045</v>
      </c>
      <c r="Q280" s="116"/>
      <c r="R280" s="183">
        <v>12</v>
      </c>
      <c r="S280" s="185"/>
      <c r="T280" s="183">
        <v>6</v>
      </c>
      <c r="U280" s="185"/>
      <c r="V280" s="114" t="s">
        <v>1544</v>
      </c>
      <c r="W280" s="116"/>
      <c r="X280" s="227">
        <v>108</v>
      </c>
      <c r="Y280" s="228"/>
      <c r="Z280" s="229"/>
      <c r="AA280" s="110" t="s">
        <v>1338</v>
      </c>
      <c r="AB280" s="111"/>
      <c r="AC280" s="292" t="s">
        <v>1539</v>
      </c>
      <c r="AD280" s="293"/>
      <c r="AE280" s="716"/>
      <c r="AF280" s="292"/>
      <c r="AG280" s="314"/>
      <c r="AH280" s="293"/>
      <c r="AI280" s="716"/>
      <c r="AJ280" s="34"/>
      <c r="AK280" s="15"/>
      <c r="AL280" s="15"/>
    </row>
    <row r="281" spans="1:38" ht="75" x14ac:dyDescent="0.25">
      <c r="A281" s="179"/>
      <c r="B281" s="167"/>
      <c r="C281" s="168"/>
      <c r="D281" s="169"/>
      <c r="E281" s="28" t="s">
        <v>1545</v>
      </c>
      <c r="F281" s="192" t="s">
        <v>1536</v>
      </c>
      <c r="G281" s="196"/>
      <c r="H281" s="193"/>
      <c r="I281" s="192" t="s">
        <v>1537</v>
      </c>
      <c r="J281" s="193"/>
      <c r="K281" s="164"/>
      <c r="L281" s="166"/>
      <c r="M281" s="114" t="s">
        <v>1044</v>
      </c>
      <c r="N281" s="115"/>
      <c r="O281" s="116"/>
      <c r="P281" s="114" t="s">
        <v>1045</v>
      </c>
      <c r="Q281" s="116"/>
      <c r="R281" s="183">
        <v>12</v>
      </c>
      <c r="S281" s="185"/>
      <c r="T281" s="183">
        <v>6</v>
      </c>
      <c r="U281" s="185"/>
      <c r="V281" s="114" t="s">
        <v>1546</v>
      </c>
      <c r="W281" s="116"/>
      <c r="X281" s="227">
        <v>118</v>
      </c>
      <c r="Y281" s="228"/>
      <c r="Z281" s="229"/>
      <c r="AA281" s="110" t="s">
        <v>989</v>
      </c>
      <c r="AB281" s="111"/>
      <c r="AC281" s="292"/>
      <c r="AD281" s="293"/>
      <c r="AE281" s="716"/>
      <c r="AF281" s="292"/>
      <c r="AG281" s="314"/>
      <c r="AH281" s="293"/>
      <c r="AI281" s="716"/>
      <c r="AJ281" s="34"/>
      <c r="AK281" s="15"/>
      <c r="AL281" s="15"/>
    </row>
    <row r="282" spans="1:38" ht="75" x14ac:dyDescent="0.25">
      <c r="A282" s="179"/>
      <c r="B282" s="167"/>
      <c r="C282" s="168"/>
      <c r="D282" s="169"/>
      <c r="E282" s="28" t="s">
        <v>1547</v>
      </c>
      <c r="F282" s="272"/>
      <c r="G282" s="282"/>
      <c r="H282" s="273"/>
      <c r="I282" s="272"/>
      <c r="J282" s="273"/>
      <c r="K282" s="167"/>
      <c r="L282" s="169"/>
      <c r="M282" s="114" t="s">
        <v>1056</v>
      </c>
      <c r="N282" s="115"/>
      <c r="O282" s="116"/>
      <c r="P282" s="114" t="s">
        <v>1045</v>
      </c>
      <c r="Q282" s="116"/>
      <c r="R282" s="183">
        <v>12</v>
      </c>
      <c r="S282" s="185"/>
      <c r="T282" s="183">
        <v>6</v>
      </c>
      <c r="U282" s="185"/>
      <c r="V282" s="114" t="s">
        <v>1548</v>
      </c>
      <c r="W282" s="116"/>
      <c r="X282" s="227">
        <v>118</v>
      </c>
      <c r="Y282" s="228"/>
      <c r="Z282" s="229"/>
      <c r="AA282" s="110" t="s">
        <v>1023</v>
      </c>
      <c r="AB282" s="111"/>
      <c r="AC282" s="292"/>
      <c r="AD282" s="293"/>
      <c r="AE282" s="716"/>
      <c r="AF282" s="292"/>
      <c r="AG282" s="314"/>
      <c r="AH282" s="293"/>
      <c r="AI282" s="716"/>
      <c r="AJ282" s="34"/>
      <c r="AK282" s="15"/>
      <c r="AL282" s="15"/>
    </row>
    <row r="283" spans="1:38" ht="120" x14ac:dyDescent="0.25">
      <c r="A283" s="179"/>
      <c r="B283" s="167"/>
      <c r="C283" s="168"/>
      <c r="D283" s="169"/>
      <c r="E283" s="44" t="s">
        <v>1549</v>
      </c>
      <c r="F283" s="194"/>
      <c r="G283" s="197"/>
      <c r="H283" s="195"/>
      <c r="I283" s="194"/>
      <c r="J283" s="195"/>
      <c r="K283" s="214"/>
      <c r="L283" s="216"/>
      <c r="M283" s="114" t="s">
        <v>1056</v>
      </c>
      <c r="N283" s="115"/>
      <c r="O283" s="116"/>
      <c r="P283" s="114" t="s">
        <v>1045</v>
      </c>
      <c r="Q283" s="116"/>
      <c r="R283" s="183">
        <v>12</v>
      </c>
      <c r="S283" s="185"/>
      <c r="T283" s="183">
        <v>6</v>
      </c>
      <c r="U283" s="185"/>
      <c r="V283" s="114" t="s">
        <v>1548</v>
      </c>
      <c r="W283" s="116"/>
      <c r="X283" s="227">
        <v>118</v>
      </c>
      <c r="Y283" s="228"/>
      <c r="Z283" s="229"/>
      <c r="AA283" s="110" t="s">
        <v>1023</v>
      </c>
      <c r="AB283" s="111"/>
      <c r="AC283" s="292"/>
      <c r="AD283" s="293"/>
      <c r="AE283" s="716"/>
      <c r="AF283" s="292"/>
      <c r="AG283" s="314"/>
      <c r="AH283" s="293"/>
      <c r="AI283" s="716"/>
      <c r="AJ283" s="34"/>
      <c r="AK283" s="15"/>
      <c r="AL283" s="15"/>
    </row>
    <row r="284" spans="1:38" ht="15" x14ac:dyDescent="0.3">
      <c r="A284" s="179"/>
      <c r="B284" s="126" t="s">
        <v>1550</v>
      </c>
      <c r="C284" s="203"/>
      <c r="D284" s="127"/>
      <c r="E284" s="64" t="s">
        <v>1551</v>
      </c>
      <c r="F284" s="192" t="s">
        <v>1315</v>
      </c>
      <c r="G284" s="196"/>
      <c r="H284" s="193"/>
      <c r="I284" s="192" t="s">
        <v>1140</v>
      </c>
      <c r="J284" s="193"/>
      <c r="K284" s="164"/>
      <c r="L284" s="166"/>
      <c r="M284" s="88" t="s">
        <v>1061</v>
      </c>
      <c r="N284" s="153"/>
      <c r="O284" s="89"/>
      <c r="P284" s="88" t="s">
        <v>1062</v>
      </c>
      <c r="Q284" s="89"/>
      <c r="R284" s="204">
        <v>14</v>
      </c>
      <c r="S284" s="205"/>
      <c r="T284" s="204">
        <v>6</v>
      </c>
      <c r="U284" s="205"/>
      <c r="V284" s="88" t="s">
        <v>1552</v>
      </c>
      <c r="W284" s="89"/>
      <c r="X284" s="241">
        <v>128</v>
      </c>
      <c r="Y284" s="242"/>
      <c r="Z284" s="243"/>
      <c r="AA284" s="143" t="s">
        <v>1038</v>
      </c>
      <c r="AB284" s="145"/>
      <c r="AC284" s="155" t="s">
        <v>677</v>
      </c>
      <c r="AD284" s="157"/>
      <c r="AE284" s="45" t="s">
        <v>1554</v>
      </c>
      <c r="AF284" s="126" t="s">
        <v>1052</v>
      </c>
      <c r="AG284" s="203"/>
      <c r="AH284" s="127"/>
      <c r="AI284" s="40" t="s">
        <v>1555</v>
      </c>
      <c r="AJ284" s="126" t="s">
        <v>1404</v>
      </c>
      <c r="AK284" s="203"/>
      <c r="AL284" s="203"/>
    </row>
    <row r="285" spans="1:38" ht="45" x14ac:dyDescent="0.3">
      <c r="A285" s="179"/>
      <c r="B285" s="126"/>
      <c r="C285" s="203"/>
      <c r="D285" s="127"/>
      <c r="E285" s="65"/>
      <c r="F285" s="272"/>
      <c r="G285" s="282"/>
      <c r="H285" s="273"/>
      <c r="I285" s="272"/>
      <c r="J285" s="273"/>
      <c r="K285" s="167"/>
      <c r="L285" s="169"/>
      <c r="M285" s="117"/>
      <c r="N285" s="154"/>
      <c r="O285" s="118"/>
      <c r="P285" s="117"/>
      <c r="Q285" s="118"/>
      <c r="R285" s="206"/>
      <c r="S285" s="207"/>
      <c r="T285" s="206"/>
      <c r="U285" s="207"/>
      <c r="V285" s="117"/>
      <c r="W285" s="118"/>
      <c r="X285" s="244"/>
      <c r="Y285" s="245"/>
      <c r="Z285" s="246"/>
      <c r="AA285" s="146"/>
      <c r="AB285" s="148"/>
      <c r="AC285" s="155" t="s">
        <v>678</v>
      </c>
      <c r="AD285" s="157"/>
      <c r="AE285" s="45" t="s">
        <v>681</v>
      </c>
      <c r="AF285" s="126" t="s">
        <v>1198</v>
      </c>
      <c r="AG285" s="203"/>
      <c r="AH285" s="127"/>
      <c r="AI285" s="40" t="s">
        <v>681</v>
      </c>
      <c r="AJ285" s="126" t="s">
        <v>1405</v>
      </c>
      <c r="AK285" s="203"/>
      <c r="AL285" s="203"/>
    </row>
    <row r="286" spans="1:38" ht="75" x14ac:dyDescent="0.3">
      <c r="A286" s="179"/>
      <c r="B286" s="126"/>
      <c r="C286" s="203"/>
      <c r="D286" s="127"/>
      <c r="E286" s="28" t="s">
        <v>1556</v>
      </c>
      <c r="F286" s="272"/>
      <c r="G286" s="282"/>
      <c r="H286" s="273"/>
      <c r="I286" s="272"/>
      <c r="J286" s="273"/>
      <c r="K286" s="167"/>
      <c r="L286" s="169"/>
      <c r="M286" s="114" t="s">
        <v>1065</v>
      </c>
      <c r="N286" s="115"/>
      <c r="O286" s="116"/>
      <c r="P286" s="114" t="s">
        <v>1062</v>
      </c>
      <c r="Q286" s="116"/>
      <c r="R286" s="183">
        <v>14</v>
      </c>
      <c r="S286" s="185"/>
      <c r="T286" s="183">
        <v>6</v>
      </c>
      <c r="U286" s="185"/>
      <c r="V286" s="114" t="s">
        <v>1066</v>
      </c>
      <c r="W286" s="116"/>
      <c r="X286" s="227">
        <v>128</v>
      </c>
      <c r="Y286" s="228"/>
      <c r="Z286" s="229"/>
      <c r="AA286" s="110" t="s">
        <v>1159</v>
      </c>
      <c r="AB286" s="111"/>
      <c r="AC286" s="155" t="s">
        <v>1553</v>
      </c>
      <c r="AD286" s="157"/>
      <c r="AE286" s="713" t="s">
        <v>1557</v>
      </c>
      <c r="AF286" s="126"/>
      <c r="AG286" s="203"/>
      <c r="AH286" s="127"/>
      <c r="AI286" s="713" t="s">
        <v>1558</v>
      </c>
      <c r="AJ286" s="126" t="s">
        <v>1406</v>
      </c>
      <c r="AK286" s="203"/>
      <c r="AL286" s="203"/>
    </row>
    <row r="287" spans="1:38" ht="120" x14ac:dyDescent="0.35">
      <c r="A287" s="179"/>
      <c r="B287" s="126"/>
      <c r="C287" s="203"/>
      <c r="D287" s="127"/>
      <c r="E287" s="28" t="s">
        <v>1559</v>
      </c>
      <c r="F287" s="194"/>
      <c r="G287" s="197"/>
      <c r="H287" s="195"/>
      <c r="I287" s="194"/>
      <c r="J287" s="195"/>
      <c r="K287" s="214"/>
      <c r="L287" s="216"/>
      <c r="M287" s="114" t="s">
        <v>1065</v>
      </c>
      <c r="N287" s="115"/>
      <c r="O287" s="116"/>
      <c r="P287" s="114" t="s">
        <v>1062</v>
      </c>
      <c r="Q287" s="116"/>
      <c r="R287" s="183">
        <v>14</v>
      </c>
      <c r="S287" s="185"/>
      <c r="T287" s="183">
        <v>6</v>
      </c>
      <c r="U287" s="185"/>
      <c r="V287" s="114" t="s">
        <v>1066</v>
      </c>
      <c r="W287" s="116"/>
      <c r="X287" s="227">
        <v>128</v>
      </c>
      <c r="Y287" s="228"/>
      <c r="Z287" s="229"/>
      <c r="AA287" s="110" t="s">
        <v>1159</v>
      </c>
      <c r="AB287" s="111"/>
      <c r="AC287" s="155"/>
      <c r="AD287" s="157"/>
      <c r="AE287" s="713"/>
      <c r="AF287" s="126"/>
      <c r="AG287" s="203"/>
      <c r="AH287" s="127"/>
      <c r="AI287" s="713"/>
      <c r="AJ287" s="121"/>
      <c r="AK287" s="122"/>
      <c r="AL287" s="122"/>
    </row>
    <row r="288" spans="1:38" ht="15" x14ac:dyDescent="0.3">
      <c r="A288" s="179"/>
      <c r="B288" s="126"/>
      <c r="C288" s="203"/>
      <c r="D288" s="127"/>
      <c r="E288" s="64" t="s">
        <v>1560</v>
      </c>
      <c r="F288" s="192" t="s">
        <v>1333</v>
      </c>
      <c r="G288" s="196"/>
      <c r="H288" s="193"/>
      <c r="I288" s="192" t="s">
        <v>1334</v>
      </c>
      <c r="J288" s="193"/>
      <c r="K288" s="171" t="s">
        <v>1561</v>
      </c>
      <c r="L288" s="172"/>
      <c r="M288" s="88" t="s">
        <v>1070</v>
      </c>
      <c r="N288" s="153"/>
      <c r="O288" s="89"/>
      <c r="P288" s="88" t="s">
        <v>1071</v>
      </c>
      <c r="Q288" s="89"/>
      <c r="R288" s="204">
        <v>16</v>
      </c>
      <c r="S288" s="205"/>
      <c r="T288" s="204">
        <v>6</v>
      </c>
      <c r="U288" s="205"/>
      <c r="V288" s="88" t="s">
        <v>1562</v>
      </c>
      <c r="W288" s="89"/>
      <c r="X288" s="241">
        <v>148</v>
      </c>
      <c r="Y288" s="242"/>
      <c r="Z288" s="243"/>
      <c r="AA288" s="143" t="s">
        <v>989</v>
      </c>
      <c r="AB288" s="145"/>
      <c r="AC288" s="155"/>
      <c r="AD288" s="157"/>
      <c r="AE288" s="713"/>
      <c r="AF288" s="126"/>
      <c r="AG288" s="203"/>
      <c r="AH288" s="127"/>
      <c r="AI288" s="713"/>
      <c r="AJ288" s="126" t="s">
        <v>1405</v>
      </c>
      <c r="AK288" s="203"/>
      <c r="AL288" s="203"/>
    </row>
    <row r="289" spans="1:38" ht="15" x14ac:dyDescent="0.3">
      <c r="A289" s="179"/>
      <c r="B289" s="126"/>
      <c r="C289" s="203"/>
      <c r="D289" s="127"/>
      <c r="E289" s="65"/>
      <c r="F289" s="272"/>
      <c r="G289" s="282"/>
      <c r="H289" s="273"/>
      <c r="I289" s="272"/>
      <c r="J289" s="273"/>
      <c r="K289" s="162"/>
      <c r="L289" s="163"/>
      <c r="M289" s="117"/>
      <c r="N289" s="154"/>
      <c r="O289" s="118"/>
      <c r="P289" s="117"/>
      <c r="Q289" s="118"/>
      <c r="R289" s="206"/>
      <c r="S289" s="207"/>
      <c r="T289" s="206"/>
      <c r="U289" s="207"/>
      <c r="V289" s="117"/>
      <c r="W289" s="118"/>
      <c r="X289" s="244"/>
      <c r="Y289" s="245"/>
      <c r="Z289" s="246"/>
      <c r="AA289" s="146"/>
      <c r="AB289" s="148"/>
      <c r="AC289" s="155"/>
      <c r="AD289" s="157"/>
      <c r="AE289" s="713"/>
      <c r="AF289" s="126"/>
      <c r="AG289" s="203"/>
      <c r="AH289" s="127"/>
      <c r="AI289" s="713"/>
      <c r="AJ289" s="126" t="s">
        <v>1406</v>
      </c>
      <c r="AK289" s="203"/>
      <c r="AL289" s="203"/>
    </row>
    <row r="290" spans="1:38" ht="75" x14ac:dyDescent="0.35">
      <c r="A290" s="179"/>
      <c r="B290" s="126"/>
      <c r="C290" s="203"/>
      <c r="D290" s="127"/>
      <c r="E290" s="28" t="s">
        <v>1563</v>
      </c>
      <c r="F290" s="272"/>
      <c r="G290" s="282"/>
      <c r="H290" s="273"/>
      <c r="I290" s="272"/>
      <c r="J290" s="273"/>
      <c r="K290" s="162"/>
      <c r="L290" s="163"/>
      <c r="M290" s="114" t="s">
        <v>1074</v>
      </c>
      <c r="N290" s="115"/>
      <c r="O290" s="116"/>
      <c r="P290" s="114" t="s">
        <v>1071</v>
      </c>
      <c r="Q290" s="116"/>
      <c r="R290" s="183">
        <v>16</v>
      </c>
      <c r="S290" s="185"/>
      <c r="T290" s="183">
        <v>6</v>
      </c>
      <c r="U290" s="185"/>
      <c r="V290" s="114" t="s">
        <v>1075</v>
      </c>
      <c r="W290" s="116"/>
      <c r="X290" s="227">
        <v>148</v>
      </c>
      <c r="Y290" s="228"/>
      <c r="Z290" s="229"/>
      <c r="AA290" s="110" t="s">
        <v>1342</v>
      </c>
      <c r="AB290" s="111"/>
      <c r="AC290" s="155"/>
      <c r="AD290" s="157"/>
      <c r="AE290" s="713"/>
      <c r="AF290" s="126"/>
      <c r="AG290" s="203"/>
      <c r="AH290" s="127"/>
      <c r="AI290" s="713"/>
      <c r="AJ290" s="121"/>
      <c r="AK290" s="122"/>
      <c r="AL290" s="122"/>
    </row>
    <row r="291" spans="1:38" ht="15" x14ac:dyDescent="0.3">
      <c r="A291" s="179"/>
      <c r="B291" s="126"/>
      <c r="C291" s="203"/>
      <c r="D291" s="127"/>
      <c r="E291" s="64" t="s">
        <v>1564</v>
      </c>
      <c r="F291" s="272"/>
      <c r="G291" s="282"/>
      <c r="H291" s="273"/>
      <c r="I291" s="272"/>
      <c r="J291" s="273"/>
      <c r="K291" s="162"/>
      <c r="L291" s="163"/>
      <c r="M291" s="88" t="s">
        <v>1074</v>
      </c>
      <c r="N291" s="153"/>
      <c r="O291" s="89"/>
      <c r="P291" s="88" t="s">
        <v>1071</v>
      </c>
      <c r="Q291" s="89"/>
      <c r="R291" s="204">
        <v>16</v>
      </c>
      <c r="S291" s="205"/>
      <c r="T291" s="204">
        <v>6</v>
      </c>
      <c r="U291" s="205"/>
      <c r="V291" s="88" t="s">
        <v>1075</v>
      </c>
      <c r="W291" s="89"/>
      <c r="X291" s="241">
        <v>148</v>
      </c>
      <c r="Y291" s="242"/>
      <c r="Z291" s="243"/>
      <c r="AA291" s="143" t="s">
        <v>1342</v>
      </c>
      <c r="AB291" s="145"/>
      <c r="AC291" s="155"/>
      <c r="AD291" s="157"/>
      <c r="AE291" s="713"/>
      <c r="AF291" s="126"/>
      <c r="AG291" s="203"/>
      <c r="AH291" s="127"/>
      <c r="AI291" s="713"/>
      <c r="AJ291" s="126" t="s">
        <v>1405</v>
      </c>
      <c r="AK291" s="203"/>
      <c r="AL291" s="203"/>
    </row>
    <row r="292" spans="1:38" ht="15" x14ac:dyDescent="0.3">
      <c r="A292" s="230"/>
      <c r="B292" s="117"/>
      <c r="C292" s="154"/>
      <c r="D292" s="118"/>
      <c r="E292" s="65"/>
      <c r="F292" s="194"/>
      <c r="G292" s="197"/>
      <c r="H292" s="195"/>
      <c r="I292" s="194"/>
      <c r="J292" s="195"/>
      <c r="K292" s="212"/>
      <c r="L292" s="213"/>
      <c r="M292" s="117"/>
      <c r="N292" s="154"/>
      <c r="O292" s="118"/>
      <c r="P292" s="117"/>
      <c r="Q292" s="118"/>
      <c r="R292" s="206"/>
      <c r="S292" s="207"/>
      <c r="T292" s="206"/>
      <c r="U292" s="207"/>
      <c r="V292" s="117"/>
      <c r="W292" s="118"/>
      <c r="X292" s="244"/>
      <c r="Y292" s="245"/>
      <c r="Z292" s="246"/>
      <c r="AA292" s="146"/>
      <c r="AB292" s="148"/>
      <c r="AC292" s="160"/>
      <c r="AD292" s="161"/>
      <c r="AE292" s="714"/>
      <c r="AF292" s="117"/>
      <c r="AG292" s="154"/>
      <c r="AH292" s="118"/>
      <c r="AI292" s="714"/>
      <c r="AJ292" s="126" t="s">
        <v>1406</v>
      </c>
      <c r="AK292" s="203"/>
      <c r="AL292" s="203"/>
    </row>
    <row r="293" spans="1:38" ht="120" x14ac:dyDescent="0.25">
      <c r="A293" s="178"/>
      <c r="B293" s="303" t="s">
        <v>1565</v>
      </c>
      <c r="C293" s="344"/>
      <c r="D293" s="304"/>
      <c r="E293" s="28" t="s">
        <v>1566</v>
      </c>
      <c r="F293" s="233" t="s">
        <v>1567</v>
      </c>
      <c r="G293" s="305"/>
      <c r="H293" s="234"/>
      <c r="I293" s="164"/>
      <c r="J293" s="166"/>
      <c r="K293" s="460"/>
      <c r="L293" s="461"/>
      <c r="M293" s="183">
        <v>304</v>
      </c>
      <c r="N293" s="184"/>
      <c r="O293" s="185"/>
      <c r="P293" s="460"/>
      <c r="Q293" s="461"/>
      <c r="R293" s="183">
        <v>75</v>
      </c>
      <c r="S293" s="185"/>
      <c r="T293" s="460"/>
      <c r="U293" s="461"/>
      <c r="V293" s="114" t="s">
        <v>1568</v>
      </c>
      <c r="W293" s="116"/>
      <c r="X293" s="227">
        <v>450</v>
      </c>
      <c r="Y293" s="228"/>
      <c r="Z293" s="229"/>
      <c r="AA293" s="110" t="s">
        <v>1071</v>
      </c>
      <c r="AB293" s="111"/>
      <c r="AC293" s="223" t="s">
        <v>675</v>
      </c>
      <c r="AD293" s="224"/>
      <c r="AE293" s="35" t="s">
        <v>1571</v>
      </c>
      <c r="AF293" s="233" t="s">
        <v>683</v>
      </c>
      <c r="AG293" s="305"/>
      <c r="AH293" s="234"/>
      <c r="AI293" s="164"/>
      <c r="AJ293" s="203" t="s">
        <v>1030</v>
      </c>
      <c r="AK293" s="203"/>
      <c r="AL293" s="203"/>
    </row>
    <row r="294" spans="1:38" ht="120" x14ac:dyDescent="0.25">
      <c r="A294" s="179"/>
      <c r="B294" s="292"/>
      <c r="C294" s="314"/>
      <c r="D294" s="293"/>
      <c r="E294" s="28" t="s">
        <v>1573</v>
      </c>
      <c r="F294" s="235"/>
      <c r="G294" s="270"/>
      <c r="H294" s="236"/>
      <c r="I294" s="167"/>
      <c r="J294" s="169"/>
      <c r="K294" s="460"/>
      <c r="L294" s="461"/>
      <c r="M294" s="183">
        <v>304</v>
      </c>
      <c r="N294" s="184"/>
      <c r="O294" s="185"/>
      <c r="P294" s="460"/>
      <c r="Q294" s="461"/>
      <c r="R294" s="183">
        <v>75</v>
      </c>
      <c r="S294" s="185"/>
      <c r="T294" s="460"/>
      <c r="U294" s="461"/>
      <c r="V294" s="114" t="s">
        <v>1568</v>
      </c>
      <c r="W294" s="116"/>
      <c r="X294" s="227">
        <v>450</v>
      </c>
      <c r="Y294" s="228"/>
      <c r="Z294" s="229"/>
      <c r="AA294" s="110" t="s">
        <v>1071</v>
      </c>
      <c r="AB294" s="111"/>
      <c r="AC294" s="239" t="s">
        <v>1569</v>
      </c>
      <c r="AD294" s="240"/>
      <c r="AE294" s="36" t="s">
        <v>681</v>
      </c>
      <c r="AF294" s="235"/>
      <c r="AG294" s="270"/>
      <c r="AH294" s="236"/>
      <c r="AI294" s="167"/>
      <c r="AJ294" s="203" t="s">
        <v>1030</v>
      </c>
      <c r="AK294" s="203"/>
      <c r="AL294" s="203"/>
    </row>
    <row r="295" spans="1:38" ht="120" x14ac:dyDescent="0.35">
      <c r="A295" s="179"/>
      <c r="B295" s="292"/>
      <c r="C295" s="314"/>
      <c r="D295" s="293"/>
      <c r="E295" s="28" t="s">
        <v>1574</v>
      </c>
      <c r="F295" s="237"/>
      <c r="G295" s="306"/>
      <c r="H295" s="238"/>
      <c r="I295" s="214"/>
      <c r="J295" s="216"/>
      <c r="K295" s="107"/>
      <c r="L295" s="109"/>
      <c r="M295" s="183">
        <v>304</v>
      </c>
      <c r="N295" s="184"/>
      <c r="O295" s="185"/>
      <c r="P295" s="107"/>
      <c r="Q295" s="109"/>
      <c r="R295" s="183">
        <v>75</v>
      </c>
      <c r="S295" s="185"/>
      <c r="T295" s="107"/>
      <c r="U295" s="109"/>
      <c r="V295" s="114" t="s">
        <v>1568</v>
      </c>
      <c r="W295" s="116"/>
      <c r="X295" s="227">
        <v>450</v>
      </c>
      <c r="Y295" s="228"/>
      <c r="Z295" s="229"/>
      <c r="AA295" s="110" t="s">
        <v>1071</v>
      </c>
      <c r="AB295" s="111"/>
      <c r="AC295" s="239" t="s">
        <v>677</v>
      </c>
      <c r="AD295" s="240"/>
      <c r="AE295" s="36" t="s">
        <v>1572</v>
      </c>
      <c r="AF295" s="235"/>
      <c r="AG295" s="270"/>
      <c r="AH295" s="236"/>
      <c r="AI295" s="167"/>
      <c r="AJ295" s="203" t="s">
        <v>1030</v>
      </c>
      <c r="AK295" s="203"/>
      <c r="AL295" s="203"/>
    </row>
    <row r="296" spans="1:38" ht="120" x14ac:dyDescent="0.25">
      <c r="A296" s="179"/>
      <c r="B296" s="292"/>
      <c r="C296" s="314"/>
      <c r="D296" s="293"/>
      <c r="E296" s="28" t="s">
        <v>1575</v>
      </c>
      <c r="F296" s="192" t="s">
        <v>1576</v>
      </c>
      <c r="G296" s="196"/>
      <c r="H296" s="193"/>
      <c r="I296" s="164"/>
      <c r="J296" s="166"/>
      <c r="K296" s="460"/>
      <c r="L296" s="461"/>
      <c r="M296" s="183">
        <v>416</v>
      </c>
      <c r="N296" s="184"/>
      <c r="O296" s="185"/>
      <c r="P296" s="183">
        <v>37</v>
      </c>
      <c r="Q296" s="185"/>
      <c r="R296" s="183">
        <v>150</v>
      </c>
      <c r="S296" s="185"/>
      <c r="T296" s="183">
        <v>6</v>
      </c>
      <c r="U296" s="185"/>
      <c r="V296" s="124" t="s">
        <v>1577</v>
      </c>
      <c r="W296" s="125"/>
      <c r="X296" s="227">
        <v>700</v>
      </c>
      <c r="Y296" s="228"/>
      <c r="Z296" s="229"/>
      <c r="AA296" s="110" t="s">
        <v>1152</v>
      </c>
      <c r="AB296" s="111"/>
      <c r="AC296" s="239" t="s">
        <v>678</v>
      </c>
      <c r="AD296" s="240"/>
      <c r="AE296" s="36"/>
      <c r="AF296" s="235"/>
      <c r="AG296" s="270"/>
      <c r="AH296" s="236"/>
      <c r="AI296" s="167"/>
      <c r="AJ296" s="203" t="s">
        <v>1030</v>
      </c>
      <c r="AK296" s="203"/>
      <c r="AL296" s="203"/>
    </row>
    <row r="297" spans="1:38" ht="120" x14ac:dyDescent="0.25">
      <c r="A297" s="179"/>
      <c r="B297" s="292"/>
      <c r="C297" s="314"/>
      <c r="D297" s="293"/>
      <c r="E297" s="28" t="s">
        <v>1578</v>
      </c>
      <c r="F297" s="272"/>
      <c r="G297" s="282"/>
      <c r="H297" s="273"/>
      <c r="I297" s="167"/>
      <c r="J297" s="169"/>
      <c r="K297" s="460"/>
      <c r="L297" s="461"/>
      <c r="M297" s="183">
        <v>416</v>
      </c>
      <c r="N297" s="184"/>
      <c r="O297" s="185"/>
      <c r="P297" s="183">
        <v>37</v>
      </c>
      <c r="Q297" s="185"/>
      <c r="R297" s="183">
        <v>150</v>
      </c>
      <c r="S297" s="185"/>
      <c r="T297" s="183">
        <v>6</v>
      </c>
      <c r="U297" s="185"/>
      <c r="V297" s="124" t="s">
        <v>1577</v>
      </c>
      <c r="W297" s="125"/>
      <c r="X297" s="227">
        <v>700</v>
      </c>
      <c r="Y297" s="228"/>
      <c r="Z297" s="229"/>
      <c r="AA297" s="110" t="s">
        <v>1152</v>
      </c>
      <c r="AB297" s="111"/>
      <c r="AC297" s="239" t="s">
        <v>1570</v>
      </c>
      <c r="AD297" s="240"/>
      <c r="AE297" s="36"/>
      <c r="AF297" s="235"/>
      <c r="AG297" s="270"/>
      <c r="AH297" s="236"/>
      <c r="AI297" s="167"/>
      <c r="AJ297" s="203" t="s">
        <v>1030</v>
      </c>
      <c r="AK297" s="203"/>
      <c r="AL297" s="203"/>
    </row>
    <row r="298" spans="1:38" ht="120" x14ac:dyDescent="0.25">
      <c r="A298" s="179"/>
      <c r="B298" s="292"/>
      <c r="C298" s="314"/>
      <c r="D298" s="293"/>
      <c r="E298" s="28" t="s">
        <v>1579</v>
      </c>
      <c r="F298" s="194"/>
      <c r="G298" s="197"/>
      <c r="H298" s="195"/>
      <c r="I298" s="214"/>
      <c r="J298" s="216"/>
      <c r="K298" s="460"/>
      <c r="L298" s="461"/>
      <c r="M298" s="183">
        <v>416</v>
      </c>
      <c r="N298" s="184"/>
      <c r="O298" s="185"/>
      <c r="P298" s="183">
        <v>37</v>
      </c>
      <c r="Q298" s="185"/>
      <c r="R298" s="183">
        <v>150</v>
      </c>
      <c r="S298" s="185"/>
      <c r="T298" s="183">
        <v>6</v>
      </c>
      <c r="U298" s="185"/>
      <c r="V298" s="124" t="s">
        <v>1577</v>
      </c>
      <c r="W298" s="125"/>
      <c r="X298" s="227">
        <v>700</v>
      </c>
      <c r="Y298" s="228"/>
      <c r="Z298" s="229"/>
      <c r="AA298" s="110" t="s">
        <v>1152</v>
      </c>
      <c r="AB298" s="111"/>
      <c r="AC298" s="239"/>
      <c r="AD298" s="240"/>
      <c r="AE298" s="36"/>
      <c r="AF298" s="235"/>
      <c r="AG298" s="270"/>
      <c r="AH298" s="236"/>
      <c r="AI298" s="167"/>
      <c r="AJ298" s="203" t="s">
        <v>1030</v>
      </c>
      <c r="AK298" s="203"/>
      <c r="AL298" s="203"/>
    </row>
    <row r="299" spans="1:38" ht="120" x14ac:dyDescent="0.25">
      <c r="A299" s="179"/>
      <c r="B299" s="292"/>
      <c r="C299" s="314"/>
      <c r="D299" s="293"/>
      <c r="E299" s="28" t="s">
        <v>1580</v>
      </c>
      <c r="F299" s="233" t="s">
        <v>1581</v>
      </c>
      <c r="G299" s="305"/>
      <c r="H299" s="234"/>
      <c r="I299" s="164"/>
      <c r="J299" s="166"/>
      <c r="K299" s="460"/>
      <c r="L299" s="461"/>
      <c r="M299" s="183">
        <v>474</v>
      </c>
      <c r="N299" s="184"/>
      <c r="O299" s="185"/>
      <c r="P299" s="183">
        <v>42</v>
      </c>
      <c r="Q299" s="185"/>
      <c r="R299" s="183">
        <v>175</v>
      </c>
      <c r="S299" s="185"/>
      <c r="T299" s="183">
        <v>8</v>
      </c>
      <c r="U299" s="185"/>
      <c r="V299" s="124" t="s">
        <v>1582</v>
      </c>
      <c r="W299" s="125"/>
      <c r="X299" s="227">
        <v>800</v>
      </c>
      <c r="Y299" s="228"/>
      <c r="Z299" s="229"/>
      <c r="AA299" s="110" t="s">
        <v>1583</v>
      </c>
      <c r="AB299" s="111"/>
      <c r="AC299" s="239"/>
      <c r="AD299" s="240"/>
      <c r="AE299" s="36"/>
      <c r="AF299" s="235"/>
      <c r="AG299" s="270"/>
      <c r="AH299" s="236"/>
      <c r="AI299" s="167"/>
      <c r="AJ299" s="203" t="s">
        <v>1030</v>
      </c>
      <c r="AK299" s="203"/>
      <c r="AL299" s="203"/>
    </row>
    <row r="300" spans="1:38" ht="120" x14ac:dyDescent="0.35">
      <c r="A300" s="179"/>
      <c r="B300" s="292"/>
      <c r="C300" s="314"/>
      <c r="D300" s="293"/>
      <c r="E300" s="28" t="s">
        <v>1584</v>
      </c>
      <c r="F300" s="235"/>
      <c r="G300" s="270"/>
      <c r="H300" s="236"/>
      <c r="I300" s="167"/>
      <c r="J300" s="169"/>
      <c r="K300" s="107"/>
      <c r="L300" s="109"/>
      <c r="M300" s="183">
        <v>474</v>
      </c>
      <c r="N300" s="184"/>
      <c r="O300" s="185"/>
      <c r="P300" s="183">
        <v>42</v>
      </c>
      <c r="Q300" s="185"/>
      <c r="R300" s="183">
        <v>175</v>
      </c>
      <c r="S300" s="185"/>
      <c r="T300" s="183">
        <v>8</v>
      </c>
      <c r="U300" s="185"/>
      <c r="V300" s="124" t="s">
        <v>1582</v>
      </c>
      <c r="W300" s="125"/>
      <c r="X300" s="227">
        <v>800</v>
      </c>
      <c r="Y300" s="228"/>
      <c r="Z300" s="229"/>
      <c r="AA300" s="110" t="s">
        <v>1583</v>
      </c>
      <c r="AB300" s="111"/>
      <c r="AC300" s="239"/>
      <c r="AD300" s="240"/>
      <c r="AE300" s="36"/>
      <c r="AF300" s="235"/>
      <c r="AG300" s="270"/>
      <c r="AH300" s="236"/>
      <c r="AI300" s="167"/>
      <c r="AJ300" s="203" t="s">
        <v>1030</v>
      </c>
      <c r="AK300" s="203"/>
      <c r="AL300" s="203"/>
    </row>
    <row r="301" spans="1:38" ht="120" x14ac:dyDescent="0.25">
      <c r="A301" s="179"/>
      <c r="B301" s="292"/>
      <c r="C301" s="314"/>
      <c r="D301" s="293"/>
      <c r="E301" s="28" t="s">
        <v>1585</v>
      </c>
      <c r="F301" s="237"/>
      <c r="G301" s="306"/>
      <c r="H301" s="238"/>
      <c r="I301" s="214"/>
      <c r="J301" s="216"/>
      <c r="K301" s="460"/>
      <c r="L301" s="461"/>
      <c r="M301" s="183">
        <v>474</v>
      </c>
      <c r="N301" s="184"/>
      <c r="O301" s="185"/>
      <c r="P301" s="183">
        <v>42</v>
      </c>
      <c r="Q301" s="185"/>
      <c r="R301" s="183">
        <v>175</v>
      </c>
      <c r="S301" s="185"/>
      <c r="T301" s="183">
        <v>8</v>
      </c>
      <c r="U301" s="185"/>
      <c r="V301" s="124" t="s">
        <v>1582</v>
      </c>
      <c r="W301" s="125"/>
      <c r="X301" s="227">
        <v>800</v>
      </c>
      <c r="Y301" s="228"/>
      <c r="Z301" s="229"/>
      <c r="AA301" s="110" t="s">
        <v>1583</v>
      </c>
      <c r="AB301" s="111"/>
      <c r="AC301" s="239"/>
      <c r="AD301" s="240"/>
      <c r="AE301" s="36"/>
      <c r="AF301" s="235"/>
      <c r="AG301" s="270"/>
      <c r="AH301" s="236"/>
      <c r="AI301" s="167"/>
      <c r="AJ301" s="203" t="s">
        <v>1030</v>
      </c>
      <c r="AK301" s="203"/>
      <c r="AL301" s="203"/>
    </row>
    <row r="302" spans="1:38" ht="120" x14ac:dyDescent="0.25">
      <c r="A302" s="179"/>
      <c r="B302" s="292"/>
      <c r="C302" s="314"/>
      <c r="D302" s="293"/>
      <c r="E302" s="28" t="s">
        <v>1586</v>
      </c>
      <c r="F302" s="192" t="s">
        <v>1587</v>
      </c>
      <c r="G302" s="196"/>
      <c r="H302" s="193"/>
      <c r="I302" s="164"/>
      <c r="J302" s="166"/>
      <c r="K302" s="460"/>
      <c r="L302" s="461"/>
      <c r="M302" s="183">
        <v>512</v>
      </c>
      <c r="N302" s="184"/>
      <c r="O302" s="185"/>
      <c r="P302" s="183">
        <v>47</v>
      </c>
      <c r="Q302" s="185"/>
      <c r="R302" s="183">
        <v>200</v>
      </c>
      <c r="S302" s="185"/>
      <c r="T302" s="183">
        <v>10</v>
      </c>
      <c r="U302" s="185"/>
      <c r="V302" s="124" t="s">
        <v>1588</v>
      </c>
      <c r="W302" s="125"/>
      <c r="X302" s="227">
        <v>980</v>
      </c>
      <c r="Y302" s="228"/>
      <c r="Z302" s="229"/>
      <c r="AA302" s="110" t="s">
        <v>975</v>
      </c>
      <c r="AB302" s="111"/>
      <c r="AC302" s="239"/>
      <c r="AD302" s="240"/>
      <c r="AE302" s="36"/>
      <c r="AF302" s="235"/>
      <c r="AG302" s="270"/>
      <c r="AH302" s="236"/>
      <c r="AI302" s="167"/>
      <c r="AJ302" s="203" t="s">
        <v>1030</v>
      </c>
      <c r="AK302" s="203"/>
      <c r="AL302" s="203"/>
    </row>
    <row r="303" spans="1:38" ht="120" x14ac:dyDescent="0.25">
      <c r="A303" s="179"/>
      <c r="B303" s="292"/>
      <c r="C303" s="314"/>
      <c r="D303" s="293"/>
      <c r="E303" s="28" t="s">
        <v>1589</v>
      </c>
      <c r="F303" s="272"/>
      <c r="G303" s="282"/>
      <c r="H303" s="273"/>
      <c r="I303" s="167"/>
      <c r="J303" s="169"/>
      <c r="K303" s="460"/>
      <c r="L303" s="461"/>
      <c r="M303" s="183">
        <v>512</v>
      </c>
      <c r="N303" s="184"/>
      <c r="O303" s="185"/>
      <c r="P303" s="183">
        <v>47</v>
      </c>
      <c r="Q303" s="185"/>
      <c r="R303" s="183">
        <v>200</v>
      </c>
      <c r="S303" s="185"/>
      <c r="T303" s="183">
        <v>10</v>
      </c>
      <c r="U303" s="185"/>
      <c r="V303" s="124" t="s">
        <v>1588</v>
      </c>
      <c r="W303" s="125"/>
      <c r="X303" s="227">
        <v>980</v>
      </c>
      <c r="Y303" s="228"/>
      <c r="Z303" s="229"/>
      <c r="AA303" s="110" t="s">
        <v>975</v>
      </c>
      <c r="AB303" s="111"/>
      <c r="AC303" s="239"/>
      <c r="AD303" s="240"/>
      <c r="AE303" s="36"/>
      <c r="AF303" s="235"/>
      <c r="AG303" s="270"/>
      <c r="AH303" s="236"/>
      <c r="AI303" s="167"/>
      <c r="AJ303" s="203" t="s">
        <v>1030</v>
      </c>
      <c r="AK303" s="203"/>
      <c r="AL303" s="203"/>
    </row>
    <row r="304" spans="1:38" ht="120" x14ac:dyDescent="0.25">
      <c r="A304" s="230"/>
      <c r="B304" s="290"/>
      <c r="C304" s="345"/>
      <c r="D304" s="291"/>
      <c r="E304" s="28" t="s">
        <v>1590</v>
      </c>
      <c r="F304" s="194"/>
      <c r="G304" s="197"/>
      <c r="H304" s="195"/>
      <c r="I304" s="214"/>
      <c r="J304" s="216"/>
      <c r="K304" s="460"/>
      <c r="L304" s="461"/>
      <c r="M304" s="183">
        <v>512</v>
      </c>
      <c r="N304" s="184"/>
      <c r="O304" s="185"/>
      <c r="P304" s="183">
        <v>47</v>
      </c>
      <c r="Q304" s="185"/>
      <c r="R304" s="183">
        <v>200</v>
      </c>
      <c r="S304" s="185"/>
      <c r="T304" s="183">
        <v>10</v>
      </c>
      <c r="U304" s="185"/>
      <c r="V304" s="124" t="s">
        <v>1588</v>
      </c>
      <c r="W304" s="125"/>
      <c r="X304" s="227">
        <v>980</v>
      </c>
      <c r="Y304" s="228"/>
      <c r="Z304" s="229"/>
      <c r="AA304" s="110" t="s">
        <v>975</v>
      </c>
      <c r="AB304" s="111"/>
      <c r="AC304" s="225"/>
      <c r="AD304" s="226"/>
      <c r="AE304" s="36"/>
      <c r="AF304" s="237"/>
      <c r="AG304" s="306"/>
      <c r="AH304" s="238"/>
      <c r="AI304" s="167"/>
      <c r="AJ304" s="203" t="s">
        <v>1030</v>
      </c>
      <c r="AK304" s="203"/>
      <c r="AL304" s="203"/>
    </row>
    <row r="305" spans="1:38" ht="90" x14ac:dyDescent="0.3">
      <c r="A305" s="178"/>
      <c r="B305" s="303" t="s">
        <v>1591</v>
      </c>
      <c r="C305" s="344"/>
      <c r="D305" s="304"/>
      <c r="E305" s="28" t="s">
        <v>1592</v>
      </c>
      <c r="F305" s="124" t="s">
        <v>1593</v>
      </c>
      <c r="G305" s="182"/>
      <c r="H305" s="125"/>
      <c r="I305" s="460"/>
      <c r="J305" s="461"/>
      <c r="K305" s="183">
        <v>23</v>
      </c>
      <c r="L305" s="185"/>
      <c r="M305" s="183">
        <v>230</v>
      </c>
      <c r="N305" s="184"/>
      <c r="O305" s="185"/>
      <c r="P305" s="460"/>
      <c r="Q305" s="461"/>
      <c r="R305" s="183">
        <v>60</v>
      </c>
      <c r="S305" s="185"/>
      <c r="T305" s="460"/>
      <c r="U305" s="461"/>
      <c r="V305" s="114" t="s">
        <v>1594</v>
      </c>
      <c r="W305" s="116"/>
      <c r="X305" s="227">
        <v>390</v>
      </c>
      <c r="Y305" s="228"/>
      <c r="Z305" s="229"/>
      <c r="AA305" s="110" t="s">
        <v>1261</v>
      </c>
      <c r="AB305" s="111"/>
      <c r="AC305" s="171" t="s">
        <v>675</v>
      </c>
      <c r="AD305" s="172"/>
      <c r="AE305" s="24" t="s">
        <v>1597</v>
      </c>
      <c r="AF305" s="233" t="s">
        <v>683</v>
      </c>
      <c r="AG305" s="305"/>
      <c r="AH305" s="234"/>
      <c r="AI305" s="167"/>
      <c r="AJ305" s="203" t="s">
        <v>1030</v>
      </c>
      <c r="AK305" s="203"/>
      <c r="AL305" s="203"/>
    </row>
    <row r="306" spans="1:38" ht="75" x14ac:dyDescent="0.3">
      <c r="A306" s="179"/>
      <c r="B306" s="292"/>
      <c r="C306" s="314"/>
      <c r="D306" s="293"/>
      <c r="E306" s="19" t="s">
        <v>1599</v>
      </c>
      <c r="F306" s="346" t="s">
        <v>1593</v>
      </c>
      <c r="G306" s="347"/>
      <c r="H306" s="348"/>
      <c r="I306" s="460"/>
      <c r="J306" s="461"/>
      <c r="K306" s="349">
        <v>23</v>
      </c>
      <c r="L306" s="350"/>
      <c r="M306" s="349">
        <v>230</v>
      </c>
      <c r="N306" s="423"/>
      <c r="O306" s="350"/>
      <c r="P306" s="460"/>
      <c r="Q306" s="461"/>
      <c r="R306" s="349">
        <v>60</v>
      </c>
      <c r="S306" s="350"/>
      <c r="T306" s="460"/>
      <c r="U306" s="461"/>
      <c r="V306" s="351" t="s">
        <v>1594</v>
      </c>
      <c r="W306" s="352"/>
      <c r="X306" s="334">
        <v>390</v>
      </c>
      <c r="Y306" s="335"/>
      <c r="Z306" s="336"/>
      <c r="AA306" s="337" t="s">
        <v>1261</v>
      </c>
      <c r="AB306" s="338"/>
      <c r="AC306" s="162" t="s">
        <v>1595</v>
      </c>
      <c r="AD306" s="163"/>
      <c r="AE306" s="31" t="s">
        <v>681</v>
      </c>
      <c r="AF306" s="235"/>
      <c r="AG306" s="270"/>
      <c r="AH306" s="236"/>
      <c r="AI306" s="167"/>
      <c r="AJ306" s="203" t="s">
        <v>1030</v>
      </c>
      <c r="AK306" s="203"/>
      <c r="AL306" s="203"/>
    </row>
    <row r="307" spans="1:38" ht="75" x14ac:dyDescent="0.3">
      <c r="A307" s="179"/>
      <c r="B307" s="292"/>
      <c r="C307" s="314"/>
      <c r="D307" s="293"/>
      <c r="E307" s="28" t="s">
        <v>1600</v>
      </c>
      <c r="F307" s="124" t="s">
        <v>1601</v>
      </c>
      <c r="G307" s="182"/>
      <c r="H307" s="125"/>
      <c r="I307" s="460"/>
      <c r="J307" s="461"/>
      <c r="K307" s="460"/>
      <c r="L307" s="461"/>
      <c r="M307" s="183">
        <v>400</v>
      </c>
      <c r="N307" s="184"/>
      <c r="O307" s="185"/>
      <c r="P307" s="183">
        <v>28</v>
      </c>
      <c r="Q307" s="185"/>
      <c r="R307" s="183">
        <v>120</v>
      </c>
      <c r="S307" s="185"/>
      <c r="T307" s="183">
        <v>5</v>
      </c>
      <c r="U307" s="185"/>
      <c r="V307" s="114" t="s">
        <v>1602</v>
      </c>
      <c r="W307" s="116"/>
      <c r="X307" s="227">
        <v>780</v>
      </c>
      <c r="Y307" s="228"/>
      <c r="Z307" s="229"/>
      <c r="AA307" s="110" t="s">
        <v>1023</v>
      </c>
      <c r="AB307" s="111"/>
      <c r="AC307" s="162" t="s">
        <v>677</v>
      </c>
      <c r="AD307" s="163"/>
      <c r="AE307" s="31" t="s">
        <v>1598</v>
      </c>
      <c r="AF307" s="235"/>
      <c r="AG307" s="270"/>
      <c r="AH307" s="236"/>
      <c r="AI307" s="167"/>
      <c r="AJ307" s="203" t="s">
        <v>1030</v>
      </c>
      <c r="AK307" s="203"/>
      <c r="AL307" s="203"/>
    </row>
    <row r="308" spans="1:38" ht="75" x14ac:dyDescent="0.3">
      <c r="A308" s="179"/>
      <c r="B308" s="292"/>
      <c r="C308" s="314"/>
      <c r="D308" s="293"/>
      <c r="E308" s="28" t="s">
        <v>1603</v>
      </c>
      <c r="F308" s="124" t="s">
        <v>1601</v>
      </c>
      <c r="G308" s="182"/>
      <c r="H308" s="125"/>
      <c r="I308" s="460"/>
      <c r="J308" s="461"/>
      <c r="K308" s="460"/>
      <c r="L308" s="461"/>
      <c r="M308" s="183">
        <v>400</v>
      </c>
      <c r="N308" s="184"/>
      <c r="O308" s="185"/>
      <c r="P308" s="183">
        <v>28</v>
      </c>
      <c r="Q308" s="185"/>
      <c r="R308" s="183">
        <v>120</v>
      </c>
      <c r="S308" s="185"/>
      <c r="T308" s="183">
        <v>5</v>
      </c>
      <c r="U308" s="185"/>
      <c r="V308" s="114" t="s">
        <v>1602</v>
      </c>
      <c r="W308" s="116"/>
      <c r="X308" s="227">
        <v>780</v>
      </c>
      <c r="Y308" s="228"/>
      <c r="Z308" s="229"/>
      <c r="AA308" s="110" t="s">
        <v>1023</v>
      </c>
      <c r="AB308" s="111"/>
      <c r="AC308" s="162" t="s">
        <v>678</v>
      </c>
      <c r="AD308" s="163"/>
      <c r="AE308" s="31"/>
      <c r="AF308" s="235"/>
      <c r="AG308" s="270"/>
      <c r="AH308" s="236"/>
      <c r="AI308" s="167"/>
      <c r="AJ308" s="203" t="s">
        <v>1030</v>
      </c>
      <c r="AK308" s="203"/>
      <c r="AL308" s="203"/>
    </row>
    <row r="309" spans="1:38" ht="75" x14ac:dyDescent="0.3">
      <c r="A309" s="179"/>
      <c r="B309" s="292"/>
      <c r="C309" s="314"/>
      <c r="D309" s="293"/>
      <c r="E309" s="28" t="s">
        <v>1604</v>
      </c>
      <c r="F309" s="124" t="s">
        <v>1605</v>
      </c>
      <c r="G309" s="182"/>
      <c r="H309" s="125"/>
      <c r="I309" s="460"/>
      <c r="J309" s="461"/>
      <c r="K309" s="460"/>
      <c r="L309" s="461"/>
      <c r="M309" s="183">
        <v>450</v>
      </c>
      <c r="N309" s="184"/>
      <c r="O309" s="185"/>
      <c r="P309" s="183">
        <v>33</v>
      </c>
      <c r="Q309" s="185"/>
      <c r="R309" s="183">
        <v>150</v>
      </c>
      <c r="S309" s="185"/>
      <c r="T309" s="183">
        <v>7</v>
      </c>
      <c r="U309" s="185"/>
      <c r="V309" s="124" t="s">
        <v>1606</v>
      </c>
      <c r="W309" s="125"/>
      <c r="X309" s="227">
        <v>880</v>
      </c>
      <c r="Y309" s="228"/>
      <c r="Z309" s="229"/>
      <c r="AA309" s="110" t="s">
        <v>1338</v>
      </c>
      <c r="AB309" s="111"/>
      <c r="AC309" s="162" t="s">
        <v>1596</v>
      </c>
      <c r="AD309" s="163"/>
      <c r="AE309" s="31"/>
      <c r="AF309" s="235"/>
      <c r="AG309" s="270"/>
      <c r="AH309" s="236"/>
      <c r="AI309" s="167"/>
      <c r="AJ309" s="203" t="s">
        <v>1030</v>
      </c>
      <c r="AK309" s="203"/>
      <c r="AL309" s="203"/>
    </row>
    <row r="310" spans="1:38" ht="75" x14ac:dyDescent="0.3">
      <c r="A310" s="179"/>
      <c r="B310" s="292"/>
      <c r="C310" s="314"/>
      <c r="D310" s="293"/>
      <c r="E310" s="19" t="s">
        <v>1607</v>
      </c>
      <c r="F310" s="346" t="s">
        <v>1605</v>
      </c>
      <c r="G310" s="347"/>
      <c r="H310" s="348"/>
      <c r="I310" s="460"/>
      <c r="J310" s="461"/>
      <c r="K310" s="460"/>
      <c r="L310" s="461"/>
      <c r="M310" s="349">
        <v>450</v>
      </c>
      <c r="N310" s="423"/>
      <c r="O310" s="350"/>
      <c r="P310" s="349">
        <v>33</v>
      </c>
      <c r="Q310" s="350"/>
      <c r="R310" s="349">
        <v>150</v>
      </c>
      <c r="S310" s="350"/>
      <c r="T310" s="349">
        <v>7</v>
      </c>
      <c r="U310" s="350"/>
      <c r="V310" s="346" t="s">
        <v>1606</v>
      </c>
      <c r="W310" s="348"/>
      <c r="X310" s="334">
        <v>880</v>
      </c>
      <c r="Y310" s="335"/>
      <c r="Z310" s="336"/>
      <c r="AA310" s="337" t="s">
        <v>1338</v>
      </c>
      <c r="AB310" s="338"/>
      <c r="AC310" s="162"/>
      <c r="AD310" s="163"/>
      <c r="AE310" s="31"/>
      <c r="AF310" s="235"/>
      <c r="AG310" s="270"/>
      <c r="AH310" s="236"/>
      <c r="AI310" s="167"/>
      <c r="AJ310" s="203" t="s">
        <v>1030</v>
      </c>
      <c r="AK310" s="203"/>
      <c r="AL310" s="203"/>
    </row>
    <row r="311" spans="1:38" ht="75" x14ac:dyDescent="0.3">
      <c r="A311" s="179"/>
      <c r="B311" s="292"/>
      <c r="C311" s="314"/>
      <c r="D311" s="293"/>
      <c r="E311" s="28" t="s">
        <v>1608</v>
      </c>
      <c r="F311" s="124" t="s">
        <v>1609</v>
      </c>
      <c r="G311" s="182"/>
      <c r="H311" s="125"/>
      <c r="I311" s="460"/>
      <c r="J311" s="461"/>
      <c r="K311" s="460"/>
      <c r="L311" s="461"/>
      <c r="M311" s="183">
        <v>500</v>
      </c>
      <c r="N311" s="184"/>
      <c r="O311" s="185"/>
      <c r="P311" s="183">
        <v>36</v>
      </c>
      <c r="Q311" s="185"/>
      <c r="R311" s="183">
        <v>170</v>
      </c>
      <c r="S311" s="185"/>
      <c r="T311" s="183">
        <v>9</v>
      </c>
      <c r="U311" s="185"/>
      <c r="V311" s="124" t="s">
        <v>1610</v>
      </c>
      <c r="W311" s="125"/>
      <c r="X311" s="227">
        <v>980</v>
      </c>
      <c r="Y311" s="228"/>
      <c r="Z311" s="229"/>
      <c r="AA311" s="110" t="s">
        <v>1338</v>
      </c>
      <c r="AB311" s="111"/>
      <c r="AC311" s="162"/>
      <c r="AD311" s="163"/>
      <c r="AE311" s="31"/>
      <c r="AF311" s="235"/>
      <c r="AG311" s="270"/>
      <c r="AH311" s="236"/>
      <c r="AI311" s="167"/>
      <c r="AJ311" s="203" t="s">
        <v>1030</v>
      </c>
      <c r="AK311" s="203"/>
      <c r="AL311" s="203"/>
    </row>
    <row r="312" spans="1:38" ht="75" x14ac:dyDescent="0.3">
      <c r="A312" s="230"/>
      <c r="B312" s="290"/>
      <c r="C312" s="345"/>
      <c r="D312" s="291"/>
      <c r="E312" s="28" t="s">
        <v>1611</v>
      </c>
      <c r="F312" s="124" t="s">
        <v>1609</v>
      </c>
      <c r="G312" s="182"/>
      <c r="H312" s="125"/>
      <c r="I312" s="460"/>
      <c r="J312" s="461"/>
      <c r="K312" s="460"/>
      <c r="L312" s="461"/>
      <c r="M312" s="183">
        <v>500</v>
      </c>
      <c r="N312" s="184"/>
      <c r="O312" s="185"/>
      <c r="P312" s="183">
        <v>36</v>
      </c>
      <c r="Q312" s="185"/>
      <c r="R312" s="183">
        <v>170</v>
      </c>
      <c r="S312" s="185"/>
      <c r="T312" s="183">
        <v>9</v>
      </c>
      <c r="U312" s="185"/>
      <c r="V312" s="124" t="s">
        <v>1610</v>
      </c>
      <c r="W312" s="125"/>
      <c r="X312" s="227">
        <v>980</v>
      </c>
      <c r="Y312" s="228"/>
      <c r="Z312" s="229"/>
      <c r="AA312" s="110" t="s">
        <v>1338</v>
      </c>
      <c r="AB312" s="111"/>
      <c r="AC312" s="212"/>
      <c r="AD312" s="213"/>
      <c r="AE312" s="31"/>
      <c r="AF312" s="237"/>
      <c r="AG312" s="306"/>
      <c r="AH312" s="238"/>
      <c r="AI312" s="167"/>
      <c r="AJ312" s="203" t="s">
        <v>1030</v>
      </c>
      <c r="AK312" s="203"/>
      <c r="AL312" s="203"/>
    </row>
    <row r="313" spans="1:38" ht="90" x14ac:dyDescent="0.3">
      <c r="A313" s="178"/>
      <c r="B313" s="171" t="s">
        <v>1612</v>
      </c>
      <c r="C313" s="407"/>
      <c r="D313" s="172"/>
      <c r="E313" s="28" t="s">
        <v>1613</v>
      </c>
      <c r="F313" s="124" t="s">
        <v>1614</v>
      </c>
      <c r="G313" s="182"/>
      <c r="H313" s="125"/>
      <c r="I313" s="460"/>
      <c r="J313" s="461"/>
      <c r="K313" s="460"/>
      <c r="L313" s="461"/>
      <c r="M313" s="183">
        <v>230</v>
      </c>
      <c r="N313" s="184"/>
      <c r="O313" s="185"/>
      <c r="P313" s="460"/>
      <c r="Q313" s="461"/>
      <c r="R313" s="183">
        <v>65</v>
      </c>
      <c r="S313" s="185"/>
      <c r="T313" s="460"/>
      <c r="U313" s="461"/>
      <c r="V313" s="114" t="s">
        <v>1615</v>
      </c>
      <c r="W313" s="116"/>
      <c r="X313" s="227">
        <v>380</v>
      </c>
      <c r="Y313" s="228"/>
      <c r="Z313" s="229"/>
      <c r="AA313" s="110" t="s">
        <v>1127</v>
      </c>
      <c r="AB313" s="111"/>
      <c r="AC313" s="223" t="s">
        <v>675</v>
      </c>
      <c r="AD313" s="224"/>
      <c r="AE313" s="24" t="s">
        <v>1618</v>
      </c>
      <c r="AF313" s="192" t="s">
        <v>683</v>
      </c>
      <c r="AG313" s="196"/>
      <c r="AH313" s="193"/>
      <c r="AI313" s="167"/>
      <c r="AJ313" s="203" t="s">
        <v>1030</v>
      </c>
      <c r="AK313" s="203"/>
      <c r="AL313" s="203"/>
    </row>
    <row r="314" spans="1:38" ht="105" x14ac:dyDescent="0.3">
      <c r="A314" s="179"/>
      <c r="B314" s="162"/>
      <c r="C314" s="170"/>
      <c r="D314" s="163"/>
      <c r="E314" s="19" t="s">
        <v>1620</v>
      </c>
      <c r="F314" s="346" t="s">
        <v>1621</v>
      </c>
      <c r="G314" s="347"/>
      <c r="H314" s="348"/>
      <c r="I314" s="460"/>
      <c r="J314" s="461"/>
      <c r="K314" s="460"/>
      <c r="L314" s="461"/>
      <c r="M314" s="349">
        <v>406</v>
      </c>
      <c r="N314" s="423"/>
      <c r="O314" s="350"/>
      <c r="P314" s="349">
        <v>43</v>
      </c>
      <c r="Q314" s="350"/>
      <c r="R314" s="349">
        <v>135</v>
      </c>
      <c r="S314" s="350"/>
      <c r="T314" s="349">
        <v>5</v>
      </c>
      <c r="U314" s="350"/>
      <c r="V314" s="351" t="s">
        <v>1622</v>
      </c>
      <c r="W314" s="352"/>
      <c r="X314" s="334">
        <v>888</v>
      </c>
      <c r="Y314" s="335"/>
      <c r="Z314" s="336"/>
      <c r="AA314" s="337" t="s">
        <v>1452</v>
      </c>
      <c r="AB314" s="338"/>
      <c r="AC314" s="239" t="s">
        <v>1616</v>
      </c>
      <c r="AD314" s="240"/>
      <c r="AE314" s="31" t="s">
        <v>681</v>
      </c>
      <c r="AF314" s="272"/>
      <c r="AG314" s="282"/>
      <c r="AH314" s="273"/>
      <c r="AI314" s="167"/>
      <c r="AJ314" s="203" t="s">
        <v>1030</v>
      </c>
      <c r="AK314" s="203"/>
      <c r="AL314" s="203"/>
    </row>
    <row r="315" spans="1:38" ht="105" x14ac:dyDescent="0.3">
      <c r="A315" s="179"/>
      <c r="B315" s="162"/>
      <c r="C315" s="170"/>
      <c r="D315" s="163"/>
      <c r="E315" s="19" t="s">
        <v>1623</v>
      </c>
      <c r="F315" s="346" t="s">
        <v>1624</v>
      </c>
      <c r="G315" s="347"/>
      <c r="H315" s="348"/>
      <c r="I315" s="460"/>
      <c r="J315" s="461"/>
      <c r="K315" s="460"/>
      <c r="L315" s="461"/>
      <c r="M315" s="349">
        <v>434</v>
      </c>
      <c r="N315" s="423"/>
      <c r="O315" s="350"/>
      <c r="P315" s="349">
        <v>48</v>
      </c>
      <c r="Q315" s="350"/>
      <c r="R315" s="351" t="s">
        <v>1625</v>
      </c>
      <c r="S315" s="352"/>
      <c r="T315" s="349">
        <v>7</v>
      </c>
      <c r="U315" s="350"/>
      <c r="V315" s="346" t="s">
        <v>1626</v>
      </c>
      <c r="W315" s="348"/>
      <c r="X315" s="334">
        <v>1078</v>
      </c>
      <c r="Y315" s="335"/>
      <c r="Z315" s="336"/>
      <c r="AA315" s="337" t="s">
        <v>688</v>
      </c>
      <c r="AB315" s="338"/>
      <c r="AC315" s="239" t="s">
        <v>677</v>
      </c>
      <c r="AD315" s="240"/>
      <c r="AE315" s="31" t="s">
        <v>1619</v>
      </c>
      <c r="AF315" s="272"/>
      <c r="AG315" s="282"/>
      <c r="AH315" s="273"/>
      <c r="AI315" s="167"/>
      <c r="AJ315" s="203" t="s">
        <v>1030</v>
      </c>
      <c r="AK315" s="203"/>
      <c r="AL315" s="203"/>
    </row>
    <row r="316" spans="1:38" ht="15" x14ac:dyDescent="0.3">
      <c r="A316" s="179"/>
      <c r="B316" s="162"/>
      <c r="C316" s="170"/>
      <c r="D316" s="163"/>
      <c r="E316" s="75" t="s">
        <v>1627</v>
      </c>
      <c r="F316" s="192" t="s">
        <v>1628</v>
      </c>
      <c r="G316" s="196"/>
      <c r="H316" s="193"/>
      <c r="I316" s="149"/>
      <c r="J316" s="150"/>
      <c r="K316" s="149"/>
      <c r="L316" s="150"/>
      <c r="M316" s="387">
        <v>462</v>
      </c>
      <c r="N316" s="495"/>
      <c r="O316" s="388"/>
      <c r="P316" s="387">
        <v>52</v>
      </c>
      <c r="Q316" s="388"/>
      <c r="R316" s="171" t="s">
        <v>1629</v>
      </c>
      <c r="S316" s="172"/>
      <c r="T316" s="387">
        <v>9</v>
      </c>
      <c r="U316" s="388"/>
      <c r="V316" s="171" t="s">
        <v>1630</v>
      </c>
      <c r="W316" s="172"/>
      <c r="X316" s="252">
        <v>1210</v>
      </c>
      <c r="Y316" s="253"/>
      <c r="Z316" s="254"/>
      <c r="AA316" s="192" t="s">
        <v>768</v>
      </c>
      <c r="AB316" s="193"/>
      <c r="AC316" s="239" t="s">
        <v>678</v>
      </c>
      <c r="AD316" s="240"/>
      <c r="AE316" s="31"/>
      <c r="AF316" s="272"/>
      <c r="AG316" s="282"/>
      <c r="AH316" s="273"/>
      <c r="AI316" s="167"/>
      <c r="AJ316" s="203" t="s">
        <v>1030</v>
      </c>
      <c r="AK316" s="203"/>
      <c r="AL316" s="203"/>
    </row>
    <row r="317" spans="1:38" ht="15.5" x14ac:dyDescent="0.35">
      <c r="A317" s="179"/>
      <c r="B317" s="162"/>
      <c r="C317" s="170"/>
      <c r="D317" s="163"/>
      <c r="E317" s="76"/>
      <c r="F317" s="194"/>
      <c r="G317" s="197"/>
      <c r="H317" s="195"/>
      <c r="I317" s="151"/>
      <c r="J317" s="152"/>
      <c r="K317" s="151"/>
      <c r="L317" s="152"/>
      <c r="M317" s="389"/>
      <c r="N317" s="496"/>
      <c r="O317" s="390"/>
      <c r="P317" s="389"/>
      <c r="Q317" s="390"/>
      <c r="R317" s="212"/>
      <c r="S317" s="213"/>
      <c r="T317" s="389"/>
      <c r="U317" s="390"/>
      <c r="V317" s="212"/>
      <c r="W317" s="213"/>
      <c r="X317" s="255"/>
      <c r="Y317" s="256"/>
      <c r="Z317" s="257"/>
      <c r="AA317" s="194"/>
      <c r="AB317" s="195"/>
      <c r="AC317" s="239" t="s">
        <v>1617</v>
      </c>
      <c r="AD317" s="240"/>
      <c r="AE317" s="31"/>
      <c r="AF317" s="272"/>
      <c r="AG317" s="282"/>
      <c r="AH317" s="273"/>
      <c r="AI317" s="167"/>
      <c r="AJ317" s="122"/>
      <c r="AK317" s="122"/>
      <c r="AL317" s="122"/>
    </row>
    <row r="318" spans="1:38" ht="15.5" x14ac:dyDescent="0.35">
      <c r="A318" s="179"/>
      <c r="B318" s="162"/>
      <c r="C318" s="170"/>
      <c r="D318" s="163"/>
      <c r="E318" s="79" t="s">
        <v>1631</v>
      </c>
      <c r="F318" s="143" t="s">
        <v>1632</v>
      </c>
      <c r="G318" s="144"/>
      <c r="H318" s="145"/>
      <c r="I318" s="149"/>
      <c r="J318" s="150"/>
      <c r="K318" s="149"/>
      <c r="L318" s="150"/>
      <c r="M318" s="204">
        <v>552</v>
      </c>
      <c r="N318" s="250"/>
      <c r="O318" s="205"/>
      <c r="P318" s="204">
        <v>58</v>
      </c>
      <c r="Q318" s="205"/>
      <c r="R318" s="88" t="s">
        <v>1633</v>
      </c>
      <c r="S318" s="89"/>
      <c r="T318" s="204">
        <v>11</v>
      </c>
      <c r="U318" s="205"/>
      <c r="V318" s="88" t="s">
        <v>1634</v>
      </c>
      <c r="W318" s="89"/>
      <c r="X318" s="241">
        <v>1338</v>
      </c>
      <c r="Y318" s="242"/>
      <c r="Z318" s="243"/>
      <c r="AA318" s="143" t="s">
        <v>674</v>
      </c>
      <c r="AB318" s="145"/>
      <c r="AC318" s="239"/>
      <c r="AD318" s="240"/>
      <c r="AE318" s="31"/>
      <c r="AF318" s="272"/>
      <c r="AG318" s="282"/>
      <c r="AH318" s="273"/>
      <c r="AI318" s="167"/>
      <c r="AJ318" s="122"/>
      <c r="AK318" s="122"/>
      <c r="AL318" s="122"/>
    </row>
    <row r="319" spans="1:38" ht="15" x14ac:dyDescent="0.3">
      <c r="A319" s="230"/>
      <c r="B319" s="212"/>
      <c r="C319" s="408"/>
      <c r="D319" s="213"/>
      <c r="E319" s="80"/>
      <c r="F319" s="146"/>
      <c r="G319" s="147"/>
      <c r="H319" s="148"/>
      <c r="I319" s="151"/>
      <c r="J319" s="152"/>
      <c r="K319" s="151"/>
      <c r="L319" s="152"/>
      <c r="M319" s="206"/>
      <c r="N319" s="251"/>
      <c r="O319" s="207"/>
      <c r="P319" s="206"/>
      <c r="Q319" s="207"/>
      <c r="R319" s="117"/>
      <c r="S319" s="118"/>
      <c r="T319" s="206"/>
      <c r="U319" s="207"/>
      <c r="V319" s="117"/>
      <c r="W319" s="118"/>
      <c r="X319" s="244"/>
      <c r="Y319" s="245"/>
      <c r="Z319" s="246"/>
      <c r="AA319" s="146"/>
      <c r="AB319" s="148"/>
      <c r="AC319" s="225"/>
      <c r="AD319" s="226"/>
      <c r="AE319" s="31"/>
      <c r="AF319" s="194"/>
      <c r="AG319" s="197"/>
      <c r="AH319" s="195"/>
      <c r="AI319" s="167"/>
      <c r="AJ319" s="203" t="s">
        <v>1030</v>
      </c>
      <c r="AK319" s="203"/>
      <c r="AL319" s="203"/>
    </row>
    <row r="320" spans="1:38" ht="90" x14ac:dyDescent="0.3">
      <c r="A320" s="178"/>
      <c r="B320" s="303" t="s">
        <v>1635</v>
      </c>
      <c r="C320" s="344"/>
      <c r="D320" s="304"/>
      <c r="E320" s="19" t="s">
        <v>1636</v>
      </c>
      <c r="F320" s="346" t="s">
        <v>1614</v>
      </c>
      <c r="G320" s="347"/>
      <c r="H320" s="348"/>
      <c r="I320" s="460"/>
      <c r="J320" s="461"/>
      <c r="K320" s="460"/>
      <c r="L320" s="461"/>
      <c r="M320" s="349">
        <v>230</v>
      </c>
      <c r="N320" s="423"/>
      <c r="O320" s="350"/>
      <c r="P320" s="460"/>
      <c r="Q320" s="461"/>
      <c r="R320" s="349">
        <v>65</v>
      </c>
      <c r="S320" s="350"/>
      <c r="T320" s="460"/>
      <c r="U320" s="461"/>
      <c r="V320" s="351" t="s">
        <v>1615</v>
      </c>
      <c r="W320" s="352"/>
      <c r="X320" s="334">
        <v>380</v>
      </c>
      <c r="Y320" s="335"/>
      <c r="Z320" s="336"/>
      <c r="AA320" s="337" t="s">
        <v>1127</v>
      </c>
      <c r="AB320" s="338"/>
      <c r="AC320" s="223" t="s">
        <v>675</v>
      </c>
      <c r="AD320" s="224"/>
      <c r="AE320" s="549" t="s">
        <v>1639</v>
      </c>
      <c r="AF320" s="233" t="s">
        <v>683</v>
      </c>
      <c r="AG320" s="305"/>
      <c r="AH320" s="234"/>
      <c r="AI320" s="167"/>
      <c r="AJ320" s="203" t="s">
        <v>1030</v>
      </c>
      <c r="AK320" s="203"/>
      <c r="AL320" s="203"/>
    </row>
    <row r="321" spans="1:38" ht="105" x14ac:dyDescent="0.3">
      <c r="A321" s="179"/>
      <c r="B321" s="292"/>
      <c r="C321" s="314"/>
      <c r="D321" s="293"/>
      <c r="E321" s="19" t="s">
        <v>1640</v>
      </c>
      <c r="F321" s="346" t="s">
        <v>1621</v>
      </c>
      <c r="G321" s="347"/>
      <c r="H321" s="348"/>
      <c r="I321" s="460"/>
      <c r="J321" s="461"/>
      <c r="K321" s="460"/>
      <c r="L321" s="461"/>
      <c r="M321" s="349">
        <v>406</v>
      </c>
      <c r="N321" s="423"/>
      <c r="O321" s="350"/>
      <c r="P321" s="349">
        <v>43</v>
      </c>
      <c r="Q321" s="350"/>
      <c r="R321" s="349">
        <v>135</v>
      </c>
      <c r="S321" s="350"/>
      <c r="T321" s="349">
        <v>5</v>
      </c>
      <c r="U321" s="350"/>
      <c r="V321" s="351" t="s">
        <v>1622</v>
      </c>
      <c r="W321" s="352"/>
      <c r="X321" s="334">
        <v>888</v>
      </c>
      <c r="Y321" s="335"/>
      <c r="Z321" s="336"/>
      <c r="AA321" s="337" t="s">
        <v>1452</v>
      </c>
      <c r="AB321" s="338"/>
      <c r="AC321" s="239" t="s">
        <v>1637</v>
      </c>
      <c r="AD321" s="240"/>
      <c r="AE321" s="274"/>
      <c r="AF321" s="235"/>
      <c r="AG321" s="270"/>
      <c r="AH321" s="236"/>
      <c r="AI321" s="167"/>
      <c r="AJ321" s="203" t="s">
        <v>1030</v>
      </c>
      <c r="AK321" s="203"/>
      <c r="AL321" s="203"/>
    </row>
    <row r="322" spans="1:38" ht="105" x14ac:dyDescent="0.3">
      <c r="A322" s="179"/>
      <c r="B322" s="292"/>
      <c r="C322" s="314"/>
      <c r="D322" s="293"/>
      <c r="E322" s="19" t="s">
        <v>1641</v>
      </c>
      <c r="F322" s="346" t="s">
        <v>1624</v>
      </c>
      <c r="G322" s="347"/>
      <c r="H322" s="348"/>
      <c r="I322" s="460"/>
      <c r="J322" s="461"/>
      <c r="K322" s="460"/>
      <c r="L322" s="461"/>
      <c r="M322" s="349">
        <v>434</v>
      </c>
      <c r="N322" s="423"/>
      <c r="O322" s="350"/>
      <c r="P322" s="349">
        <v>48</v>
      </c>
      <c r="Q322" s="350"/>
      <c r="R322" s="351" t="s">
        <v>1625</v>
      </c>
      <c r="S322" s="352"/>
      <c r="T322" s="349">
        <v>7</v>
      </c>
      <c r="U322" s="350"/>
      <c r="V322" s="346" t="s">
        <v>1626</v>
      </c>
      <c r="W322" s="348"/>
      <c r="X322" s="334">
        <v>1078</v>
      </c>
      <c r="Y322" s="335"/>
      <c r="Z322" s="336"/>
      <c r="AA322" s="337" t="s">
        <v>688</v>
      </c>
      <c r="AB322" s="338"/>
      <c r="AC322" s="239" t="s">
        <v>677</v>
      </c>
      <c r="AD322" s="240"/>
      <c r="AE322" s="274"/>
      <c r="AF322" s="235"/>
      <c r="AG322" s="270"/>
      <c r="AH322" s="236"/>
      <c r="AI322" s="167"/>
      <c r="AJ322" s="203" t="s">
        <v>1030</v>
      </c>
      <c r="AK322" s="203"/>
      <c r="AL322" s="203"/>
    </row>
    <row r="323" spans="1:38" ht="15" x14ac:dyDescent="0.3">
      <c r="A323" s="179"/>
      <c r="B323" s="292"/>
      <c r="C323" s="314"/>
      <c r="D323" s="293"/>
      <c r="E323" s="75" t="s">
        <v>1642</v>
      </c>
      <c r="F323" s="192" t="s">
        <v>1628</v>
      </c>
      <c r="G323" s="196"/>
      <c r="H323" s="193"/>
      <c r="I323" s="149"/>
      <c r="J323" s="150"/>
      <c r="K323" s="149"/>
      <c r="L323" s="150"/>
      <c r="M323" s="387">
        <v>462</v>
      </c>
      <c r="N323" s="495"/>
      <c r="O323" s="388"/>
      <c r="P323" s="387">
        <v>52</v>
      </c>
      <c r="Q323" s="388"/>
      <c r="R323" s="171" t="s">
        <v>1629</v>
      </c>
      <c r="S323" s="172"/>
      <c r="T323" s="387">
        <v>9</v>
      </c>
      <c r="U323" s="388"/>
      <c r="V323" s="171" t="s">
        <v>1630</v>
      </c>
      <c r="W323" s="172"/>
      <c r="X323" s="252">
        <v>1210</v>
      </c>
      <c r="Y323" s="253"/>
      <c r="Z323" s="254"/>
      <c r="AA323" s="192" t="s">
        <v>768</v>
      </c>
      <c r="AB323" s="193"/>
      <c r="AC323" s="239" t="s">
        <v>678</v>
      </c>
      <c r="AD323" s="240"/>
      <c r="AE323" s="274"/>
      <c r="AF323" s="235"/>
      <c r="AG323" s="270"/>
      <c r="AH323" s="236"/>
      <c r="AI323" s="167"/>
      <c r="AJ323" s="203" t="s">
        <v>1030</v>
      </c>
      <c r="AK323" s="203"/>
      <c r="AL323" s="203"/>
    </row>
    <row r="324" spans="1:38" ht="15.5" x14ac:dyDescent="0.35">
      <c r="A324" s="179"/>
      <c r="B324" s="292"/>
      <c r="C324" s="314"/>
      <c r="D324" s="293"/>
      <c r="E324" s="76"/>
      <c r="F324" s="194"/>
      <c r="G324" s="197"/>
      <c r="H324" s="195"/>
      <c r="I324" s="151"/>
      <c r="J324" s="152"/>
      <c r="K324" s="151"/>
      <c r="L324" s="152"/>
      <c r="M324" s="389"/>
      <c r="N324" s="496"/>
      <c r="O324" s="390"/>
      <c r="P324" s="389"/>
      <c r="Q324" s="390"/>
      <c r="R324" s="212"/>
      <c r="S324" s="213"/>
      <c r="T324" s="389"/>
      <c r="U324" s="390"/>
      <c r="V324" s="212"/>
      <c r="W324" s="213"/>
      <c r="X324" s="255"/>
      <c r="Y324" s="256"/>
      <c r="Z324" s="257"/>
      <c r="AA324" s="194"/>
      <c r="AB324" s="195"/>
      <c r="AC324" s="239" t="s">
        <v>1638</v>
      </c>
      <c r="AD324" s="240"/>
      <c r="AE324" s="274"/>
      <c r="AF324" s="235"/>
      <c r="AG324" s="270"/>
      <c r="AH324" s="236"/>
      <c r="AI324" s="167"/>
      <c r="AJ324" s="122"/>
      <c r="AK324" s="122"/>
      <c r="AL324" s="122"/>
    </row>
    <row r="325" spans="1:38" ht="15.5" x14ac:dyDescent="0.35">
      <c r="A325" s="179"/>
      <c r="B325" s="292"/>
      <c r="C325" s="314"/>
      <c r="D325" s="293"/>
      <c r="E325" s="75" t="s">
        <v>1643</v>
      </c>
      <c r="F325" s="192" t="s">
        <v>1632</v>
      </c>
      <c r="G325" s="196"/>
      <c r="H325" s="193"/>
      <c r="I325" s="149"/>
      <c r="J325" s="150"/>
      <c r="K325" s="149"/>
      <c r="L325" s="150"/>
      <c r="M325" s="387">
        <v>552</v>
      </c>
      <c r="N325" s="495"/>
      <c r="O325" s="388"/>
      <c r="P325" s="387">
        <v>58</v>
      </c>
      <c r="Q325" s="388"/>
      <c r="R325" s="171" t="s">
        <v>1633</v>
      </c>
      <c r="S325" s="172"/>
      <c r="T325" s="387">
        <v>11</v>
      </c>
      <c r="U325" s="388"/>
      <c r="V325" s="171" t="s">
        <v>1634</v>
      </c>
      <c r="W325" s="172"/>
      <c r="X325" s="252">
        <v>1338</v>
      </c>
      <c r="Y325" s="253"/>
      <c r="Z325" s="254"/>
      <c r="AA325" s="192" t="s">
        <v>674</v>
      </c>
      <c r="AB325" s="193"/>
      <c r="AC325" s="239"/>
      <c r="AD325" s="240"/>
      <c r="AE325" s="274"/>
      <c r="AF325" s="235"/>
      <c r="AG325" s="270"/>
      <c r="AH325" s="236"/>
      <c r="AI325" s="167"/>
      <c r="AJ325" s="122"/>
      <c r="AK325" s="122"/>
      <c r="AL325" s="122"/>
    </row>
    <row r="326" spans="1:38" ht="15" x14ac:dyDescent="0.3">
      <c r="A326" s="179"/>
      <c r="B326" s="292"/>
      <c r="C326" s="314"/>
      <c r="D326" s="293"/>
      <c r="E326" s="83"/>
      <c r="F326" s="272"/>
      <c r="G326" s="282"/>
      <c r="H326" s="273"/>
      <c r="I326" s="135"/>
      <c r="J326" s="137"/>
      <c r="K326" s="135"/>
      <c r="L326" s="137"/>
      <c r="M326" s="506"/>
      <c r="N326" s="602"/>
      <c r="O326" s="507"/>
      <c r="P326" s="506"/>
      <c r="Q326" s="507"/>
      <c r="R326" s="162"/>
      <c r="S326" s="163"/>
      <c r="T326" s="506"/>
      <c r="U326" s="507"/>
      <c r="V326" s="162"/>
      <c r="W326" s="163"/>
      <c r="X326" s="311"/>
      <c r="Y326" s="312"/>
      <c r="Z326" s="313"/>
      <c r="AA326" s="272"/>
      <c r="AB326" s="273"/>
      <c r="AC326" s="239"/>
      <c r="AD326" s="240"/>
      <c r="AE326" s="274"/>
      <c r="AF326" s="235"/>
      <c r="AG326" s="270"/>
      <c r="AH326" s="236"/>
      <c r="AI326" s="167"/>
      <c r="AJ326" s="203" t="s">
        <v>1644</v>
      </c>
      <c r="AK326" s="203"/>
      <c r="AL326" s="203"/>
    </row>
    <row r="327" spans="1:38" ht="15" x14ac:dyDescent="0.3">
      <c r="A327" s="230"/>
      <c r="B327" s="290"/>
      <c r="C327" s="345"/>
      <c r="D327" s="291"/>
      <c r="E327" s="76"/>
      <c r="F327" s="194"/>
      <c r="G327" s="197"/>
      <c r="H327" s="195"/>
      <c r="I327" s="151"/>
      <c r="J327" s="152"/>
      <c r="K327" s="151"/>
      <c r="L327" s="152"/>
      <c r="M327" s="389"/>
      <c r="N327" s="496"/>
      <c r="O327" s="390"/>
      <c r="P327" s="389"/>
      <c r="Q327" s="390"/>
      <c r="R327" s="212"/>
      <c r="S327" s="213"/>
      <c r="T327" s="389"/>
      <c r="U327" s="390"/>
      <c r="V327" s="212"/>
      <c r="W327" s="213"/>
      <c r="X327" s="255"/>
      <c r="Y327" s="256"/>
      <c r="Z327" s="257"/>
      <c r="AA327" s="194"/>
      <c r="AB327" s="195"/>
      <c r="AC327" s="225"/>
      <c r="AD327" s="226"/>
      <c r="AE327" s="550"/>
      <c r="AF327" s="237"/>
      <c r="AG327" s="306"/>
      <c r="AH327" s="238"/>
      <c r="AI327" s="167"/>
      <c r="AJ327" s="203" t="s">
        <v>1645</v>
      </c>
      <c r="AK327" s="203"/>
      <c r="AL327" s="203"/>
    </row>
    <row r="328" spans="1:38" ht="90" x14ac:dyDescent="0.35">
      <c r="A328" s="178"/>
      <c r="B328" s="303" t="s">
        <v>1646</v>
      </c>
      <c r="C328" s="344"/>
      <c r="D328" s="304"/>
      <c r="E328" s="68" t="s">
        <v>1647</v>
      </c>
      <c r="F328" s="192" t="s">
        <v>1614</v>
      </c>
      <c r="G328" s="196"/>
      <c r="H328" s="193"/>
      <c r="I328" s="192" t="s">
        <v>1477</v>
      </c>
      <c r="J328" s="193"/>
      <c r="K328" s="149"/>
      <c r="L328" s="150"/>
      <c r="M328" s="387">
        <v>230</v>
      </c>
      <c r="N328" s="495"/>
      <c r="O328" s="388"/>
      <c r="P328" s="149"/>
      <c r="Q328" s="150"/>
      <c r="R328" s="387">
        <v>65</v>
      </c>
      <c r="S328" s="388"/>
      <c r="T328" s="149"/>
      <c r="U328" s="150"/>
      <c r="V328" s="171" t="s">
        <v>1615</v>
      </c>
      <c r="W328" s="172"/>
      <c r="X328" s="252">
        <v>380</v>
      </c>
      <c r="Y328" s="253"/>
      <c r="Z328" s="254"/>
      <c r="AA328" s="192" t="s">
        <v>1127</v>
      </c>
      <c r="AB328" s="193"/>
      <c r="AC328" s="223" t="s">
        <v>675</v>
      </c>
      <c r="AD328" s="224"/>
      <c r="AE328" s="24" t="s">
        <v>1650</v>
      </c>
      <c r="AF328" s="233" t="s">
        <v>683</v>
      </c>
      <c r="AG328" s="305"/>
      <c r="AH328" s="234"/>
      <c r="AI328" s="167"/>
      <c r="AJ328" s="122"/>
      <c r="AK328" s="122"/>
      <c r="AL328" s="122"/>
    </row>
    <row r="329" spans="1:38" ht="120" x14ac:dyDescent="0.3">
      <c r="A329" s="179"/>
      <c r="B329" s="292"/>
      <c r="C329" s="314"/>
      <c r="D329" s="293"/>
      <c r="E329" s="70"/>
      <c r="F329" s="194"/>
      <c r="G329" s="197"/>
      <c r="H329" s="195"/>
      <c r="I329" s="194"/>
      <c r="J329" s="195"/>
      <c r="K329" s="151"/>
      <c r="L329" s="152"/>
      <c r="M329" s="389"/>
      <c r="N329" s="496"/>
      <c r="O329" s="390"/>
      <c r="P329" s="151"/>
      <c r="Q329" s="152"/>
      <c r="R329" s="389"/>
      <c r="S329" s="390"/>
      <c r="T329" s="151"/>
      <c r="U329" s="152"/>
      <c r="V329" s="212"/>
      <c r="W329" s="213"/>
      <c r="X329" s="255"/>
      <c r="Y329" s="256"/>
      <c r="Z329" s="257"/>
      <c r="AA329" s="194"/>
      <c r="AB329" s="195"/>
      <c r="AC329" s="239" t="s">
        <v>1648</v>
      </c>
      <c r="AD329" s="240"/>
      <c r="AE329" s="31" t="s">
        <v>1651</v>
      </c>
      <c r="AF329" s="235"/>
      <c r="AG329" s="270"/>
      <c r="AH329" s="236"/>
      <c r="AI329" s="167"/>
      <c r="AJ329" s="203" t="s">
        <v>1030</v>
      </c>
      <c r="AK329" s="203"/>
      <c r="AL329" s="203"/>
    </row>
    <row r="330" spans="1:38" ht="75" x14ac:dyDescent="0.3">
      <c r="A330" s="179"/>
      <c r="B330" s="292"/>
      <c r="C330" s="314"/>
      <c r="D330" s="293"/>
      <c r="E330" s="19" t="s">
        <v>1652</v>
      </c>
      <c r="F330" s="346" t="s">
        <v>1621</v>
      </c>
      <c r="G330" s="347"/>
      <c r="H330" s="348"/>
      <c r="I330" s="460"/>
      <c r="J330" s="461"/>
      <c r="K330" s="460"/>
      <c r="L330" s="461"/>
      <c r="M330" s="349">
        <v>406</v>
      </c>
      <c r="N330" s="423"/>
      <c r="O330" s="350"/>
      <c r="P330" s="349">
        <v>43</v>
      </c>
      <c r="Q330" s="350"/>
      <c r="R330" s="349">
        <v>135</v>
      </c>
      <c r="S330" s="350"/>
      <c r="T330" s="349">
        <v>5</v>
      </c>
      <c r="U330" s="350"/>
      <c r="V330" s="351" t="s">
        <v>1622</v>
      </c>
      <c r="W330" s="352"/>
      <c r="X330" s="334">
        <v>888</v>
      </c>
      <c r="Y330" s="335"/>
      <c r="Z330" s="336"/>
      <c r="AA330" s="337" t="s">
        <v>1452</v>
      </c>
      <c r="AB330" s="338"/>
      <c r="AC330" s="239" t="s">
        <v>677</v>
      </c>
      <c r="AD330" s="240"/>
      <c r="AE330" s="31"/>
      <c r="AF330" s="235"/>
      <c r="AG330" s="270"/>
      <c r="AH330" s="236"/>
      <c r="AI330" s="167"/>
      <c r="AJ330" s="203" t="s">
        <v>1030</v>
      </c>
      <c r="AK330" s="203"/>
      <c r="AL330" s="203"/>
    </row>
    <row r="331" spans="1:38" ht="75" x14ac:dyDescent="0.3">
      <c r="A331" s="179"/>
      <c r="B331" s="292"/>
      <c r="C331" s="314"/>
      <c r="D331" s="293"/>
      <c r="E331" s="19" t="s">
        <v>1653</v>
      </c>
      <c r="F331" s="346" t="s">
        <v>1624</v>
      </c>
      <c r="G331" s="347"/>
      <c r="H331" s="348"/>
      <c r="I331" s="460"/>
      <c r="J331" s="461"/>
      <c r="K331" s="460"/>
      <c r="L331" s="461"/>
      <c r="M331" s="349">
        <v>434</v>
      </c>
      <c r="N331" s="423"/>
      <c r="O331" s="350"/>
      <c r="P331" s="349">
        <v>48</v>
      </c>
      <c r="Q331" s="350"/>
      <c r="R331" s="351" t="s">
        <v>1625</v>
      </c>
      <c r="S331" s="352"/>
      <c r="T331" s="349">
        <v>7</v>
      </c>
      <c r="U331" s="350"/>
      <c r="V331" s="346" t="s">
        <v>1626</v>
      </c>
      <c r="W331" s="348"/>
      <c r="X331" s="334">
        <v>1078</v>
      </c>
      <c r="Y331" s="335"/>
      <c r="Z331" s="336"/>
      <c r="AA331" s="337" t="s">
        <v>688</v>
      </c>
      <c r="AB331" s="338"/>
      <c r="AC331" s="239" t="s">
        <v>678</v>
      </c>
      <c r="AD331" s="240"/>
      <c r="AE331" s="31"/>
      <c r="AF331" s="235"/>
      <c r="AG331" s="270"/>
      <c r="AH331" s="236"/>
      <c r="AI331" s="167"/>
      <c r="AJ331" s="203" t="s">
        <v>1030</v>
      </c>
      <c r="AK331" s="203"/>
      <c r="AL331" s="203"/>
    </row>
    <row r="332" spans="1:38" ht="15" x14ac:dyDescent="0.3">
      <c r="A332" s="179"/>
      <c r="B332" s="292"/>
      <c r="C332" s="314"/>
      <c r="D332" s="293"/>
      <c r="E332" s="68" t="s">
        <v>1654</v>
      </c>
      <c r="F332" s="192" t="s">
        <v>1628</v>
      </c>
      <c r="G332" s="196"/>
      <c r="H332" s="193"/>
      <c r="I332" s="149"/>
      <c r="J332" s="150"/>
      <c r="K332" s="149"/>
      <c r="L332" s="150"/>
      <c r="M332" s="387">
        <v>462</v>
      </c>
      <c r="N332" s="495"/>
      <c r="O332" s="388"/>
      <c r="P332" s="387">
        <v>52</v>
      </c>
      <c r="Q332" s="388"/>
      <c r="R332" s="171" t="s">
        <v>1629</v>
      </c>
      <c r="S332" s="172"/>
      <c r="T332" s="387">
        <v>9</v>
      </c>
      <c r="U332" s="388"/>
      <c r="V332" s="171" t="s">
        <v>1630</v>
      </c>
      <c r="W332" s="172"/>
      <c r="X332" s="252">
        <v>1210</v>
      </c>
      <c r="Y332" s="253"/>
      <c r="Z332" s="254"/>
      <c r="AA332" s="192" t="s">
        <v>768</v>
      </c>
      <c r="AB332" s="193"/>
      <c r="AC332" s="239" t="s">
        <v>1649</v>
      </c>
      <c r="AD332" s="240"/>
      <c r="AE332" s="31"/>
      <c r="AF332" s="235"/>
      <c r="AG332" s="270"/>
      <c r="AH332" s="236"/>
      <c r="AI332" s="167"/>
      <c r="AJ332" s="203" t="s">
        <v>1030</v>
      </c>
      <c r="AK332" s="203"/>
      <c r="AL332" s="203"/>
    </row>
    <row r="333" spans="1:38" ht="15.5" x14ac:dyDescent="0.35">
      <c r="A333" s="179"/>
      <c r="B333" s="292"/>
      <c r="C333" s="314"/>
      <c r="D333" s="293"/>
      <c r="E333" s="70"/>
      <c r="F333" s="194"/>
      <c r="G333" s="197"/>
      <c r="H333" s="195"/>
      <c r="I333" s="151"/>
      <c r="J333" s="152"/>
      <c r="K333" s="151"/>
      <c r="L333" s="152"/>
      <c r="M333" s="389"/>
      <c r="N333" s="496"/>
      <c r="O333" s="390"/>
      <c r="P333" s="389"/>
      <c r="Q333" s="390"/>
      <c r="R333" s="212"/>
      <c r="S333" s="213"/>
      <c r="T333" s="389"/>
      <c r="U333" s="390"/>
      <c r="V333" s="212"/>
      <c r="W333" s="213"/>
      <c r="X333" s="255"/>
      <c r="Y333" s="256"/>
      <c r="Z333" s="257"/>
      <c r="AA333" s="194"/>
      <c r="AB333" s="195"/>
      <c r="AC333" s="239"/>
      <c r="AD333" s="240"/>
      <c r="AE333" s="31"/>
      <c r="AF333" s="235"/>
      <c r="AG333" s="270"/>
      <c r="AH333" s="236"/>
      <c r="AI333" s="167"/>
      <c r="AJ333" s="122"/>
      <c r="AK333" s="122"/>
      <c r="AL333" s="122"/>
    </row>
    <row r="334" spans="1:38" ht="15.5" x14ac:dyDescent="0.35">
      <c r="A334" s="179"/>
      <c r="B334" s="292"/>
      <c r="C334" s="314"/>
      <c r="D334" s="293"/>
      <c r="E334" s="68" t="s">
        <v>1655</v>
      </c>
      <c r="F334" s="192" t="s">
        <v>1632</v>
      </c>
      <c r="G334" s="196"/>
      <c r="H334" s="193"/>
      <c r="I334" s="149"/>
      <c r="J334" s="150"/>
      <c r="K334" s="149"/>
      <c r="L334" s="150"/>
      <c r="M334" s="387">
        <v>552</v>
      </c>
      <c r="N334" s="495"/>
      <c r="O334" s="388"/>
      <c r="P334" s="387">
        <v>58</v>
      </c>
      <c r="Q334" s="388"/>
      <c r="R334" s="171" t="s">
        <v>1633</v>
      </c>
      <c r="S334" s="172"/>
      <c r="T334" s="387">
        <v>11</v>
      </c>
      <c r="U334" s="388"/>
      <c r="V334" s="171" t="s">
        <v>1634</v>
      </c>
      <c r="W334" s="172"/>
      <c r="X334" s="252">
        <v>1338</v>
      </c>
      <c r="Y334" s="253"/>
      <c r="Z334" s="254"/>
      <c r="AA334" s="192" t="s">
        <v>674</v>
      </c>
      <c r="AB334" s="193"/>
      <c r="AC334" s="239"/>
      <c r="AD334" s="240"/>
      <c r="AE334" s="31"/>
      <c r="AF334" s="235"/>
      <c r="AG334" s="270"/>
      <c r="AH334" s="236"/>
      <c r="AI334" s="167"/>
      <c r="AJ334" s="122"/>
      <c r="AK334" s="122"/>
      <c r="AL334" s="122"/>
    </row>
    <row r="335" spans="1:38" ht="15" x14ac:dyDescent="0.3">
      <c r="A335" s="230"/>
      <c r="B335" s="290"/>
      <c r="C335" s="345"/>
      <c r="D335" s="291"/>
      <c r="E335" s="70"/>
      <c r="F335" s="194"/>
      <c r="G335" s="197"/>
      <c r="H335" s="195"/>
      <c r="I335" s="151"/>
      <c r="J335" s="152"/>
      <c r="K335" s="151"/>
      <c r="L335" s="152"/>
      <c r="M335" s="389"/>
      <c r="N335" s="496"/>
      <c r="O335" s="390"/>
      <c r="P335" s="389"/>
      <c r="Q335" s="390"/>
      <c r="R335" s="212"/>
      <c r="S335" s="213"/>
      <c r="T335" s="389"/>
      <c r="U335" s="390"/>
      <c r="V335" s="212"/>
      <c r="W335" s="213"/>
      <c r="X335" s="255"/>
      <c r="Y335" s="256"/>
      <c r="Z335" s="257"/>
      <c r="AA335" s="194"/>
      <c r="AB335" s="195"/>
      <c r="AC335" s="225"/>
      <c r="AD335" s="226"/>
      <c r="AE335" s="31"/>
      <c r="AF335" s="237"/>
      <c r="AG335" s="306"/>
      <c r="AH335" s="238"/>
      <c r="AI335" s="167"/>
      <c r="AJ335" s="203" t="s">
        <v>1030</v>
      </c>
      <c r="AK335" s="203"/>
      <c r="AL335" s="203"/>
    </row>
    <row r="336" spans="1:38" ht="90" x14ac:dyDescent="0.3">
      <c r="A336" s="178"/>
      <c r="B336" s="303" t="s">
        <v>1656</v>
      </c>
      <c r="C336" s="344"/>
      <c r="D336" s="304"/>
      <c r="E336" s="19" t="s">
        <v>1657</v>
      </c>
      <c r="F336" s="346" t="s">
        <v>1614</v>
      </c>
      <c r="G336" s="347"/>
      <c r="H336" s="348"/>
      <c r="I336" s="337" t="s">
        <v>1477</v>
      </c>
      <c r="J336" s="338"/>
      <c r="K336" s="460"/>
      <c r="L336" s="461"/>
      <c r="M336" s="349">
        <v>230</v>
      </c>
      <c r="N336" s="423"/>
      <c r="O336" s="350"/>
      <c r="P336" s="460"/>
      <c r="Q336" s="461"/>
      <c r="R336" s="349">
        <v>65</v>
      </c>
      <c r="S336" s="350"/>
      <c r="T336" s="460"/>
      <c r="U336" s="461"/>
      <c r="V336" s="351" t="s">
        <v>1615</v>
      </c>
      <c r="W336" s="352"/>
      <c r="X336" s="334">
        <v>380</v>
      </c>
      <c r="Y336" s="335"/>
      <c r="Z336" s="336"/>
      <c r="AA336" s="337" t="s">
        <v>1127</v>
      </c>
      <c r="AB336" s="338"/>
      <c r="AC336" s="223" t="s">
        <v>675</v>
      </c>
      <c r="AD336" s="224"/>
      <c r="AE336" s="24" t="s">
        <v>1660</v>
      </c>
      <c r="AF336" s="233" t="s">
        <v>683</v>
      </c>
      <c r="AG336" s="305"/>
      <c r="AH336" s="234"/>
      <c r="AI336" s="167"/>
      <c r="AJ336" s="203" t="s">
        <v>1030</v>
      </c>
      <c r="AK336" s="203"/>
      <c r="AL336" s="203"/>
    </row>
    <row r="337" spans="1:38" ht="105" x14ac:dyDescent="0.3">
      <c r="A337" s="179"/>
      <c r="B337" s="292"/>
      <c r="C337" s="314"/>
      <c r="D337" s="293"/>
      <c r="E337" s="19" t="s">
        <v>1662</v>
      </c>
      <c r="F337" s="346" t="s">
        <v>1621</v>
      </c>
      <c r="G337" s="347"/>
      <c r="H337" s="348"/>
      <c r="I337" s="460"/>
      <c r="J337" s="461"/>
      <c r="K337" s="460"/>
      <c r="L337" s="461"/>
      <c r="M337" s="349">
        <v>406</v>
      </c>
      <c r="N337" s="423"/>
      <c r="O337" s="350"/>
      <c r="P337" s="349">
        <v>43</v>
      </c>
      <c r="Q337" s="350"/>
      <c r="R337" s="349">
        <v>135</v>
      </c>
      <c r="S337" s="350"/>
      <c r="T337" s="349">
        <v>5</v>
      </c>
      <c r="U337" s="350"/>
      <c r="V337" s="351" t="s">
        <v>1622</v>
      </c>
      <c r="W337" s="352"/>
      <c r="X337" s="334">
        <v>888</v>
      </c>
      <c r="Y337" s="335"/>
      <c r="Z337" s="336"/>
      <c r="AA337" s="337" t="s">
        <v>1452</v>
      </c>
      <c r="AB337" s="338"/>
      <c r="AC337" s="239" t="s">
        <v>1658</v>
      </c>
      <c r="AD337" s="240"/>
      <c r="AE337" s="31" t="s">
        <v>681</v>
      </c>
      <c r="AF337" s="235"/>
      <c r="AG337" s="270"/>
      <c r="AH337" s="236"/>
      <c r="AI337" s="167"/>
      <c r="AJ337" s="203" t="s">
        <v>1030</v>
      </c>
      <c r="AK337" s="203"/>
      <c r="AL337" s="203"/>
    </row>
    <row r="338" spans="1:38" ht="105" x14ac:dyDescent="0.3">
      <c r="A338" s="179"/>
      <c r="B338" s="292"/>
      <c r="C338" s="314"/>
      <c r="D338" s="293"/>
      <c r="E338" s="19" t="s">
        <v>1663</v>
      </c>
      <c r="F338" s="346" t="s">
        <v>1624</v>
      </c>
      <c r="G338" s="347"/>
      <c r="H338" s="348"/>
      <c r="I338" s="460"/>
      <c r="J338" s="461"/>
      <c r="K338" s="460"/>
      <c r="L338" s="461"/>
      <c r="M338" s="349">
        <v>434</v>
      </c>
      <c r="N338" s="423"/>
      <c r="O338" s="350"/>
      <c r="P338" s="349">
        <v>48</v>
      </c>
      <c r="Q338" s="350"/>
      <c r="R338" s="351" t="s">
        <v>1625</v>
      </c>
      <c r="S338" s="352"/>
      <c r="T338" s="349">
        <v>7</v>
      </c>
      <c r="U338" s="350"/>
      <c r="V338" s="346" t="s">
        <v>1626</v>
      </c>
      <c r="W338" s="348"/>
      <c r="X338" s="334">
        <v>1078</v>
      </c>
      <c r="Y338" s="335"/>
      <c r="Z338" s="336"/>
      <c r="AA338" s="337" t="s">
        <v>688</v>
      </c>
      <c r="AB338" s="338"/>
      <c r="AC338" s="239" t="s">
        <v>677</v>
      </c>
      <c r="AD338" s="240"/>
      <c r="AE338" s="31" t="s">
        <v>1661</v>
      </c>
      <c r="AF338" s="235"/>
      <c r="AG338" s="270"/>
      <c r="AH338" s="236"/>
      <c r="AI338" s="167"/>
      <c r="AJ338" s="203" t="s">
        <v>1030</v>
      </c>
      <c r="AK338" s="203"/>
      <c r="AL338" s="203"/>
    </row>
    <row r="339" spans="1:38" ht="15" x14ac:dyDescent="0.3">
      <c r="A339" s="179"/>
      <c r="B339" s="292"/>
      <c r="C339" s="314"/>
      <c r="D339" s="293"/>
      <c r="E339" s="75" t="s">
        <v>1664</v>
      </c>
      <c r="F339" s="192" t="s">
        <v>1628</v>
      </c>
      <c r="G339" s="196"/>
      <c r="H339" s="193"/>
      <c r="I339" s="149"/>
      <c r="J339" s="150"/>
      <c r="K339" s="149"/>
      <c r="L339" s="150"/>
      <c r="M339" s="387">
        <v>462</v>
      </c>
      <c r="N339" s="495"/>
      <c r="O339" s="388"/>
      <c r="P339" s="387">
        <v>52</v>
      </c>
      <c r="Q339" s="388"/>
      <c r="R339" s="171" t="s">
        <v>1629</v>
      </c>
      <c r="S339" s="172"/>
      <c r="T339" s="387">
        <v>9</v>
      </c>
      <c r="U339" s="388"/>
      <c r="V339" s="171" t="s">
        <v>1630</v>
      </c>
      <c r="W339" s="172"/>
      <c r="X339" s="252">
        <v>1210</v>
      </c>
      <c r="Y339" s="253"/>
      <c r="Z339" s="254"/>
      <c r="AA339" s="192" t="s">
        <v>768</v>
      </c>
      <c r="AB339" s="193"/>
      <c r="AC339" s="239" t="s">
        <v>678</v>
      </c>
      <c r="AD339" s="240"/>
      <c r="AE339" s="31"/>
      <c r="AF339" s="235"/>
      <c r="AG339" s="270"/>
      <c r="AH339" s="236"/>
      <c r="AI339" s="167"/>
      <c r="AJ339" s="203" t="s">
        <v>1030</v>
      </c>
      <c r="AK339" s="203"/>
      <c r="AL339" s="203"/>
    </row>
    <row r="340" spans="1:38" ht="15.5" x14ac:dyDescent="0.35">
      <c r="A340" s="179"/>
      <c r="B340" s="292"/>
      <c r="C340" s="314"/>
      <c r="D340" s="293"/>
      <c r="E340" s="76"/>
      <c r="F340" s="194"/>
      <c r="G340" s="197"/>
      <c r="H340" s="195"/>
      <c r="I340" s="151"/>
      <c r="J340" s="152"/>
      <c r="K340" s="151"/>
      <c r="L340" s="152"/>
      <c r="M340" s="389"/>
      <c r="N340" s="496"/>
      <c r="O340" s="390"/>
      <c r="P340" s="389"/>
      <c r="Q340" s="390"/>
      <c r="R340" s="212"/>
      <c r="S340" s="213"/>
      <c r="T340" s="389"/>
      <c r="U340" s="390"/>
      <c r="V340" s="212"/>
      <c r="W340" s="213"/>
      <c r="X340" s="255"/>
      <c r="Y340" s="256"/>
      <c r="Z340" s="257"/>
      <c r="AA340" s="194"/>
      <c r="AB340" s="195"/>
      <c r="AC340" s="239" t="s">
        <v>1659</v>
      </c>
      <c r="AD340" s="240"/>
      <c r="AE340" s="31"/>
      <c r="AF340" s="235"/>
      <c r="AG340" s="270"/>
      <c r="AH340" s="236"/>
      <c r="AI340" s="167"/>
      <c r="AJ340" s="122"/>
      <c r="AK340" s="122"/>
      <c r="AL340" s="122"/>
    </row>
    <row r="341" spans="1:38" ht="15.5" x14ac:dyDescent="0.35">
      <c r="A341" s="179"/>
      <c r="B341" s="292"/>
      <c r="C341" s="314"/>
      <c r="D341" s="293"/>
      <c r="E341" s="75" t="s">
        <v>1665</v>
      </c>
      <c r="F341" s="192" t="s">
        <v>1632</v>
      </c>
      <c r="G341" s="196"/>
      <c r="H341" s="193"/>
      <c r="I341" s="149"/>
      <c r="J341" s="150"/>
      <c r="K341" s="149"/>
      <c r="L341" s="150"/>
      <c r="M341" s="387">
        <v>552</v>
      </c>
      <c r="N341" s="495"/>
      <c r="O341" s="388"/>
      <c r="P341" s="387">
        <v>58</v>
      </c>
      <c r="Q341" s="388"/>
      <c r="R341" s="171" t="s">
        <v>1633</v>
      </c>
      <c r="S341" s="172"/>
      <c r="T341" s="387">
        <v>11</v>
      </c>
      <c r="U341" s="388"/>
      <c r="V341" s="171" t="s">
        <v>1634</v>
      </c>
      <c r="W341" s="172"/>
      <c r="X341" s="252">
        <v>1338</v>
      </c>
      <c r="Y341" s="253"/>
      <c r="Z341" s="254"/>
      <c r="AA341" s="192" t="s">
        <v>674</v>
      </c>
      <c r="AB341" s="193"/>
      <c r="AC341" s="239"/>
      <c r="AD341" s="240"/>
      <c r="AE341" s="31"/>
      <c r="AF341" s="235"/>
      <c r="AG341" s="270"/>
      <c r="AH341" s="236"/>
      <c r="AI341" s="167"/>
      <c r="AJ341" s="122"/>
      <c r="AK341" s="122"/>
      <c r="AL341" s="122"/>
    </row>
    <row r="342" spans="1:38" ht="15" x14ac:dyDescent="0.3">
      <c r="A342" s="179"/>
      <c r="B342" s="292"/>
      <c r="C342" s="314"/>
      <c r="D342" s="293"/>
      <c r="E342" s="83"/>
      <c r="F342" s="272"/>
      <c r="G342" s="282"/>
      <c r="H342" s="273"/>
      <c r="I342" s="135"/>
      <c r="J342" s="137"/>
      <c r="K342" s="135"/>
      <c r="L342" s="137"/>
      <c r="M342" s="506"/>
      <c r="N342" s="602"/>
      <c r="O342" s="507"/>
      <c r="P342" s="506"/>
      <c r="Q342" s="507"/>
      <c r="R342" s="162"/>
      <c r="S342" s="163"/>
      <c r="T342" s="506"/>
      <c r="U342" s="507"/>
      <c r="V342" s="162"/>
      <c r="W342" s="163"/>
      <c r="X342" s="311"/>
      <c r="Y342" s="312"/>
      <c r="Z342" s="313"/>
      <c r="AA342" s="272"/>
      <c r="AB342" s="273"/>
      <c r="AC342" s="239"/>
      <c r="AD342" s="240"/>
      <c r="AE342" s="31"/>
      <c r="AF342" s="235"/>
      <c r="AG342" s="270"/>
      <c r="AH342" s="236"/>
      <c r="AI342" s="167"/>
      <c r="AJ342" s="203" t="s">
        <v>1030</v>
      </c>
      <c r="AK342" s="203"/>
      <c r="AL342" s="203"/>
    </row>
    <row r="343" spans="1:38" ht="15" x14ac:dyDescent="0.3">
      <c r="A343" s="179"/>
      <c r="B343" s="292"/>
      <c r="C343" s="314"/>
      <c r="D343" s="293"/>
      <c r="E343" s="83"/>
      <c r="F343" s="272"/>
      <c r="G343" s="282"/>
      <c r="H343" s="273"/>
      <c r="I343" s="135"/>
      <c r="J343" s="137"/>
      <c r="K343" s="135"/>
      <c r="L343" s="137"/>
      <c r="M343" s="506"/>
      <c r="N343" s="602"/>
      <c r="O343" s="507"/>
      <c r="P343" s="506"/>
      <c r="Q343" s="507"/>
      <c r="R343" s="162"/>
      <c r="S343" s="163"/>
      <c r="T343" s="506"/>
      <c r="U343" s="507"/>
      <c r="V343" s="162"/>
      <c r="W343" s="163"/>
      <c r="X343" s="311"/>
      <c r="Y343" s="312"/>
      <c r="Z343" s="313"/>
      <c r="AA343" s="272"/>
      <c r="AB343" s="273"/>
      <c r="AC343" s="239"/>
      <c r="AD343" s="240"/>
      <c r="AE343" s="31"/>
      <c r="AF343" s="235"/>
      <c r="AG343" s="270"/>
      <c r="AH343" s="236"/>
      <c r="AI343" s="167"/>
      <c r="AJ343" s="203" t="s">
        <v>1666</v>
      </c>
      <c r="AK343" s="203"/>
      <c r="AL343" s="203"/>
    </row>
    <row r="344" spans="1:38" ht="15" x14ac:dyDescent="0.3">
      <c r="A344" s="179"/>
      <c r="B344" s="292"/>
      <c r="C344" s="314"/>
      <c r="D344" s="293"/>
      <c r="E344" s="83"/>
      <c r="F344" s="272"/>
      <c r="G344" s="282"/>
      <c r="H344" s="273"/>
      <c r="I344" s="135"/>
      <c r="J344" s="137"/>
      <c r="K344" s="135"/>
      <c r="L344" s="137"/>
      <c r="M344" s="506"/>
      <c r="N344" s="602"/>
      <c r="O344" s="507"/>
      <c r="P344" s="506"/>
      <c r="Q344" s="507"/>
      <c r="R344" s="162"/>
      <c r="S344" s="163"/>
      <c r="T344" s="506"/>
      <c r="U344" s="507"/>
      <c r="V344" s="162"/>
      <c r="W344" s="163"/>
      <c r="X344" s="311"/>
      <c r="Y344" s="312"/>
      <c r="Z344" s="313"/>
      <c r="AA344" s="272"/>
      <c r="AB344" s="273"/>
      <c r="AC344" s="239"/>
      <c r="AD344" s="240"/>
      <c r="AE344" s="31"/>
      <c r="AF344" s="235"/>
      <c r="AG344" s="270"/>
      <c r="AH344" s="236"/>
      <c r="AI344" s="167"/>
      <c r="AJ344" s="203" t="s">
        <v>1667</v>
      </c>
      <c r="AK344" s="203"/>
      <c r="AL344" s="203"/>
    </row>
    <row r="345" spans="1:38" ht="15" x14ac:dyDescent="0.3">
      <c r="A345" s="179"/>
      <c r="B345" s="292"/>
      <c r="C345" s="314"/>
      <c r="D345" s="293"/>
      <c r="E345" s="83"/>
      <c r="F345" s="272"/>
      <c r="G345" s="282"/>
      <c r="H345" s="273"/>
      <c r="I345" s="135"/>
      <c r="J345" s="137"/>
      <c r="K345" s="135"/>
      <c r="L345" s="137"/>
      <c r="M345" s="506"/>
      <c r="N345" s="602"/>
      <c r="O345" s="507"/>
      <c r="P345" s="506"/>
      <c r="Q345" s="507"/>
      <c r="R345" s="162"/>
      <c r="S345" s="163"/>
      <c r="T345" s="506"/>
      <c r="U345" s="507"/>
      <c r="V345" s="162"/>
      <c r="W345" s="163"/>
      <c r="X345" s="311"/>
      <c r="Y345" s="312"/>
      <c r="Z345" s="313"/>
      <c r="AA345" s="272"/>
      <c r="AB345" s="273"/>
      <c r="AC345" s="239"/>
      <c r="AD345" s="240"/>
      <c r="AE345" s="31"/>
      <c r="AF345" s="235"/>
      <c r="AG345" s="270"/>
      <c r="AH345" s="236"/>
      <c r="AI345" s="167"/>
      <c r="AJ345" s="203" t="s">
        <v>1668</v>
      </c>
      <c r="AK345" s="203"/>
      <c r="AL345" s="203"/>
    </row>
    <row r="346" spans="1:38" ht="15" x14ac:dyDescent="0.3">
      <c r="A346" s="179"/>
      <c r="B346" s="292"/>
      <c r="C346" s="314"/>
      <c r="D346" s="293"/>
      <c r="E346" s="83"/>
      <c r="F346" s="272"/>
      <c r="G346" s="282"/>
      <c r="H346" s="273"/>
      <c r="I346" s="135"/>
      <c r="J346" s="137"/>
      <c r="K346" s="135"/>
      <c r="L346" s="137"/>
      <c r="M346" s="506"/>
      <c r="N346" s="602"/>
      <c r="O346" s="507"/>
      <c r="P346" s="506"/>
      <c r="Q346" s="507"/>
      <c r="R346" s="162"/>
      <c r="S346" s="163"/>
      <c r="T346" s="506"/>
      <c r="U346" s="507"/>
      <c r="V346" s="162"/>
      <c r="W346" s="163"/>
      <c r="X346" s="311"/>
      <c r="Y346" s="312"/>
      <c r="Z346" s="313"/>
      <c r="AA346" s="272"/>
      <c r="AB346" s="273"/>
      <c r="AC346" s="239"/>
      <c r="AD346" s="240"/>
      <c r="AE346" s="31"/>
      <c r="AF346" s="235"/>
      <c r="AG346" s="270"/>
      <c r="AH346" s="236"/>
      <c r="AI346" s="167"/>
      <c r="AJ346" s="203" t="s">
        <v>1667</v>
      </c>
      <c r="AK346" s="203"/>
      <c r="AL346" s="203"/>
    </row>
    <row r="347" spans="1:38" ht="15" x14ac:dyDescent="0.3">
      <c r="A347" s="179"/>
      <c r="B347" s="292"/>
      <c r="C347" s="314"/>
      <c r="D347" s="293"/>
      <c r="E347" s="83"/>
      <c r="F347" s="272"/>
      <c r="G347" s="282"/>
      <c r="H347" s="273"/>
      <c r="I347" s="135"/>
      <c r="J347" s="137"/>
      <c r="K347" s="135"/>
      <c r="L347" s="137"/>
      <c r="M347" s="506"/>
      <c r="N347" s="602"/>
      <c r="O347" s="507"/>
      <c r="P347" s="506"/>
      <c r="Q347" s="507"/>
      <c r="R347" s="162"/>
      <c r="S347" s="163"/>
      <c r="T347" s="506"/>
      <c r="U347" s="507"/>
      <c r="V347" s="162"/>
      <c r="W347" s="163"/>
      <c r="X347" s="311"/>
      <c r="Y347" s="312"/>
      <c r="Z347" s="313"/>
      <c r="AA347" s="272"/>
      <c r="AB347" s="273"/>
      <c r="AC347" s="239"/>
      <c r="AD347" s="240"/>
      <c r="AE347" s="31"/>
      <c r="AF347" s="235"/>
      <c r="AG347" s="270"/>
      <c r="AH347" s="236"/>
      <c r="AI347" s="167"/>
      <c r="AJ347" s="203" t="s">
        <v>1668</v>
      </c>
      <c r="AK347" s="203"/>
      <c r="AL347" s="203"/>
    </row>
    <row r="348" spans="1:38" ht="15" x14ac:dyDescent="0.3">
      <c r="A348" s="179"/>
      <c r="B348" s="292"/>
      <c r="C348" s="314"/>
      <c r="D348" s="293"/>
      <c r="E348" s="83"/>
      <c r="F348" s="272"/>
      <c r="G348" s="282"/>
      <c r="H348" s="273"/>
      <c r="I348" s="135"/>
      <c r="J348" s="137"/>
      <c r="K348" s="135"/>
      <c r="L348" s="137"/>
      <c r="M348" s="506"/>
      <c r="N348" s="602"/>
      <c r="O348" s="507"/>
      <c r="P348" s="506"/>
      <c r="Q348" s="507"/>
      <c r="R348" s="162"/>
      <c r="S348" s="163"/>
      <c r="T348" s="506"/>
      <c r="U348" s="507"/>
      <c r="V348" s="162"/>
      <c r="W348" s="163"/>
      <c r="X348" s="311"/>
      <c r="Y348" s="312"/>
      <c r="Z348" s="313"/>
      <c r="AA348" s="272"/>
      <c r="AB348" s="273"/>
      <c r="AC348" s="239"/>
      <c r="AD348" s="240"/>
      <c r="AE348" s="31"/>
      <c r="AF348" s="235"/>
      <c r="AG348" s="270"/>
      <c r="AH348" s="236"/>
      <c r="AI348" s="167"/>
      <c r="AJ348" s="203" t="s">
        <v>1667</v>
      </c>
      <c r="AK348" s="203"/>
      <c r="AL348" s="203"/>
    </row>
    <row r="349" spans="1:38" ht="15" x14ac:dyDescent="0.3">
      <c r="A349" s="179"/>
      <c r="B349" s="292"/>
      <c r="C349" s="314"/>
      <c r="D349" s="293"/>
      <c r="E349" s="83"/>
      <c r="F349" s="272"/>
      <c r="G349" s="282"/>
      <c r="H349" s="273"/>
      <c r="I349" s="135"/>
      <c r="J349" s="137"/>
      <c r="K349" s="135"/>
      <c r="L349" s="137"/>
      <c r="M349" s="506"/>
      <c r="N349" s="602"/>
      <c r="O349" s="507"/>
      <c r="P349" s="506"/>
      <c r="Q349" s="507"/>
      <c r="R349" s="162"/>
      <c r="S349" s="163"/>
      <c r="T349" s="506"/>
      <c r="U349" s="507"/>
      <c r="V349" s="162"/>
      <c r="W349" s="163"/>
      <c r="X349" s="311"/>
      <c r="Y349" s="312"/>
      <c r="Z349" s="313"/>
      <c r="AA349" s="272"/>
      <c r="AB349" s="273"/>
      <c r="AC349" s="239"/>
      <c r="AD349" s="240"/>
      <c r="AE349" s="31"/>
      <c r="AF349" s="235"/>
      <c r="AG349" s="270"/>
      <c r="AH349" s="236"/>
      <c r="AI349" s="167"/>
      <c r="AJ349" s="203" t="s">
        <v>1668</v>
      </c>
      <c r="AK349" s="203"/>
      <c r="AL349" s="203"/>
    </row>
    <row r="350" spans="1:38" ht="15" x14ac:dyDescent="0.3">
      <c r="A350" s="179"/>
      <c r="B350" s="292"/>
      <c r="C350" s="314"/>
      <c r="D350" s="293"/>
      <c r="E350" s="83"/>
      <c r="F350" s="272"/>
      <c r="G350" s="282"/>
      <c r="H350" s="273"/>
      <c r="I350" s="135"/>
      <c r="J350" s="137"/>
      <c r="K350" s="135"/>
      <c r="L350" s="137"/>
      <c r="M350" s="506"/>
      <c r="N350" s="602"/>
      <c r="O350" s="507"/>
      <c r="P350" s="506"/>
      <c r="Q350" s="507"/>
      <c r="R350" s="162"/>
      <c r="S350" s="163"/>
      <c r="T350" s="506"/>
      <c r="U350" s="507"/>
      <c r="V350" s="162"/>
      <c r="W350" s="163"/>
      <c r="X350" s="311"/>
      <c r="Y350" s="312"/>
      <c r="Z350" s="313"/>
      <c r="AA350" s="272"/>
      <c r="AB350" s="273"/>
      <c r="AC350" s="239"/>
      <c r="AD350" s="240"/>
      <c r="AE350" s="31"/>
      <c r="AF350" s="235"/>
      <c r="AG350" s="270"/>
      <c r="AH350" s="236"/>
      <c r="AI350" s="167"/>
      <c r="AJ350" s="203" t="s">
        <v>1667</v>
      </c>
      <c r="AK350" s="203"/>
      <c r="AL350" s="203"/>
    </row>
    <row r="351" spans="1:38" ht="15" x14ac:dyDescent="0.3">
      <c r="A351" s="230"/>
      <c r="B351" s="290"/>
      <c r="C351" s="345"/>
      <c r="D351" s="291"/>
      <c r="E351" s="76"/>
      <c r="F351" s="194"/>
      <c r="G351" s="197"/>
      <c r="H351" s="195"/>
      <c r="I351" s="151"/>
      <c r="J351" s="152"/>
      <c r="K351" s="151"/>
      <c r="L351" s="152"/>
      <c r="M351" s="389"/>
      <c r="N351" s="496"/>
      <c r="O351" s="390"/>
      <c r="P351" s="389"/>
      <c r="Q351" s="390"/>
      <c r="R351" s="212"/>
      <c r="S351" s="213"/>
      <c r="T351" s="389"/>
      <c r="U351" s="390"/>
      <c r="V351" s="212"/>
      <c r="W351" s="213"/>
      <c r="X351" s="255"/>
      <c r="Y351" s="256"/>
      <c r="Z351" s="257"/>
      <c r="AA351" s="194"/>
      <c r="AB351" s="195"/>
      <c r="AC351" s="225"/>
      <c r="AD351" s="226"/>
      <c r="AE351" s="31"/>
      <c r="AF351" s="237"/>
      <c r="AG351" s="306"/>
      <c r="AH351" s="238"/>
      <c r="AI351" s="167"/>
      <c r="AJ351" s="203" t="s">
        <v>1668</v>
      </c>
      <c r="AK351" s="203"/>
      <c r="AL351" s="203"/>
    </row>
    <row r="352" spans="1:38" ht="90" x14ac:dyDescent="0.35">
      <c r="A352" s="178"/>
      <c r="B352" s="303" t="s">
        <v>1669</v>
      </c>
      <c r="C352" s="344"/>
      <c r="D352" s="304"/>
      <c r="E352" s="28" t="s">
        <v>1670</v>
      </c>
      <c r="F352" s="171" t="s">
        <v>1671</v>
      </c>
      <c r="G352" s="407"/>
      <c r="H352" s="172"/>
      <c r="I352" s="107"/>
      <c r="J352" s="109"/>
      <c r="K352" s="107"/>
      <c r="L352" s="109"/>
      <c r="M352" s="183">
        <v>75</v>
      </c>
      <c r="N352" s="184"/>
      <c r="O352" s="185"/>
      <c r="P352" s="183">
        <v>5</v>
      </c>
      <c r="Q352" s="185"/>
      <c r="R352" s="183">
        <v>17</v>
      </c>
      <c r="S352" s="185"/>
      <c r="T352" s="107"/>
      <c r="U352" s="109"/>
      <c r="V352" s="114" t="s">
        <v>1672</v>
      </c>
      <c r="W352" s="116"/>
      <c r="X352" s="227">
        <v>138</v>
      </c>
      <c r="Y352" s="228"/>
      <c r="Z352" s="229"/>
      <c r="AA352" s="110" t="s">
        <v>1023</v>
      </c>
      <c r="AB352" s="111"/>
      <c r="AC352" s="223" t="s">
        <v>675</v>
      </c>
      <c r="AD352" s="224"/>
      <c r="AE352" s="24" t="s">
        <v>1675</v>
      </c>
      <c r="AF352" s="233" t="s">
        <v>683</v>
      </c>
      <c r="AG352" s="305"/>
      <c r="AH352" s="234"/>
      <c r="AI352" s="167"/>
      <c r="AJ352" s="203" t="s">
        <v>1667</v>
      </c>
      <c r="AK352" s="203"/>
      <c r="AL352" s="203"/>
    </row>
    <row r="353" spans="1:38" ht="120" x14ac:dyDescent="0.35">
      <c r="A353" s="179"/>
      <c r="B353" s="292"/>
      <c r="C353" s="314"/>
      <c r="D353" s="293"/>
      <c r="E353" s="28" t="s">
        <v>1677</v>
      </c>
      <c r="F353" s="212"/>
      <c r="G353" s="408"/>
      <c r="H353" s="213"/>
      <c r="I353" s="107"/>
      <c r="J353" s="109"/>
      <c r="K353" s="107"/>
      <c r="L353" s="109"/>
      <c r="M353" s="183">
        <v>75</v>
      </c>
      <c r="N353" s="184"/>
      <c r="O353" s="185"/>
      <c r="P353" s="183">
        <v>5</v>
      </c>
      <c r="Q353" s="185"/>
      <c r="R353" s="183">
        <v>17</v>
      </c>
      <c r="S353" s="185"/>
      <c r="T353" s="107"/>
      <c r="U353" s="109"/>
      <c r="V353" s="114" t="s">
        <v>1672</v>
      </c>
      <c r="W353" s="116"/>
      <c r="X353" s="227">
        <v>138</v>
      </c>
      <c r="Y353" s="228"/>
      <c r="Z353" s="229"/>
      <c r="AA353" s="110" t="s">
        <v>1023</v>
      </c>
      <c r="AB353" s="111"/>
      <c r="AC353" s="239" t="s">
        <v>1673</v>
      </c>
      <c r="AD353" s="240"/>
      <c r="AE353" s="31" t="s">
        <v>1676</v>
      </c>
      <c r="AF353" s="235"/>
      <c r="AG353" s="270"/>
      <c r="AH353" s="236"/>
      <c r="AI353" s="167"/>
      <c r="AJ353" s="203" t="s">
        <v>1668</v>
      </c>
      <c r="AK353" s="203"/>
      <c r="AL353" s="203"/>
    </row>
    <row r="354" spans="1:38" ht="75" x14ac:dyDescent="0.35">
      <c r="A354" s="179"/>
      <c r="B354" s="292"/>
      <c r="C354" s="314"/>
      <c r="D354" s="293"/>
      <c r="E354" s="28" t="s">
        <v>1678</v>
      </c>
      <c r="F354" s="192" t="s">
        <v>1679</v>
      </c>
      <c r="G354" s="196"/>
      <c r="H354" s="193"/>
      <c r="I354" s="107"/>
      <c r="J354" s="109"/>
      <c r="K354" s="107"/>
      <c r="L354" s="109"/>
      <c r="M354" s="183">
        <v>250</v>
      </c>
      <c r="N354" s="184"/>
      <c r="O354" s="185"/>
      <c r="P354" s="107"/>
      <c r="Q354" s="109"/>
      <c r="R354" s="183">
        <v>44</v>
      </c>
      <c r="S354" s="185"/>
      <c r="T354" s="107"/>
      <c r="U354" s="109"/>
      <c r="V354" s="114" t="s">
        <v>1680</v>
      </c>
      <c r="W354" s="116"/>
      <c r="X354" s="227">
        <v>345</v>
      </c>
      <c r="Y354" s="228"/>
      <c r="Z354" s="229"/>
      <c r="AA354" s="110" t="s">
        <v>1191</v>
      </c>
      <c r="AB354" s="111"/>
      <c r="AC354" s="239" t="s">
        <v>677</v>
      </c>
      <c r="AD354" s="240"/>
      <c r="AE354" s="31"/>
      <c r="AF354" s="235"/>
      <c r="AG354" s="270"/>
      <c r="AH354" s="236"/>
      <c r="AI354" s="167"/>
      <c r="AJ354" s="203" t="s">
        <v>1667</v>
      </c>
      <c r="AK354" s="203"/>
      <c r="AL354" s="203"/>
    </row>
    <row r="355" spans="1:38" ht="75" x14ac:dyDescent="0.35">
      <c r="A355" s="179"/>
      <c r="B355" s="292"/>
      <c r="C355" s="314"/>
      <c r="D355" s="293"/>
      <c r="E355" s="28" t="s">
        <v>1681</v>
      </c>
      <c r="F355" s="194"/>
      <c r="G355" s="197"/>
      <c r="H355" s="195"/>
      <c r="I355" s="107"/>
      <c r="J355" s="109"/>
      <c r="K355" s="107"/>
      <c r="L355" s="109"/>
      <c r="M355" s="183">
        <v>250</v>
      </c>
      <c r="N355" s="184"/>
      <c r="O355" s="185"/>
      <c r="P355" s="107"/>
      <c r="Q355" s="109"/>
      <c r="R355" s="183">
        <v>44</v>
      </c>
      <c r="S355" s="185"/>
      <c r="T355" s="107"/>
      <c r="U355" s="109"/>
      <c r="V355" s="114" t="s">
        <v>1680</v>
      </c>
      <c r="W355" s="116"/>
      <c r="X355" s="227">
        <v>345</v>
      </c>
      <c r="Y355" s="228"/>
      <c r="Z355" s="229"/>
      <c r="AA355" s="110" t="s">
        <v>1191</v>
      </c>
      <c r="AB355" s="111"/>
      <c r="AC355" s="239" t="s">
        <v>678</v>
      </c>
      <c r="AD355" s="240"/>
      <c r="AE355" s="31"/>
      <c r="AF355" s="235"/>
      <c r="AG355" s="270"/>
      <c r="AH355" s="236"/>
      <c r="AI355" s="167"/>
      <c r="AJ355" s="203" t="s">
        <v>1668</v>
      </c>
      <c r="AK355" s="203"/>
      <c r="AL355" s="203"/>
    </row>
    <row r="356" spans="1:38" ht="75" x14ac:dyDescent="0.35">
      <c r="A356" s="179"/>
      <c r="B356" s="292"/>
      <c r="C356" s="314"/>
      <c r="D356" s="293"/>
      <c r="E356" s="28" t="s">
        <v>1682</v>
      </c>
      <c r="F356" s="192" t="s">
        <v>1683</v>
      </c>
      <c r="G356" s="196"/>
      <c r="H356" s="193"/>
      <c r="I356" s="107"/>
      <c r="J356" s="109"/>
      <c r="K356" s="107"/>
      <c r="L356" s="109"/>
      <c r="M356" s="183">
        <v>280</v>
      </c>
      <c r="N356" s="184"/>
      <c r="O356" s="185"/>
      <c r="P356" s="107"/>
      <c r="Q356" s="109"/>
      <c r="R356" s="183">
        <v>50</v>
      </c>
      <c r="S356" s="185"/>
      <c r="T356" s="107"/>
      <c r="U356" s="109"/>
      <c r="V356" s="114" t="s">
        <v>1684</v>
      </c>
      <c r="W356" s="116"/>
      <c r="X356" s="227">
        <v>398</v>
      </c>
      <c r="Y356" s="228"/>
      <c r="Z356" s="229"/>
      <c r="AA356" s="110" t="s">
        <v>1685</v>
      </c>
      <c r="AB356" s="111"/>
      <c r="AC356" s="239" t="s">
        <v>1674</v>
      </c>
      <c r="AD356" s="240"/>
      <c r="AE356" s="31"/>
      <c r="AF356" s="235"/>
      <c r="AG356" s="270"/>
      <c r="AH356" s="236"/>
      <c r="AI356" s="167"/>
      <c r="AJ356" s="203" t="s">
        <v>1667</v>
      </c>
      <c r="AK356" s="203"/>
      <c r="AL356" s="203"/>
    </row>
    <row r="357" spans="1:38" ht="75" x14ac:dyDescent="0.35">
      <c r="A357" s="179"/>
      <c r="B357" s="292"/>
      <c r="C357" s="314"/>
      <c r="D357" s="293"/>
      <c r="E357" s="28" t="s">
        <v>1686</v>
      </c>
      <c r="F357" s="194"/>
      <c r="G357" s="197"/>
      <c r="H357" s="195"/>
      <c r="I357" s="107"/>
      <c r="J357" s="109"/>
      <c r="K357" s="107"/>
      <c r="L357" s="109"/>
      <c r="M357" s="183">
        <v>280</v>
      </c>
      <c r="N357" s="184"/>
      <c r="O357" s="185"/>
      <c r="P357" s="107"/>
      <c r="Q357" s="109"/>
      <c r="R357" s="183">
        <v>50</v>
      </c>
      <c r="S357" s="185"/>
      <c r="T357" s="107"/>
      <c r="U357" s="109"/>
      <c r="V357" s="114" t="s">
        <v>1684</v>
      </c>
      <c r="W357" s="116"/>
      <c r="X357" s="227">
        <v>398</v>
      </c>
      <c r="Y357" s="228"/>
      <c r="Z357" s="229"/>
      <c r="AA357" s="110" t="s">
        <v>1685</v>
      </c>
      <c r="AB357" s="111"/>
      <c r="AC357" s="239"/>
      <c r="AD357" s="240"/>
      <c r="AE357" s="31"/>
      <c r="AF357" s="235"/>
      <c r="AG357" s="270"/>
      <c r="AH357" s="236"/>
      <c r="AI357" s="167"/>
      <c r="AJ357" s="203" t="s">
        <v>1668</v>
      </c>
      <c r="AK357" s="203"/>
      <c r="AL357" s="203"/>
    </row>
    <row r="358" spans="1:38" ht="105" x14ac:dyDescent="0.35">
      <c r="A358" s="179"/>
      <c r="B358" s="292"/>
      <c r="C358" s="314"/>
      <c r="D358" s="293"/>
      <c r="E358" s="28" t="s">
        <v>1687</v>
      </c>
      <c r="F358" s="88" t="s">
        <v>1688</v>
      </c>
      <c r="G358" s="153"/>
      <c r="H358" s="89"/>
      <c r="I358" s="107"/>
      <c r="J358" s="109"/>
      <c r="K358" s="107"/>
      <c r="L358" s="109"/>
      <c r="M358" s="183">
        <v>325</v>
      </c>
      <c r="N358" s="184"/>
      <c r="O358" s="185"/>
      <c r="P358" s="107"/>
      <c r="Q358" s="109"/>
      <c r="R358" s="183">
        <v>80</v>
      </c>
      <c r="S358" s="185"/>
      <c r="T358" s="107"/>
      <c r="U358" s="109"/>
      <c r="V358" s="114" t="s">
        <v>1689</v>
      </c>
      <c r="W358" s="116"/>
      <c r="X358" s="227">
        <v>480</v>
      </c>
      <c r="Y358" s="228"/>
      <c r="Z358" s="229"/>
      <c r="AA358" s="110" t="s">
        <v>1690</v>
      </c>
      <c r="AB358" s="111"/>
      <c r="AC358" s="239"/>
      <c r="AD358" s="240"/>
      <c r="AE358" s="31"/>
      <c r="AF358" s="235"/>
      <c r="AG358" s="270"/>
      <c r="AH358" s="236"/>
      <c r="AI358" s="167"/>
      <c r="AJ358" s="203" t="s">
        <v>1667</v>
      </c>
      <c r="AK358" s="203"/>
      <c r="AL358" s="203"/>
    </row>
    <row r="359" spans="1:38" ht="105" x14ac:dyDescent="0.35">
      <c r="A359" s="179"/>
      <c r="B359" s="292"/>
      <c r="C359" s="314"/>
      <c r="D359" s="293"/>
      <c r="E359" s="28" t="s">
        <v>1691</v>
      </c>
      <c r="F359" s="117"/>
      <c r="G359" s="154"/>
      <c r="H359" s="118"/>
      <c r="I359" s="107"/>
      <c r="J359" s="109"/>
      <c r="K359" s="107"/>
      <c r="L359" s="109"/>
      <c r="M359" s="183">
        <v>325</v>
      </c>
      <c r="N359" s="184"/>
      <c r="O359" s="185"/>
      <c r="P359" s="107"/>
      <c r="Q359" s="109"/>
      <c r="R359" s="183">
        <v>80</v>
      </c>
      <c r="S359" s="185"/>
      <c r="T359" s="107"/>
      <c r="U359" s="109"/>
      <c r="V359" s="114" t="s">
        <v>1689</v>
      </c>
      <c r="W359" s="116"/>
      <c r="X359" s="227">
        <v>480</v>
      </c>
      <c r="Y359" s="228"/>
      <c r="Z359" s="229"/>
      <c r="AA359" s="110" t="s">
        <v>1690</v>
      </c>
      <c r="AB359" s="111"/>
      <c r="AC359" s="239"/>
      <c r="AD359" s="240"/>
      <c r="AE359" s="31"/>
      <c r="AF359" s="235"/>
      <c r="AG359" s="270"/>
      <c r="AH359" s="236"/>
      <c r="AI359" s="167"/>
      <c r="AJ359" s="203" t="s">
        <v>1668</v>
      </c>
      <c r="AK359" s="203"/>
      <c r="AL359" s="203"/>
    </row>
    <row r="360" spans="1:38" ht="105" x14ac:dyDescent="0.35">
      <c r="A360" s="179"/>
      <c r="B360" s="292"/>
      <c r="C360" s="314"/>
      <c r="D360" s="293"/>
      <c r="E360" s="28" t="s">
        <v>1692</v>
      </c>
      <c r="F360" s="171" t="s">
        <v>1693</v>
      </c>
      <c r="G360" s="407"/>
      <c r="H360" s="172"/>
      <c r="I360" s="107"/>
      <c r="J360" s="109"/>
      <c r="K360" s="107"/>
      <c r="L360" s="109"/>
      <c r="M360" s="183">
        <v>355</v>
      </c>
      <c r="N360" s="184"/>
      <c r="O360" s="185"/>
      <c r="P360" s="107"/>
      <c r="Q360" s="109"/>
      <c r="R360" s="183">
        <v>98</v>
      </c>
      <c r="S360" s="185"/>
      <c r="T360" s="107"/>
      <c r="U360" s="109"/>
      <c r="V360" s="114" t="s">
        <v>1694</v>
      </c>
      <c r="W360" s="116"/>
      <c r="X360" s="227">
        <v>530</v>
      </c>
      <c r="Y360" s="228"/>
      <c r="Z360" s="229"/>
      <c r="AA360" s="110" t="s">
        <v>1695</v>
      </c>
      <c r="AB360" s="111"/>
      <c r="AC360" s="239"/>
      <c r="AD360" s="240"/>
      <c r="AE360" s="31"/>
      <c r="AF360" s="235"/>
      <c r="AG360" s="270"/>
      <c r="AH360" s="236"/>
      <c r="AI360" s="167"/>
      <c r="AJ360" s="203" t="s">
        <v>1667</v>
      </c>
      <c r="AK360" s="203"/>
      <c r="AL360" s="203"/>
    </row>
    <row r="361" spans="1:38" ht="105" x14ac:dyDescent="0.35">
      <c r="A361" s="230"/>
      <c r="B361" s="290"/>
      <c r="C361" s="345"/>
      <c r="D361" s="291"/>
      <c r="E361" s="28" t="s">
        <v>1696</v>
      </c>
      <c r="F361" s="212"/>
      <c r="G361" s="408"/>
      <c r="H361" s="213"/>
      <c r="I361" s="107"/>
      <c r="J361" s="109"/>
      <c r="K361" s="107"/>
      <c r="L361" s="109"/>
      <c r="M361" s="183">
        <v>355</v>
      </c>
      <c r="N361" s="184"/>
      <c r="O361" s="185"/>
      <c r="P361" s="107"/>
      <c r="Q361" s="109"/>
      <c r="R361" s="183">
        <v>98</v>
      </c>
      <c r="S361" s="185"/>
      <c r="T361" s="107"/>
      <c r="U361" s="109"/>
      <c r="V361" s="114" t="s">
        <v>1694</v>
      </c>
      <c r="W361" s="116"/>
      <c r="X361" s="227">
        <v>530</v>
      </c>
      <c r="Y361" s="228"/>
      <c r="Z361" s="229"/>
      <c r="AA361" s="110" t="s">
        <v>1695</v>
      </c>
      <c r="AB361" s="111"/>
      <c r="AC361" s="225"/>
      <c r="AD361" s="226"/>
      <c r="AE361" s="31"/>
      <c r="AF361" s="237"/>
      <c r="AG361" s="306"/>
      <c r="AH361" s="238"/>
      <c r="AI361" s="167"/>
      <c r="AJ361" s="203" t="s">
        <v>1668</v>
      </c>
      <c r="AK361" s="203"/>
      <c r="AL361" s="203"/>
    </row>
    <row r="362" spans="1:38" ht="90" x14ac:dyDescent="0.3">
      <c r="A362" s="178"/>
      <c r="B362" s="303" t="s">
        <v>1697</v>
      </c>
      <c r="C362" s="344"/>
      <c r="D362" s="304"/>
      <c r="E362" s="28" t="s">
        <v>1698</v>
      </c>
      <c r="F362" s="88" t="s">
        <v>1671</v>
      </c>
      <c r="G362" s="153"/>
      <c r="H362" s="89"/>
      <c r="I362" s="460"/>
      <c r="J362" s="461"/>
      <c r="K362" s="460"/>
      <c r="L362" s="461"/>
      <c r="M362" s="183">
        <v>75</v>
      </c>
      <c r="N362" s="184"/>
      <c r="O362" s="185"/>
      <c r="P362" s="183">
        <v>5</v>
      </c>
      <c r="Q362" s="185"/>
      <c r="R362" s="183">
        <v>17</v>
      </c>
      <c r="S362" s="185"/>
      <c r="T362" s="460"/>
      <c r="U362" s="461"/>
      <c r="V362" s="114" t="s">
        <v>1672</v>
      </c>
      <c r="W362" s="116"/>
      <c r="X362" s="227">
        <v>138</v>
      </c>
      <c r="Y362" s="228"/>
      <c r="Z362" s="229"/>
      <c r="AA362" s="110" t="s">
        <v>1023</v>
      </c>
      <c r="AB362" s="111"/>
      <c r="AC362" s="171" t="s">
        <v>675</v>
      </c>
      <c r="AD362" s="172"/>
      <c r="AE362" s="24" t="s">
        <v>1701</v>
      </c>
      <c r="AF362" s="233" t="s">
        <v>683</v>
      </c>
      <c r="AG362" s="305"/>
      <c r="AH362" s="234"/>
      <c r="AI362" s="167"/>
      <c r="AJ362" s="203" t="s">
        <v>1666</v>
      </c>
      <c r="AK362" s="203"/>
      <c r="AL362" s="203"/>
    </row>
    <row r="363" spans="1:38" ht="90" x14ac:dyDescent="0.3">
      <c r="A363" s="179"/>
      <c r="B363" s="292"/>
      <c r="C363" s="314"/>
      <c r="D363" s="293"/>
      <c r="E363" s="28" t="s">
        <v>1703</v>
      </c>
      <c r="F363" s="117"/>
      <c r="G363" s="154"/>
      <c r="H363" s="118"/>
      <c r="I363" s="460"/>
      <c r="J363" s="461"/>
      <c r="K363" s="460"/>
      <c r="L363" s="461"/>
      <c r="M363" s="183">
        <v>75</v>
      </c>
      <c r="N363" s="184"/>
      <c r="O363" s="185"/>
      <c r="P363" s="183">
        <v>5</v>
      </c>
      <c r="Q363" s="185"/>
      <c r="R363" s="183">
        <v>17</v>
      </c>
      <c r="S363" s="185"/>
      <c r="T363" s="460"/>
      <c r="U363" s="461"/>
      <c r="V363" s="114" t="s">
        <v>1672</v>
      </c>
      <c r="W363" s="116"/>
      <c r="X363" s="227">
        <v>138</v>
      </c>
      <c r="Y363" s="228"/>
      <c r="Z363" s="229"/>
      <c r="AA363" s="110" t="s">
        <v>1023</v>
      </c>
      <c r="AB363" s="111"/>
      <c r="AC363" s="162" t="s">
        <v>1699</v>
      </c>
      <c r="AD363" s="163"/>
      <c r="AE363" s="31" t="s">
        <v>848</v>
      </c>
      <c r="AF363" s="235"/>
      <c r="AG363" s="270"/>
      <c r="AH363" s="236"/>
      <c r="AI363" s="167"/>
      <c r="AJ363" s="203" t="s">
        <v>1666</v>
      </c>
      <c r="AK363" s="203"/>
      <c r="AL363" s="203"/>
    </row>
    <row r="364" spans="1:38" ht="120" x14ac:dyDescent="0.3">
      <c r="A364" s="179"/>
      <c r="B364" s="292"/>
      <c r="C364" s="314"/>
      <c r="D364" s="293"/>
      <c r="E364" s="28" t="s">
        <v>1704</v>
      </c>
      <c r="F364" s="192" t="s">
        <v>1705</v>
      </c>
      <c r="G364" s="196"/>
      <c r="H364" s="193"/>
      <c r="I364" s="460"/>
      <c r="J364" s="461"/>
      <c r="K364" s="460"/>
      <c r="L364" s="461"/>
      <c r="M364" s="183">
        <v>370</v>
      </c>
      <c r="N364" s="184"/>
      <c r="O364" s="185"/>
      <c r="P364" s="460"/>
      <c r="Q364" s="461"/>
      <c r="R364" s="183">
        <v>90</v>
      </c>
      <c r="S364" s="185"/>
      <c r="T364" s="460"/>
      <c r="U364" s="461"/>
      <c r="V364" s="114" t="s">
        <v>1706</v>
      </c>
      <c r="W364" s="116"/>
      <c r="X364" s="227">
        <v>680</v>
      </c>
      <c r="Y364" s="228"/>
      <c r="Z364" s="229"/>
      <c r="AA364" s="110" t="s">
        <v>826</v>
      </c>
      <c r="AB364" s="111"/>
      <c r="AC364" s="162" t="s">
        <v>678</v>
      </c>
      <c r="AD364" s="163"/>
      <c r="AE364" s="31" t="s">
        <v>1702</v>
      </c>
      <c r="AF364" s="235"/>
      <c r="AG364" s="270"/>
      <c r="AH364" s="236"/>
      <c r="AI364" s="167"/>
      <c r="AJ364" s="203" t="s">
        <v>1666</v>
      </c>
      <c r="AK364" s="203"/>
      <c r="AL364" s="203"/>
    </row>
    <row r="365" spans="1:38" ht="60" x14ac:dyDescent="0.3">
      <c r="A365" s="179"/>
      <c r="B365" s="292"/>
      <c r="C365" s="314"/>
      <c r="D365" s="293"/>
      <c r="E365" s="19" t="s">
        <v>1707</v>
      </c>
      <c r="F365" s="194"/>
      <c r="G365" s="197"/>
      <c r="H365" s="195"/>
      <c r="I365" s="460"/>
      <c r="J365" s="461"/>
      <c r="K365" s="460"/>
      <c r="L365" s="461"/>
      <c r="M365" s="349">
        <v>370</v>
      </c>
      <c r="N365" s="423"/>
      <c r="O365" s="350"/>
      <c r="P365" s="460"/>
      <c r="Q365" s="461"/>
      <c r="R365" s="349">
        <v>90</v>
      </c>
      <c r="S365" s="350"/>
      <c r="T365" s="460"/>
      <c r="U365" s="461"/>
      <c r="V365" s="351" t="s">
        <v>1706</v>
      </c>
      <c r="W365" s="352"/>
      <c r="X365" s="334">
        <v>680</v>
      </c>
      <c r="Y365" s="335"/>
      <c r="Z365" s="336"/>
      <c r="AA365" s="337" t="s">
        <v>826</v>
      </c>
      <c r="AB365" s="338"/>
      <c r="AC365" s="162" t="s">
        <v>1700</v>
      </c>
      <c r="AD365" s="163"/>
      <c r="AE365" s="31"/>
      <c r="AF365" s="235"/>
      <c r="AG365" s="270"/>
      <c r="AH365" s="236"/>
      <c r="AI365" s="167"/>
      <c r="AJ365" s="203" t="s">
        <v>1666</v>
      </c>
      <c r="AK365" s="203"/>
      <c r="AL365" s="203"/>
    </row>
    <row r="366" spans="1:38" ht="105" x14ac:dyDescent="0.3">
      <c r="A366" s="179"/>
      <c r="B366" s="292"/>
      <c r="C366" s="314"/>
      <c r="D366" s="293"/>
      <c r="E366" s="28" t="s">
        <v>1708</v>
      </c>
      <c r="F366" s="88" t="s">
        <v>1709</v>
      </c>
      <c r="G366" s="153"/>
      <c r="H366" s="89"/>
      <c r="I366" s="460"/>
      <c r="J366" s="461"/>
      <c r="K366" s="460"/>
      <c r="L366" s="461"/>
      <c r="M366" s="183">
        <v>445</v>
      </c>
      <c r="N366" s="184"/>
      <c r="O366" s="185"/>
      <c r="P366" s="460"/>
      <c r="Q366" s="461"/>
      <c r="R366" s="183">
        <v>107</v>
      </c>
      <c r="S366" s="185"/>
      <c r="T366" s="460"/>
      <c r="U366" s="461"/>
      <c r="V366" s="114" t="s">
        <v>1710</v>
      </c>
      <c r="W366" s="116"/>
      <c r="X366" s="227">
        <v>800</v>
      </c>
      <c r="Y366" s="228"/>
      <c r="Z366" s="229"/>
      <c r="AA366" s="110" t="s">
        <v>842</v>
      </c>
      <c r="AB366" s="111"/>
      <c r="AC366" s="162"/>
      <c r="AD366" s="163"/>
      <c r="AE366" s="31"/>
      <c r="AF366" s="235"/>
      <c r="AG366" s="270"/>
      <c r="AH366" s="236"/>
      <c r="AI366" s="167"/>
      <c r="AJ366" s="203" t="s">
        <v>1666</v>
      </c>
      <c r="AK366" s="203"/>
      <c r="AL366" s="203"/>
    </row>
    <row r="367" spans="1:38" ht="105" x14ac:dyDescent="0.3">
      <c r="A367" s="230"/>
      <c r="B367" s="290"/>
      <c r="C367" s="345"/>
      <c r="D367" s="291"/>
      <c r="E367" s="28" t="s">
        <v>1711</v>
      </c>
      <c r="F367" s="117"/>
      <c r="G367" s="154"/>
      <c r="H367" s="118"/>
      <c r="I367" s="460"/>
      <c r="J367" s="461"/>
      <c r="K367" s="460"/>
      <c r="L367" s="461"/>
      <c r="M367" s="183">
        <v>445</v>
      </c>
      <c r="N367" s="184"/>
      <c r="O367" s="185"/>
      <c r="P367" s="460"/>
      <c r="Q367" s="461"/>
      <c r="R367" s="183">
        <v>107</v>
      </c>
      <c r="S367" s="185"/>
      <c r="T367" s="460"/>
      <c r="U367" s="461"/>
      <c r="V367" s="114" t="s">
        <v>1710</v>
      </c>
      <c r="W367" s="116"/>
      <c r="X367" s="227">
        <v>800</v>
      </c>
      <c r="Y367" s="228"/>
      <c r="Z367" s="229"/>
      <c r="AA367" s="110" t="s">
        <v>842</v>
      </c>
      <c r="AB367" s="111"/>
      <c r="AC367" s="212"/>
      <c r="AD367" s="213"/>
      <c r="AE367" s="31"/>
      <c r="AF367" s="237"/>
      <c r="AG367" s="306"/>
      <c r="AH367" s="238"/>
      <c r="AI367" s="167"/>
      <c r="AJ367" s="203" t="s">
        <v>1666</v>
      </c>
      <c r="AK367" s="203"/>
      <c r="AL367" s="203"/>
    </row>
    <row r="368" spans="1:38" ht="75" x14ac:dyDescent="0.3">
      <c r="A368" s="178"/>
      <c r="B368" s="303" t="s">
        <v>1712</v>
      </c>
      <c r="C368" s="344"/>
      <c r="D368" s="304"/>
      <c r="E368" s="19" t="s">
        <v>1713</v>
      </c>
      <c r="F368" s="143" t="s">
        <v>1714</v>
      </c>
      <c r="G368" s="144"/>
      <c r="H368" s="145"/>
      <c r="I368" s="460"/>
      <c r="J368" s="461"/>
      <c r="K368" s="460"/>
      <c r="L368" s="461"/>
      <c r="M368" s="349">
        <v>300</v>
      </c>
      <c r="N368" s="423"/>
      <c r="O368" s="350"/>
      <c r="P368" s="460"/>
      <c r="Q368" s="461"/>
      <c r="R368" s="349">
        <v>38</v>
      </c>
      <c r="S368" s="350"/>
      <c r="T368" s="460"/>
      <c r="U368" s="461"/>
      <c r="V368" s="351" t="s">
        <v>1716</v>
      </c>
      <c r="W368" s="352"/>
      <c r="X368" s="334">
        <v>390</v>
      </c>
      <c r="Y368" s="335"/>
      <c r="Z368" s="336"/>
      <c r="AA368" s="337" t="s">
        <v>1717</v>
      </c>
      <c r="AB368" s="338"/>
      <c r="AC368" s="223" t="s">
        <v>675</v>
      </c>
      <c r="AD368" s="224"/>
      <c r="AE368" s="24" t="s">
        <v>1720</v>
      </c>
      <c r="AF368" s="233" t="s">
        <v>683</v>
      </c>
      <c r="AG368" s="305"/>
      <c r="AH368" s="234"/>
      <c r="AI368" s="167"/>
      <c r="AJ368" s="203" t="s">
        <v>1666</v>
      </c>
      <c r="AK368" s="203"/>
      <c r="AL368" s="203"/>
    </row>
    <row r="369" spans="1:38" ht="60" x14ac:dyDescent="0.3">
      <c r="A369" s="179"/>
      <c r="B369" s="292"/>
      <c r="C369" s="314"/>
      <c r="D369" s="293"/>
      <c r="E369" s="28" t="s">
        <v>1722</v>
      </c>
      <c r="F369" s="146" t="s">
        <v>1715</v>
      </c>
      <c r="G369" s="147"/>
      <c r="H369" s="148"/>
      <c r="I369" s="460"/>
      <c r="J369" s="461"/>
      <c r="K369" s="460"/>
      <c r="L369" s="461"/>
      <c r="M369" s="183">
        <v>300</v>
      </c>
      <c r="N369" s="184"/>
      <c r="O369" s="185"/>
      <c r="P369" s="460"/>
      <c r="Q369" s="461"/>
      <c r="R369" s="183">
        <v>38</v>
      </c>
      <c r="S369" s="185"/>
      <c r="T369" s="460"/>
      <c r="U369" s="461"/>
      <c r="V369" s="114" t="s">
        <v>1716</v>
      </c>
      <c r="W369" s="116"/>
      <c r="X369" s="227">
        <v>390</v>
      </c>
      <c r="Y369" s="228"/>
      <c r="Z369" s="229"/>
      <c r="AA369" s="110" t="s">
        <v>1717</v>
      </c>
      <c r="AB369" s="111"/>
      <c r="AC369" s="239" t="s">
        <v>1718</v>
      </c>
      <c r="AD369" s="240"/>
      <c r="AE369" s="31" t="s">
        <v>848</v>
      </c>
      <c r="AF369" s="235"/>
      <c r="AG369" s="270"/>
      <c r="AH369" s="236"/>
      <c r="AI369" s="167"/>
      <c r="AJ369" s="203" t="s">
        <v>1666</v>
      </c>
      <c r="AK369" s="203"/>
      <c r="AL369" s="203"/>
    </row>
    <row r="370" spans="1:38" ht="120" x14ac:dyDescent="0.3">
      <c r="A370" s="179"/>
      <c r="B370" s="292"/>
      <c r="C370" s="314"/>
      <c r="D370" s="293"/>
      <c r="E370" s="28" t="s">
        <v>1723</v>
      </c>
      <c r="F370" s="143" t="s">
        <v>1714</v>
      </c>
      <c r="G370" s="144"/>
      <c r="H370" s="145"/>
      <c r="I370" s="460"/>
      <c r="J370" s="461"/>
      <c r="K370" s="460"/>
      <c r="L370" s="461"/>
      <c r="M370" s="183">
        <v>310</v>
      </c>
      <c r="N370" s="184"/>
      <c r="O370" s="185"/>
      <c r="P370" s="460"/>
      <c r="Q370" s="461"/>
      <c r="R370" s="183">
        <v>41</v>
      </c>
      <c r="S370" s="185"/>
      <c r="T370" s="460"/>
      <c r="U370" s="461"/>
      <c r="V370" s="114" t="s">
        <v>1725</v>
      </c>
      <c r="W370" s="116"/>
      <c r="X370" s="227">
        <v>450</v>
      </c>
      <c r="Y370" s="228"/>
      <c r="Z370" s="229"/>
      <c r="AA370" s="110" t="s">
        <v>1127</v>
      </c>
      <c r="AB370" s="111"/>
      <c r="AC370" s="239" t="s">
        <v>678</v>
      </c>
      <c r="AD370" s="240"/>
      <c r="AE370" s="31" t="s">
        <v>1721</v>
      </c>
      <c r="AF370" s="235"/>
      <c r="AG370" s="270"/>
      <c r="AH370" s="236"/>
      <c r="AI370" s="167"/>
      <c r="AJ370" s="203" t="s">
        <v>1666</v>
      </c>
      <c r="AK370" s="203"/>
      <c r="AL370" s="203"/>
    </row>
    <row r="371" spans="1:38" ht="60" x14ac:dyDescent="0.3">
      <c r="A371" s="179"/>
      <c r="B371" s="292"/>
      <c r="C371" s="314"/>
      <c r="D371" s="293"/>
      <c r="E371" s="28" t="s">
        <v>1726</v>
      </c>
      <c r="F371" s="146" t="s">
        <v>1724</v>
      </c>
      <c r="G371" s="147"/>
      <c r="H371" s="148"/>
      <c r="I371" s="460"/>
      <c r="J371" s="461"/>
      <c r="K371" s="460"/>
      <c r="L371" s="461"/>
      <c r="M371" s="183">
        <v>310</v>
      </c>
      <c r="N371" s="184"/>
      <c r="O371" s="185"/>
      <c r="P371" s="460"/>
      <c r="Q371" s="461"/>
      <c r="R371" s="183">
        <v>41</v>
      </c>
      <c r="S371" s="185"/>
      <c r="T371" s="460"/>
      <c r="U371" s="461"/>
      <c r="V371" s="114" t="s">
        <v>1725</v>
      </c>
      <c r="W371" s="116"/>
      <c r="X371" s="227">
        <v>450</v>
      </c>
      <c r="Y371" s="228"/>
      <c r="Z371" s="229"/>
      <c r="AA371" s="110" t="s">
        <v>1127</v>
      </c>
      <c r="AB371" s="111"/>
      <c r="AC371" s="239" t="s">
        <v>1719</v>
      </c>
      <c r="AD371" s="240"/>
      <c r="AE371" s="31"/>
      <c r="AF371" s="235"/>
      <c r="AG371" s="270"/>
      <c r="AH371" s="236"/>
      <c r="AI371" s="167"/>
      <c r="AJ371" s="203" t="s">
        <v>1666</v>
      </c>
      <c r="AK371" s="203"/>
      <c r="AL371" s="203"/>
    </row>
    <row r="372" spans="1:38" ht="60" x14ac:dyDescent="0.3">
      <c r="A372" s="179"/>
      <c r="B372" s="292"/>
      <c r="C372" s="314"/>
      <c r="D372" s="293"/>
      <c r="E372" s="28" t="s">
        <v>1727</v>
      </c>
      <c r="F372" s="143" t="s">
        <v>1714</v>
      </c>
      <c r="G372" s="144"/>
      <c r="H372" s="145"/>
      <c r="I372" s="460"/>
      <c r="J372" s="461"/>
      <c r="K372" s="460"/>
      <c r="L372" s="461"/>
      <c r="M372" s="183">
        <v>320</v>
      </c>
      <c r="N372" s="184"/>
      <c r="O372" s="185"/>
      <c r="P372" s="460"/>
      <c r="Q372" s="461"/>
      <c r="R372" s="183">
        <v>45</v>
      </c>
      <c r="S372" s="185"/>
      <c r="T372" s="460"/>
      <c r="U372" s="461"/>
      <c r="V372" s="114" t="s">
        <v>1729</v>
      </c>
      <c r="W372" s="116"/>
      <c r="X372" s="227">
        <v>500</v>
      </c>
      <c r="Y372" s="228"/>
      <c r="Z372" s="229"/>
      <c r="AA372" s="110" t="s">
        <v>1338</v>
      </c>
      <c r="AB372" s="111"/>
      <c r="AC372" s="239"/>
      <c r="AD372" s="240"/>
      <c r="AE372" s="31"/>
      <c r="AF372" s="235"/>
      <c r="AG372" s="270"/>
      <c r="AH372" s="236"/>
      <c r="AI372" s="167"/>
      <c r="AJ372" s="203" t="s">
        <v>1666</v>
      </c>
      <c r="AK372" s="203"/>
      <c r="AL372" s="203"/>
    </row>
    <row r="373" spans="1:38" ht="60" x14ac:dyDescent="0.3">
      <c r="A373" s="230"/>
      <c r="B373" s="290"/>
      <c r="C373" s="345"/>
      <c r="D373" s="291"/>
      <c r="E373" s="28" t="s">
        <v>1730</v>
      </c>
      <c r="F373" s="146" t="s">
        <v>1728</v>
      </c>
      <c r="G373" s="147"/>
      <c r="H373" s="148"/>
      <c r="I373" s="460"/>
      <c r="J373" s="461"/>
      <c r="K373" s="460"/>
      <c r="L373" s="461"/>
      <c r="M373" s="183">
        <v>320</v>
      </c>
      <c r="N373" s="184"/>
      <c r="O373" s="185"/>
      <c r="P373" s="460"/>
      <c r="Q373" s="461"/>
      <c r="R373" s="183">
        <v>45</v>
      </c>
      <c r="S373" s="185"/>
      <c r="T373" s="460"/>
      <c r="U373" s="461"/>
      <c r="V373" s="114" t="s">
        <v>1729</v>
      </c>
      <c r="W373" s="116"/>
      <c r="X373" s="227">
        <v>500</v>
      </c>
      <c r="Y373" s="228"/>
      <c r="Z373" s="229"/>
      <c r="AA373" s="110" t="s">
        <v>1338</v>
      </c>
      <c r="AB373" s="111"/>
      <c r="AC373" s="225"/>
      <c r="AD373" s="226"/>
      <c r="AE373" s="31"/>
      <c r="AF373" s="237"/>
      <c r="AG373" s="306"/>
      <c r="AH373" s="238"/>
      <c r="AI373" s="167"/>
      <c r="AJ373" s="203" t="s">
        <v>1666</v>
      </c>
      <c r="AK373" s="203"/>
      <c r="AL373" s="203"/>
    </row>
    <row r="374" spans="1:38" ht="90" x14ac:dyDescent="0.35">
      <c r="A374" s="178"/>
      <c r="B374" s="303" t="s">
        <v>1731</v>
      </c>
      <c r="C374" s="344"/>
      <c r="D374" s="304"/>
      <c r="E374" s="28" t="s">
        <v>6441</v>
      </c>
      <c r="F374" s="124" t="s">
        <v>1732</v>
      </c>
      <c r="G374" s="182"/>
      <c r="H374" s="125"/>
      <c r="I374" s="107"/>
      <c r="J374" s="109"/>
      <c r="K374" s="107"/>
      <c r="L374" s="109"/>
      <c r="M374" s="183">
        <v>105</v>
      </c>
      <c r="N374" s="184"/>
      <c r="O374" s="185"/>
      <c r="P374" s="107"/>
      <c r="Q374" s="109"/>
      <c r="R374" s="183">
        <v>30</v>
      </c>
      <c r="S374" s="185"/>
      <c r="T374" s="107"/>
      <c r="U374" s="109"/>
      <c r="V374" s="114" t="s">
        <v>1733</v>
      </c>
      <c r="W374" s="116"/>
      <c r="X374" s="227">
        <v>160</v>
      </c>
      <c r="Y374" s="228"/>
      <c r="Z374" s="229"/>
      <c r="AA374" s="110" t="s">
        <v>1690</v>
      </c>
      <c r="AB374" s="111"/>
      <c r="AC374" s="223" t="s">
        <v>675</v>
      </c>
      <c r="AD374" s="224"/>
      <c r="AE374" s="24" t="s">
        <v>1736</v>
      </c>
      <c r="AF374" s="233" t="s">
        <v>683</v>
      </c>
      <c r="AG374" s="305"/>
      <c r="AH374" s="234"/>
      <c r="AI374" s="167"/>
      <c r="AJ374" s="203" t="s">
        <v>1666</v>
      </c>
      <c r="AK374" s="203"/>
      <c r="AL374" s="203"/>
    </row>
    <row r="375" spans="1:38" ht="90" x14ac:dyDescent="0.25">
      <c r="A375" s="179"/>
      <c r="B375" s="292" t="s">
        <v>772</v>
      </c>
      <c r="C375" s="314"/>
      <c r="D375" s="293"/>
      <c r="E375" s="28" t="s">
        <v>1738</v>
      </c>
      <c r="F375" s="192" t="s">
        <v>1679</v>
      </c>
      <c r="G375" s="196"/>
      <c r="H375" s="193"/>
      <c r="I375" s="460"/>
      <c r="J375" s="461"/>
      <c r="K375" s="460"/>
      <c r="L375" s="461"/>
      <c r="M375" s="183">
        <v>335</v>
      </c>
      <c r="N375" s="184"/>
      <c r="O375" s="185"/>
      <c r="P375" s="460"/>
      <c r="Q375" s="461"/>
      <c r="R375" s="183">
        <v>44</v>
      </c>
      <c r="S375" s="185"/>
      <c r="T375" s="460"/>
      <c r="U375" s="461"/>
      <c r="V375" s="114" t="s">
        <v>1568</v>
      </c>
      <c r="W375" s="116"/>
      <c r="X375" s="227">
        <v>500</v>
      </c>
      <c r="Y375" s="228"/>
      <c r="Z375" s="229"/>
      <c r="AA375" s="110" t="s">
        <v>1739</v>
      </c>
      <c r="AB375" s="111"/>
      <c r="AC375" s="239" t="s">
        <v>1734</v>
      </c>
      <c r="AD375" s="240"/>
      <c r="AE375" s="31" t="s">
        <v>681</v>
      </c>
      <c r="AF375" s="235"/>
      <c r="AG375" s="270"/>
      <c r="AH375" s="236"/>
      <c r="AI375" s="167"/>
      <c r="AJ375" s="203" t="s">
        <v>1666</v>
      </c>
      <c r="AK375" s="203"/>
      <c r="AL375" s="203"/>
    </row>
    <row r="376" spans="1:38" ht="90" x14ac:dyDescent="0.25">
      <c r="A376" s="179"/>
      <c r="B376" s="292"/>
      <c r="C376" s="314"/>
      <c r="D376" s="293"/>
      <c r="E376" s="28" t="s">
        <v>1740</v>
      </c>
      <c r="F376" s="194"/>
      <c r="G376" s="197"/>
      <c r="H376" s="195"/>
      <c r="I376" s="460"/>
      <c r="J376" s="461"/>
      <c r="K376" s="460"/>
      <c r="L376" s="461"/>
      <c r="M376" s="183">
        <v>335</v>
      </c>
      <c r="N376" s="184"/>
      <c r="O376" s="185"/>
      <c r="P376" s="460"/>
      <c r="Q376" s="461"/>
      <c r="R376" s="183">
        <v>44</v>
      </c>
      <c r="S376" s="185"/>
      <c r="T376" s="460"/>
      <c r="U376" s="461"/>
      <c r="V376" s="114" t="s">
        <v>1568</v>
      </c>
      <c r="W376" s="116"/>
      <c r="X376" s="227">
        <v>500</v>
      </c>
      <c r="Y376" s="228"/>
      <c r="Z376" s="229"/>
      <c r="AA376" s="110" t="s">
        <v>1739</v>
      </c>
      <c r="AB376" s="111"/>
      <c r="AC376" s="239" t="s">
        <v>677</v>
      </c>
      <c r="AD376" s="240"/>
      <c r="AE376" s="31" t="s">
        <v>1737</v>
      </c>
      <c r="AF376" s="235"/>
      <c r="AG376" s="270"/>
      <c r="AH376" s="236"/>
      <c r="AI376" s="167"/>
      <c r="AJ376" s="203" t="s">
        <v>1666</v>
      </c>
      <c r="AK376" s="203"/>
      <c r="AL376" s="203"/>
    </row>
    <row r="377" spans="1:38" ht="120" x14ac:dyDescent="0.25">
      <c r="A377" s="179"/>
      <c r="B377" s="292"/>
      <c r="C377" s="314"/>
      <c r="D377" s="293"/>
      <c r="E377" s="28" t="s">
        <v>6442</v>
      </c>
      <c r="F377" s="143" t="s">
        <v>1741</v>
      </c>
      <c r="G377" s="144"/>
      <c r="H377" s="145"/>
      <c r="I377" s="460"/>
      <c r="J377" s="461"/>
      <c r="K377" s="460"/>
      <c r="L377" s="461"/>
      <c r="M377" s="183">
        <v>440</v>
      </c>
      <c r="N377" s="184"/>
      <c r="O377" s="185"/>
      <c r="P377" s="460"/>
      <c r="Q377" s="461"/>
      <c r="R377" s="183">
        <v>65</v>
      </c>
      <c r="S377" s="185"/>
      <c r="T377" s="460"/>
      <c r="U377" s="461"/>
      <c r="V377" s="114" t="s">
        <v>699</v>
      </c>
      <c r="W377" s="116"/>
      <c r="X377" s="227">
        <v>630</v>
      </c>
      <c r="Y377" s="228"/>
      <c r="Z377" s="229"/>
      <c r="AA377" s="110" t="s">
        <v>1742</v>
      </c>
      <c r="AB377" s="111"/>
      <c r="AC377" s="239" t="s">
        <v>678</v>
      </c>
      <c r="AD377" s="240"/>
      <c r="AE377" s="31"/>
      <c r="AF377" s="235"/>
      <c r="AG377" s="270"/>
      <c r="AH377" s="236"/>
      <c r="AI377" s="167"/>
      <c r="AJ377" s="203" t="s">
        <v>1666</v>
      </c>
      <c r="AK377" s="203"/>
      <c r="AL377" s="203"/>
    </row>
    <row r="378" spans="1:38" ht="105" x14ac:dyDescent="0.25">
      <c r="A378" s="179"/>
      <c r="B378" s="292"/>
      <c r="C378" s="314"/>
      <c r="D378" s="293"/>
      <c r="E378" s="28" t="s">
        <v>6443</v>
      </c>
      <c r="F378" s="146" t="s">
        <v>1679</v>
      </c>
      <c r="G378" s="147"/>
      <c r="H378" s="148"/>
      <c r="I378" s="460"/>
      <c r="J378" s="461"/>
      <c r="K378" s="460"/>
      <c r="L378" s="461"/>
      <c r="M378" s="183">
        <v>440</v>
      </c>
      <c r="N378" s="184"/>
      <c r="O378" s="185"/>
      <c r="P378" s="460"/>
      <c r="Q378" s="461"/>
      <c r="R378" s="183">
        <v>65</v>
      </c>
      <c r="S378" s="185"/>
      <c r="T378" s="460"/>
      <c r="U378" s="461"/>
      <c r="V378" s="114" t="s">
        <v>699</v>
      </c>
      <c r="W378" s="116"/>
      <c r="X378" s="227">
        <v>630</v>
      </c>
      <c r="Y378" s="228"/>
      <c r="Z378" s="229"/>
      <c r="AA378" s="110" t="s">
        <v>1742</v>
      </c>
      <c r="AB378" s="111"/>
      <c r="AC378" s="239" t="s">
        <v>1735</v>
      </c>
      <c r="AD378" s="240"/>
      <c r="AE378" s="31"/>
      <c r="AF378" s="235"/>
      <c r="AG378" s="270"/>
      <c r="AH378" s="236"/>
      <c r="AI378" s="167"/>
      <c r="AJ378" s="203" t="s">
        <v>1666</v>
      </c>
      <c r="AK378" s="203"/>
      <c r="AL378" s="203"/>
    </row>
    <row r="379" spans="1:38" ht="90" x14ac:dyDescent="0.35">
      <c r="A379" s="179"/>
      <c r="B379" s="292"/>
      <c r="C379" s="314"/>
      <c r="D379" s="293"/>
      <c r="E379" s="28" t="s">
        <v>1743</v>
      </c>
      <c r="F379" s="192" t="s">
        <v>1683</v>
      </c>
      <c r="G379" s="196"/>
      <c r="H379" s="193"/>
      <c r="I379" s="107"/>
      <c r="J379" s="109"/>
      <c r="K379" s="107"/>
      <c r="L379" s="109"/>
      <c r="M379" s="183">
        <v>365</v>
      </c>
      <c r="N379" s="184"/>
      <c r="O379" s="185"/>
      <c r="P379" s="107"/>
      <c r="Q379" s="109"/>
      <c r="R379" s="183">
        <v>50</v>
      </c>
      <c r="S379" s="185"/>
      <c r="T379" s="107"/>
      <c r="U379" s="109"/>
      <c r="V379" s="114" t="s">
        <v>1744</v>
      </c>
      <c r="W379" s="116"/>
      <c r="X379" s="227">
        <v>600</v>
      </c>
      <c r="Y379" s="228"/>
      <c r="Z379" s="229"/>
      <c r="AA379" s="110" t="s">
        <v>842</v>
      </c>
      <c r="AB379" s="111"/>
      <c r="AC379" s="239"/>
      <c r="AD379" s="240"/>
      <c r="AE379" s="31"/>
      <c r="AF379" s="235"/>
      <c r="AG379" s="270"/>
      <c r="AH379" s="236"/>
      <c r="AI379" s="167"/>
      <c r="AJ379" s="203" t="s">
        <v>1666</v>
      </c>
      <c r="AK379" s="203"/>
      <c r="AL379" s="203"/>
    </row>
    <row r="380" spans="1:38" ht="90" x14ac:dyDescent="0.25">
      <c r="A380" s="179"/>
      <c r="B380" s="292"/>
      <c r="C380" s="314"/>
      <c r="D380" s="293"/>
      <c r="E380" s="28" t="s">
        <v>1745</v>
      </c>
      <c r="F380" s="194"/>
      <c r="G380" s="197"/>
      <c r="H380" s="195"/>
      <c r="I380" s="460"/>
      <c r="J380" s="461"/>
      <c r="K380" s="460"/>
      <c r="L380" s="461"/>
      <c r="M380" s="183">
        <v>365</v>
      </c>
      <c r="N380" s="184"/>
      <c r="O380" s="185"/>
      <c r="P380" s="460"/>
      <c r="Q380" s="461"/>
      <c r="R380" s="183">
        <v>50</v>
      </c>
      <c r="S380" s="185"/>
      <c r="T380" s="460"/>
      <c r="U380" s="461"/>
      <c r="V380" s="114" t="s">
        <v>1744</v>
      </c>
      <c r="W380" s="116"/>
      <c r="X380" s="227">
        <v>600</v>
      </c>
      <c r="Y380" s="228"/>
      <c r="Z380" s="229"/>
      <c r="AA380" s="110" t="s">
        <v>842</v>
      </c>
      <c r="AB380" s="111"/>
      <c r="AC380" s="239"/>
      <c r="AD380" s="240"/>
      <c r="AE380" s="31"/>
      <c r="AF380" s="235"/>
      <c r="AG380" s="270"/>
      <c r="AH380" s="236"/>
      <c r="AI380" s="167"/>
      <c r="AJ380" s="203" t="s">
        <v>1666</v>
      </c>
      <c r="AK380" s="203"/>
      <c r="AL380" s="203"/>
    </row>
    <row r="381" spans="1:38" ht="120" x14ac:dyDescent="0.25">
      <c r="A381" s="179"/>
      <c r="B381" s="292"/>
      <c r="C381" s="314"/>
      <c r="D381" s="293"/>
      <c r="E381" s="28" t="s">
        <v>6444</v>
      </c>
      <c r="F381" s="143" t="s">
        <v>1741</v>
      </c>
      <c r="G381" s="144"/>
      <c r="H381" s="145"/>
      <c r="I381" s="460"/>
      <c r="J381" s="461"/>
      <c r="K381" s="460"/>
      <c r="L381" s="461"/>
      <c r="M381" s="183">
        <v>470</v>
      </c>
      <c r="N381" s="184"/>
      <c r="O381" s="185"/>
      <c r="P381" s="460"/>
      <c r="Q381" s="461"/>
      <c r="R381" s="183">
        <v>75</v>
      </c>
      <c r="S381" s="185"/>
      <c r="T381" s="460"/>
      <c r="U381" s="461"/>
      <c r="V381" s="114" t="s">
        <v>1746</v>
      </c>
      <c r="W381" s="116"/>
      <c r="X381" s="227">
        <v>740</v>
      </c>
      <c r="Y381" s="228"/>
      <c r="Z381" s="229"/>
      <c r="AA381" s="110" t="s">
        <v>1159</v>
      </c>
      <c r="AB381" s="111"/>
      <c r="AC381" s="239"/>
      <c r="AD381" s="240"/>
      <c r="AE381" s="31"/>
      <c r="AF381" s="235"/>
      <c r="AG381" s="270"/>
      <c r="AH381" s="236"/>
      <c r="AI381" s="167"/>
      <c r="AJ381" s="203" t="s">
        <v>1666</v>
      </c>
      <c r="AK381" s="203"/>
      <c r="AL381" s="203"/>
    </row>
    <row r="382" spans="1:38" ht="105" x14ac:dyDescent="0.25">
      <c r="A382" s="230"/>
      <c r="B382" s="290"/>
      <c r="C382" s="345"/>
      <c r="D382" s="291"/>
      <c r="E382" s="28" t="s">
        <v>6445</v>
      </c>
      <c r="F382" s="146" t="s">
        <v>1683</v>
      </c>
      <c r="G382" s="147"/>
      <c r="H382" s="148"/>
      <c r="I382" s="460"/>
      <c r="J382" s="461"/>
      <c r="K382" s="460"/>
      <c r="L382" s="461"/>
      <c r="M382" s="183">
        <v>470</v>
      </c>
      <c r="N382" s="184"/>
      <c r="O382" s="185"/>
      <c r="P382" s="460"/>
      <c r="Q382" s="461"/>
      <c r="R382" s="183">
        <v>75</v>
      </c>
      <c r="S382" s="185"/>
      <c r="T382" s="460"/>
      <c r="U382" s="461"/>
      <c r="V382" s="114" t="s">
        <v>1746</v>
      </c>
      <c r="W382" s="116"/>
      <c r="X382" s="227">
        <v>740</v>
      </c>
      <c r="Y382" s="228"/>
      <c r="Z382" s="229"/>
      <c r="AA382" s="110" t="s">
        <v>1159</v>
      </c>
      <c r="AB382" s="111"/>
      <c r="AC382" s="225"/>
      <c r="AD382" s="226"/>
      <c r="AE382" s="31"/>
      <c r="AF382" s="237"/>
      <c r="AG382" s="306"/>
      <c r="AH382" s="238"/>
      <c r="AI382" s="167"/>
      <c r="AJ382" s="203" t="s">
        <v>1666</v>
      </c>
      <c r="AK382" s="203"/>
      <c r="AL382" s="203"/>
    </row>
    <row r="383" spans="1:38" ht="91" x14ac:dyDescent="0.35">
      <c r="A383" s="178"/>
      <c r="B383" s="303" t="s">
        <v>1747</v>
      </c>
      <c r="C383" s="344"/>
      <c r="D383" s="304"/>
      <c r="E383" s="28" t="s">
        <v>6446</v>
      </c>
      <c r="F383" s="124" t="s">
        <v>1749</v>
      </c>
      <c r="G383" s="182"/>
      <c r="H383" s="125"/>
      <c r="I383" s="107"/>
      <c r="J383" s="109"/>
      <c r="K383" s="107"/>
      <c r="L383" s="109"/>
      <c r="M383" s="183">
        <v>105</v>
      </c>
      <c r="N383" s="184"/>
      <c r="O383" s="185"/>
      <c r="P383" s="107"/>
      <c r="Q383" s="109"/>
      <c r="R383" s="183">
        <v>26</v>
      </c>
      <c r="S383" s="185"/>
      <c r="T383" s="107"/>
      <c r="U383" s="109"/>
      <c r="V383" s="114" t="s">
        <v>1750</v>
      </c>
      <c r="W383" s="116"/>
      <c r="X383" s="227">
        <v>160</v>
      </c>
      <c r="Y383" s="228"/>
      <c r="Z383" s="229"/>
      <c r="AA383" s="110" t="s">
        <v>1751</v>
      </c>
      <c r="AB383" s="111"/>
      <c r="AC383" s="223" t="s">
        <v>1752</v>
      </c>
      <c r="AD383" s="224"/>
      <c r="AE383" s="35" t="s">
        <v>1754</v>
      </c>
      <c r="AF383" s="233" t="s">
        <v>683</v>
      </c>
      <c r="AG383" s="305"/>
      <c r="AH383" s="234"/>
      <c r="AI383" s="167"/>
      <c r="AJ383" s="203" t="s">
        <v>1666</v>
      </c>
      <c r="AK383" s="203"/>
      <c r="AL383" s="203"/>
    </row>
    <row r="384" spans="1:38" ht="75" x14ac:dyDescent="0.25">
      <c r="A384" s="179"/>
      <c r="B384" s="292" t="s">
        <v>1748</v>
      </c>
      <c r="C384" s="314"/>
      <c r="D384" s="293"/>
      <c r="E384" s="28" t="s">
        <v>1756</v>
      </c>
      <c r="F384" s="233" t="s">
        <v>1679</v>
      </c>
      <c r="G384" s="305"/>
      <c r="H384" s="234"/>
      <c r="I384" s="460"/>
      <c r="J384" s="461"/>
      <c r="K384" s="460"/>
      <c r="L384" s="461"/>
      <c r="M384" s="183">
        <v>250</v>
      </c>
      <c r="N384" s="184"/>
      <c r="O384" s="185"/>
      <c r="P384" s="460"/>
      <c r="Q384" s="461"/>
      <c r="R384" s="183">
        <v>44</v>
      </c>
      <c r="S384" s="185"/>
      <c r="T384" s="460"/>
      <c r="U384" s="461"/>
      <c r="V384" s="114" t="s">
        <v>1680</v>
      </c>
      <c r="W384" s="116"/>
      <c r="X384" s="227">
        <v>390</v>
      </c>
      <c r="Y384" s="228"/>
      <c r="Z384" s="229"/>
      <c r="AA384" s="110" t="s">
        <v>1739</v>
      </c>
      <c r="AB384" s="111"/>
      <c r="AC384" s="239" t="s">
        <v>678</v>
      </c>
      <c r="AD384" s="240"/>
      <c r="AE384" s="36" t="s">
        <v>681</v>
      </c>
      <c r="AF384" s="235"/>
      <c r="AG384" s="270"/>
      <c r="AH384" s="236"/>
      <c r="AI384" s="167"/>
      <c r="AJ384" s="203" t="s">
        <v>1666</v>
      </c>
      <c r="AK384" s="203"/>
      <c r="AL384" s="203"/>
    </row>
    <row r="385" spans="1:38" ht="90" x14ac:dyDescent="0.35">
      <c r="A385" s="179"/>
      <c r="B385" s="292"/>
      <c r="C385" s="314"/>
      <c r="D385" s="293"/>
      <c r="E385" s="28" t="s">
        <v>1757</v>
      </c>
      <c r="F385" s="235"/>
      <c r="G385" s="270"/>
      <c r="H385" s="236"/>
      <c r="I385" s="107"/>
      <c r="J385" s="109"/>
      <c r="K385" s="107"/>
      <c r="L385" s="109"/>
      <c r="M385" s="183">
        <v>220</v>
      </c>
      <c r="N385" s="184"/>
      <c r="O385" s="185"/>
      <c r="P385" s="107"/>
      <c r="Q385" s="109"/>
      <c r="R385" s="183">
        <v>44</v>
      </c>
      <c r="S385" s="185"/>
      <c r="T385" s="107"/>
      <c r="U385" s="109"/>
      <c r="V385" s="114" t="s">
        <v>1758</v>
      </c>
      <c r="W385" s="116"/>
      <c r="X385" s="227">
        <v>310</v>
      </c>
      <c r="Y385" s="228"/>
      <c r="Z385" s="229"/>
      <c r="AA385" s="110" t="s">
        <v>1759</v>
      </c>
      <c r="AB385" s="111"/>
      <c r="AC385" s="239" t="s">
        <v>1753</v>
      </c>
      <c r="AD385" s="240"/>
      <c r="AE385" s="36" t="s">
        <v>1755</v>
      </c>
      <c r="AF385" s="235"/>
      <c r="AG385" s="270"/>
      <c r="AH385" s="236"/>
      <c r="AI385" s="167"/>
      <c r="AJ385" s="203" t="s">
        <v>1666</v>
      </c>
      <c r="AK385" s="203"/>
      <c r="AL385" s="203"/>
    </row>
    <row r="386" spans="1:38" ht="75" x14ac:dyDescent="0.25">
      <c r="A386" s="179"/>
      <c r="B386" s="292"/>
      <c r="C386" s="314"/>
      <c r="D386" s="293"/>
      <c r="E386" s="28" t="s">
        <v>1760</v>
      </c>
      <c r="F386" s="237"/>
      <c r="G386" s="306"/>
      <c r="H386" s="238"/>
      <c r="I386" s="460"/>
      <c r="J386" s="461"/>
      <c r="K386" s="460"/>
      <c r="L386" s="461"/>
      <c r="M386" s="183">
        <v>220</v>
      </c>
      <c r="N386" s="184"/>
      <c r="O386" s="185"/>
      <c r="P386" s="460"/>
      <c r="Q386" s="461"/>
      <c r="R386" s="183">
        <v>44</v>
      </c>
      <c r="S386" s="185"/>
      <c r="T386" s="460"/>
      <c r="U386" s="461"/>
      <c r="V386" s="114" t="s">
        <v>1758</v>
      </c>
      <c r="W386" s="116"/>
      <c r="X386" s="227">
        <v>310</v>
      </c>
      <c r="Y386" s="228"/>
      <c r="Z386" s="229"/>
      <c r="AA386" s="110" t="s">
        <v>1759</v>
      </c>
      <c r="AB386" s="111"/>
      <c r="AC386" s="239"/>
      <c r="AD386" s="240"/>
      <c r="AE386" s="36"/>
      <c r="AF386" s="235"/>
      <c r="AG386" s="270"/>
      <c r="AH386" s="236"/>
      <c r="AI386" s="167"/>
      <c r="AJ386" s="203" t="s">
        <v>1666</v>
      </c>
      <c r="AK386" s="203"/>
      <c r="AL386" s="203"/>
    </row>
    <row r="387" spans="1:38" ht="105" x14ac:dyDescent="0.35">
      <c r="A387" s="179"/>
      <c r="B387" s="292"/>
      <c r="C387" s="314"/>
      <c r="D387" s="293"/>
      <c r="E387" s="28" t="s">
        <v>6447</v>
      </c>
      <c r="F387" s="192" t="s">
        <v>1761</v>
      </c>
      <c r="G387" s="196"/>
      <c r="H387" s="193"/>
      <c r="I387" s="107"/>
      <c r="J387" s="109"/>
      <c r="K387" s="107"/>
      <c r="L387" s="109"/>
      <c r="M387" s="183">
        <v>355</v>
      </c>
      <c r="N387" s="184"/>
      <c r="O387" s="185"/>
      <c r="P387" s="107"/>
      <c r="Q387" s="109"/>
      <c r="R387" s="183">
        <v>61</v>
      </c>
      <c r="S387" s="185"/>
      <c r="T387" s="107"/>
      <c r="U387" s="109"/>
      <c r="V387" s="114" t="s">
        <v>1762</v>
      </c>
      <c r="W387" s="116"/>
      <c r="X387" s="227">
        <v>530</v>
      </c>
      <c r="Y387" s="228"/>
      <c r="Z387" s="229"/>
      <c r="AA387" s="110" t="s">
        <v>975</v>
      </c>
      <c r="AB387" s="111"/>
      <c r="AC387" s="239"/>
      <c r="AD387" s="240"/>
      <c r="AE387" s="36"/>
      <c r="AF387" s="235"/>
      <c r="AG387" s="270"/>
      <c r="AH387" s="236"/>
      <c r="AI387" s="167"/>
      <c r="AJ387" s="203" t="s">
        <v>1666</v>
      </c>
      <c r="AK387" s="203"/>
      <c r="AL387" s="203"/>
    </row>
    <row r="388" spans="1:38" ht="105" x14ac:dyDescent="0.35">
      <c r="A388" s="179"/>
      <c r="B388" s="292"/>
      <c r="C388" s="314"/>
      <c r="D388" s="293"/>
      <c r="E388" s="28" t="s">
        <v>6448</v>
      </c>
      <c r="F388" s="272" t="s">
        <v>1679</v>
      </c>
      <c r="G388" s="282"/>
      <c r="H388" s="273"/>
      <c r="I388" s="107"/>
      <c r="J388" s="109"/>
      <c r="K388" s="107"/>
      <c r="L388" s="109"/>
      <c r="M388" s="183">
        <v>325</v>
      </c>
      <c r="N388" s="184"/>
      <c r="O388" s="185"/>
      <c r="P388" s="107"/>
      <c r="Q388" s="109"/>
      <c r="R388" s="183">
        <v>61</v>
      </c>
      <c r="S388" s="185"/>
      <c r="T388" s="107"/>
      <c r="U388" s="109"/>
      <c r="V388" s="114" t="s">
        <v>1763</v>
      </c>
      <c r="W388" s="116"/>
      <c r="X388" s="227">
        <v>450</v>
      </c>
      <c r="Y388" s="228"/>
      <c r="Z388" s="229"/>
      <c r="AA388" s="110" t="s">
        <v>1764</v>
      </c>
      <c r="AB388" s="111"/>
      <c r="AC388" s="239"/>
      <c r="AD388" s="240"/>
      <c r="AE388" s="36"/>
      <c r="AF388" s="235"/>
      <c r="AG388" s="270"/>
      <c r="AH388" s="236"/>
      <c r="AI388" s="167"/>
      <c r="AJ388" s="203" t="s">
        <v>1666</v>
      </c>
      <c r="AK388" s="203"/>
      <c r="AL388" s="203"/>
    </row>
    <row r="389" spans="1:38" ht="105" x14ac:dyDescent="0.25">
      <c r="A389" s="179"/>
      <c r="B389" s="292"/>
      <c r="C389" s="314"/>
      <c r="D389" s="293"/>
      <c r="E389" s="28" t="s">
        <v>6449</v>
      </c>
      <c r="F389" s="194"/>
      <c r="G389" s="197"/>
      <c r="H389" s="195"/>
      <c r="I389" s="460"/>
      <c r="J389" s="461"/>
      <c r="K389" s="460"/>
      <c r="L389" s="461"/>
      <c r="M389" s="183">
        <v>325</v>
      </c>
      <c r="N389" s="184"/>
      <c r="O389" s="185"/>
      <c r="P389" s="460"/>
      <c r="Q389" s="461"/>
      <c r="R389" s="183">
        <v>61</v>
      </c>
      <c r="S389" s="185"/>
      <c r="T389" s="460"/>
      <c r="U389" s="461"/>
      <c r="V389" s="114" t="s">
        <v>1763</v>
      </c>
      <c r="W389" s="116"/>
      <c r="X389" s="227">
        <v>450</v>
      </c>
      <c r="Y389" s="228"/>
      <c r="Z389" s="229"/>
      <c r="AA389" s="110" t="s">
        <v>1764</v>
      </c>
      <c r="AB389" s="111"/>
      <c r="AC389" s="239"/>
      <c r="AD389" s="240"/>
      <c r="AE389" s="36"/>
      <c r="AF389" s="235"/>
      <c r="AG389" s="270"/>
      <c r="AH389" s="236"/>
      <c r="AI389" s="167"/>
      <c r="AJ389" s="203" t="s">
        <v>1666</v>
      </c>
      <c r="AK389" s="203"/>
      <c r="AL389" s="203"/>
    </row>
    <row r="390" spans="1:38" ht="75" x14ac:dyDescent="0.35">
      <c r="A390" s="179"/>
      <c r="B390" s="292"/>
      <c r="C390" s="314"/>
      <c r="D390" s="293"/>
      <c r="E390" s="28" t="s">
        <v>1765</v>
      </c>
      <c r="F390" s="233" t="s">
        <v>1683</v>
      </c>
      <c r="G390" s="305"/>
      <c r="H390" s="234"/>
      <c r="I390" s="107"/>
      <c r="J390" s="109"/>
      <c r="K390" s="107"/>
      <c r="L390" s="109"/>
      <c r="M390" s="183">
        <v>275</v>
      </c>
      <c r="N390" s="184"/>
      <c r="O390" s="185"/>
      <c r="P390" s="107"/>
      <c r="Q390" s="109"/>
      <c r="R390" s="183">
        <v>50</v>
      </c>
      <c r="S390" s="185"/>
      <c r="T390" s="107"/>
      <c r="U390" s="109"/>
      <c r="V390" s="114" t="s">
        <v>1766</v>
      </c>
      <c r="W390" s="116"/>
      <c r="X390" s="227">
        <v>490</v>
      </c>
      <c r="Y390" s="228"/>
      <c r="Z390" s="229"/>
      <c r="AA390" s="110" t="s">
        <v>1452</v>
      </c>
      <c r="AB390" s="111"/>
      <c r="AC390" s="239"/>
      <c r="AD390" s="240"/>
      <c r="AE390" s="36"/>
      <c r="AF390" s="235"/>
      <c r="AG390" s="270"/>
      <c r="AH390" s="236"/>
      <c r="AI390" s="167"/>
      <c r="AJ390" s="203" t="s">
        <v>1666</v>
      </c>
      <c r="AK390" s="203"/>
      <c r="AL390" s="203"/>
    </row>
    <row r="391" spans="1:38" ht="90" x14ac:dyDescent="0.25">
      <c r="A391" s="179"/>
      <c r="B391" s="292"/>
      <c r="C391" s="314"/>
      <c r="D391" s="293"/>
      <c r="E391" s="28" t="s">
        <v>1767</v>
      </c>
      <c r="F391" s="235"/>
      <c r="G391" s="270"/>
      <c r="H391" s="236"/>
      <c r="I391" s="460"/>
      <c r="J391" s="461"/>
      <c r="K391" s="460"/>
      <c r="L391" s="461"/>
      <c r="M391" s="183">
        <v>245</v>
      </c>
      <c r="N391" s="184"/>
      <c r="O391" s="185"/>
      <c r="P391" s="460"/>
      <c r="Q391" s="461"/>
      <c r="R391" s="183">
        <v>50</v>
      </c>
      <c r="S391" s="185"/>
      <c r="T391" s="460"/>
      <c r="U391" s="461"/>
      <c r="V391" s="114" t="s">
        <v>1615</v>
      </c>
      <c r="W391" s="116"/>
      <c r="X391" s="227">
        <v>380</v>
      </c>
      <c r="Y391" s="228"/>
      <c r="Z391" s="229"/>
      <c r="AA391" s="110" t="s">
        <v>1127</v>
      </c>
      <c r="AB391" s="111"/>
      <c r="AC391" s="239"/>
      <c r="AD391" s="240"/>
      <c r="AE391" s="36"/>
      <c r="AF391" s="235"/>
      <c r="AG391" s="270"/>
      <c r="AH391" s="236"/>
      <c r="AI391" s="167"/>
      <c r="AJ391" s="203" t="s">
        <v>1666</v>
      </c>
      <c r="AK391" s="203"/>
      <c r="AL391" s="203"/>
    </row>
    <row r="392" spans="1:38" ht="75" x14ac:dyDescent="0.35">
      <c r="A392" s="179"/>
      <c r="B392" s="292"/>
      <c r="C392" s="314"/>
      <c r="D392" s="293"/>
      <c r="E392" s="28" t="s">
        <v>1768</v>
      </c>
      <c r="F392" s="237"/>
      <c r="G392" s="306"/>
      <c r="H392" s="238"/>
      <c r="I392" s="107"/>
      <c r="J392" s="109"/>
      <c r="K392" s="107"/>
      <c r="L392" s="109"/>
      <c r="M392" s="183">
        <v>245</v>
      </c>
      <c r="N392" s="184"/>
      <c r="O392" s="185"/>
      <c r="P392" s="107"/>
      <c r="Q392" s="109"/>
      <c r="R392" s="183">
        <v>50</v>
      </c>
      <c r="S392" s="185"/>
      <c r="T392" s="107"/>
      <c r="U392" s="109"/>
      <c r="V392" s="114" t="s">
        <v>1615</v>
      </c>
      <c r="W392" s="116"/>
      <c r="X392" s="227">
        <v>380</v>
      </c>
      <c r="Y392" s="228"/>
      <c r="Z392" s="229"/>
      <c r="AA392" s="110" t="s">
        <v>1127</v>
      </c>
      <c r="AB392" s="111"/>
      <c r="AC392" s="239"/>
      <c r="AD392" s="240"/>
      <c r="AE392" s="36"/>
      <c r="AF392" s="235"/>
      <c r="AG392" s="270"/>
      <c r="AH392" s="236"/>
      <c r="AI392" s="167"/>
      <c r="AJ392" s="203" t="s">
        <v>1666</v>
      </c>
      <c r="AK392" s="203"/>
      <c r="AL392" s="203"/>
    </row>
    <row r="393" spans="1:38" ht="105" x14ac:dyDescent="0.25">
      <c r="A393" s="179"/>
      <c r="B393" s="292"/>
      <c r="C393" s="314"/>
      <c r="D393" s="293"/>
      <c r="E393" s="28" t="s">
        <v>6450</v>
      </c>
      <c r="F393" s="192" t="s">
        <v>1761</v>
      </c>
      <c r="G393" s="196"/>
      <c r="H393" s="193"/>
      <c r="I393" s="460"/>
      <c r="J393" s="461"/>
      <c r="K393" s="460"/>
      <c r="L393" s="461"/>
      <c r="M393" s="183">
        <v>380</v>
      </c>
      <c r="N393" s="184"/>
      <c r="O393" s="185"/>
      <c r="P393" s="460"/>
      <c r="Q393" s="461"/>
      <c r="R393" s="183">
        <v>70</v>
      </c>
      <c r="S393" s="185"/>
      <c r="T393" s="460"/>
      <c r="U393" s="461"/>
      <c r="V393" s="114" t="s">
        <v>1769</v>
      </c>
      <c r="W393" s="116"/>
      <c r="X393" s="227">
        <v>630</v>
      </c>
      <c r="Y393" s="228"/>
      <c r="Z393" s="229"/>
      <c r="AA393" s="110" t="s">
        <v>1342</v>
      </c>
      <c r="AB393" s="111"/>
      <c r="AC393" s="239"/>
      <c r="AD393" s="240"/>
      <c r="AE393" s="36"/>
      <c r="AF393" s="235"/>
      <c r="AG393" s="270"/>
      <c r="AH393" s="236"/>
      <c r="AI393" s="167"/>
      <c r="AJ393" s="203" t="s">
        <v>1666</v>
      </c>
      <c r="AK393" s="203"/>
      <c r="AL393" s="203"/>
    </row>
    <row r="394" spans="1:38" ht="105" x14ac:dyDescent="0.35">
      <c r="A394" s="179"/>
      <c r="B394" s="292"/>
      <c r="C394" s="314"/>
      <c r="D394" s="293"/>
      <c r="E394" s="28" t="s">
        <v>6451</v>
      </c>
      <c r="F394" s="272" t="s">
        <v>1683</v>
      </c>
      <c r="G394" s="282"/>
      <c r="H394" s="273"/>
      <c r="I394" s="107"/>
      <c r="J394" s="109"/>
      <c r="K394" s="107"/>
      <c r="L394" s="109"/>
      <c r="M394" s="183">
        <v>350</v>
      </c>
      <c r="N394" s="184"/>
      <c r="O394" s="185"/>
      <c r="P394" s="107"/>
      <c r="Q394" s="109"/>
      <c r="R394" s="183">
        <v>70</v>
      </c>
      <c r="S394" s="185"/>
      <c r="T394" s="107"/>
      <c r="U394" s="109"/>
      <c r="V394" s="114" t="s">
        <v>1770</v>
      </c>
      <c r="W394" s="116"/>
      <c r="X394" s="227">
        <v>520</v>
      </c>
      <c r="Y394" s="228"/>
      <c r="Z394" s="229"/>
      <c r="AA394" s="110" t="s">
        <v>1174</v>
      </c>
      <c r="AB394" s="111"/>
      <c r="AC394" s="239"/>
      <c r="AD394" s="240"/>
      <c r="AE394" s="36"/>
      <c r="AF394" s="235"/>
      <c r="AG394" s="270"/>
      <c r="AH394" s="236"/>
      <c r="AI394" s="167"/>
      <c r="AJ394" s="203" t="s">
        <v>1666</v>
      </c>
      <c r="AK394" s="203"/>
      <c r="AL394" s="203"/>
    </row>
    <row r="395" spans="1:38" ht="105" x14ac:dyDescent="0.35">
      <c r="A395" s="230"/>
      <c r="B395" s="290"/>
      <c r="C395" s="345"/>
      <c r="D395" s="291"/>
      <c r="E395" s="28" t="s">
        <v>6452</v>
      </c>
      <c r="F395" s="194"/>
      <c r="G395" s="197"/>
      <c r="H395" s="195"/>
      <c r="I395" s="107"/>
      <c r="J395" s="109"/>
      <c r="K395" s="107"/>
      <c r="L395" s="109"/>
      <c r="M395" s="183">
        <v>350</v>
      </c>
      <c r="N395" s="184"/>
      <c r="O395" s="185"/>
      <c r="P395" s="107"/>
      <c r="Q395" s="109"/>
      <c r="R395" s="183">
        <v>70</v>
      </c>
      <c r="S395" s="185"/>
      <c r="T395" s="107"/>
      <c r="U395" s="109"/>
      <c r="V395" s="114" t="s">
        <v>1770</v>
      </c>
      <c r="W395" s="116"/>
      <c r="X395" s="227">
        <v>520</v>
      </c>
      <c r="Y395" s="228"/>
      <c r="Z395" s="229"/>
      <c r="AA395" s="110" t="s">
        <v>1174</v>
      </c>
      <c r="AB395" s="111"/>
      <c r="AC395" s="225"/>
      <c r="AD395" s="226"/>
      <c r="AE395" s="36"/>
      <c r="AF395" s="237"/>
      <c r="AG395" s="306"/>
      <c r="AH395" s="238"/>
      <c r="AI395" s="214"/>
      <c r="AJ395" s="203" t="s">
        <v>1666</v>
      </c>
      <c r="AK395" s="203"/>
      <c r="AL395" s="203"/>
    </row>
    <row r="396" spans="1:38" ht="90" x14ac:dyDescent="0.3">
      <c r="A396" s="178"/>
      <c r="B396" s="303" t="s">
        <v>1771</v>
      </c>
      <c r="C396" s="344"/>
      <c r="D396" s="304"/>
      <c r="E396" s="66" t="s">
        <v>1772</v>
      </c>
      <c r="F396" s="192" t="s">
        <v>1773</v>
      </c>
      <c r="G396" s="196"/>
      <c r="H396" s="193"/>
      <c r="I396" s="387">
        <v>11</v>
      </c>
      <c r="J396" s="388"/>
      <c r="K396" s="164"/>
      <c r="L396" s="166"/>
      <c r="M396" s="171" t="s">
        <v>1774</v>
      </c>
      <c r="N396" s="407"/>
      <c r="O396" s="172"/>
      <c r="P396" s="171" t="s">
        <v>1140</v>
      </c>
      <c r="Q396" s="172"/>
      <c r="R396" s="387">
        <v>27</v>
      </c>
      <c r="S396" s="388"/>
      <c r="T396" s="387">
        <v>10</v>
      </c>
      <c r="U396" s="388"/>
      <c r="V396" s="171" t="s">
        <v>1775</v>
      </c>
      <c r="W396" s="172"/>
      <c r="X396" s="252">
        <v>238</v>
      </c>
      <c r="Y396" s="253"/>
      <c r="Z396" s="254"/>
      <c r="AA396" s="192" t="s">
        <v>674</v>
      </c>
      <c r="AB396" s="193"/>
      <c r="AC396" s="223" t="s">
        <v>675</v>
      </c>
      <c r="AD396" s="224"/>
      <c r="AE396" s="24" t="s">
        <v>1778</v>
      </c>
      <c r="AF396" s="303" t="s">
        <v>1780</v>
      </c>
      <c r="AG396" s="344"/>
      <c r="AH396" s="304"/>
      <c r="AI396" s="24" t="s">
        <v>1781</v>
      </c>
      <c r="AJ396" s="135"/>
      <c r="AK396" s="136"/>
      <c r="AL396" s="136"/>
    </row>
    <row r="397" spans="1:38" ht="45" x14ac:dyDescent="0.3">
      <c r="A397" s="179"/>
      <c r="B397" s="292"/>
      <c r="C397" s="314"/>
      <c r="D397" s="293"/>
      <c r="E397" s="74"/>
      <c r="F397" s="272"/>
      <c r="G397" s="282"/>
      <c r="H397" s="273"/>
      <c r="I397" s="506"/>
      <c r="J397" s="507"/>
      <c r="K397" s="167"/>
      <c r="L397" s="169"/>
      <c r="M397" s="162"/>
      <c r="N397" s="170"/>
      <c r="O397" s="163"/>
      <c r="P397" s="162"/>
      <c r="Q397" s="163"/>
      <c r="R397" s="506"/>
      <c r="S397" s="507"/>
      <c r="T397" s="506"/>
      <c r="U397" s="507"/>
      <c r="V397" s="162"/>
      <c r="W397" s="163"/>
      <c r="X397" s="311"/>
      <c r="Y397" s="312"/>
      <c r="Z397" s="313"/>
      <c r="AA397" s="272"/>
      <c r="AB397" s="273"/>
      <c r="AC397" s="239" t="s">
        <v>1776</v>
      </c>
      <c r="AD397" s="240"/>
      <c r="AE397" s="31" t="s">
        <v>848</v>
      </c>
      <c r="AF397" s="292"/>
      <c r="AG397" s="314"/>
      <c r="AH397" s="293"/>
      <c r="AI397" s="31" t="s">
        <v>681</v>
      </c>
      <c r="AJ397" s="126" t="s">
        <v>1783</v>
      </c>
      <c r="AK397" s="203"/>
      <c r="AL397" s="203"/>
    </row>
    <row r="398" spans="1:38" ht="120" x14ac:dyDescent="0.3">
      <c r="A398" s="179"/>
      <c r="B398" s="292"/>
      <c r="C398" s="314"/>
      <c r="D398" s="293"/>
      <c r="E398" s="67"/>
      <c r="F398" s="194"/>
      <c r="G398" s="197"/>
      <c r="H398" s="195"/>
      <c r="I398" s="389"/>
      <c r="J398" s="390"/>
      <c r="K398" s="214"/>
      <c r="L398" s="216"/>
      <c r="M398" s="212"/>
      <c r="N398" s="408"/>
      <c r="O398" s="213"/>
      <c r="P398" s="212"/>
      <c r="Q398" s="213"/>
      <c r="R398" s="389"/>
      <c r="S398" s="390"/>
      <c r="T398" s="389"/>
      <c r="U398" s="390"/>
      <c r="V398" s="212"/>
      <c r="W398" s="213"/>
      <c r="X398" s="255"/>
      <c r="Y398" s="256"/>
      <c r="Z398" s="257"/>
      <c r="AA398" s="194"/>
      <c r="AB398" s="195"/>
      <c r="AC398" s="239" t="s">
        <v>678</v>
      </c>
      <c r="AD398" s="240"/>
      <c r="AE398" s="31" t="s">
        <v>1779</v>
      </c>
      <c r="AF398" s="292"/>
      <c r="AG398" s="314"/>
      <c r="AH398" s="293"/>
      <c r="AI398" s="31" t="s">
        <v>1782</v>
      </c>
      <c r="AJ398" s="135"/>
      <c r="AK398" s="136"/>
      <c r="AL398" s="136"/>
    </row>
    <row r="399" spans="1:38" ht="45" x14ac:dyDescent="0.3">
      <c r="A399" s="230"/>
      <c r="B399" s="290"/>
      <c r="C399" s="345"/>
      <c r="D399" s="291"/>
      <c r="E399" s="19" t="s">
        <v>1784</v>
      </c>
      <c r="F399" s="346" t="s">
        <v>1773</v>
      </c>
      <c r="G399" s="347"/>
      <c r="H399" s="348"/>
      <c r="I399" s="349">
        <v>11</v>
      </c>
      <c r="J399" s="350"/>
      <c r="K399" s="351" t="s">
        <v>1785</v>
      </c>
      <c r="L399" s="352"/>
      <c r="M399" s="351" t="s">
        <v>1786</v>
      </c>
      <c r="N399" s="444"/>
      <c r="O399" s="352"/>
      <c r="P399" s="351" t="s">
        <v>1140</v>
      </c>
      <c r="Q399" s="352"/>
      <c r="R399" s="349">
        <v>27</v>
      </c>
      <c r="S399" s="350"/>
      <c r="T399" s="349">
        <v>10</v>
      </c>
      <c r="U399" s="350"/>
      <c r="V399" s="351" t="s">
        <v>1787</v>
      </c>
      <c r="W399" s="352"/>
      <c r="X399" s="334">
        <v>238</v>
      </c>
      <c r="Y399" s="335"/>
      <c r="Z399" s="336"/>
      <c r="AA399" s="337" t="s">
        <v>688</v>
      </c>
      <c r="AB399" s="338"/>
      <c r="AC399" s="225" t="s">
        <v>1777</v>
      </c>
      <c r="AD399" s="226"/>
      <c r="AE399" s="31"/>
      <c r="AF399" s="290"/>
      <c r="AG399" s="345"/>
      <c r="AH399" s="291"/>
      <c r="AI399" s="31"/>
      <c r="AJ399" s="167"/>
      <c r="AK399" s="168"/>
      <c r="AL399" s="168"/>
    </row>
    <row r="400" spans="1:38" ht="30" x14ac:dyDescent="0.35">
      <c r="A400" s="178"/>
      <c r="B400" s="164"/>
      <c r="C400" s="165"/>
      <c r="D400" s="166"/>
      <c r="E400" s="59" t="s">
        <v>1788</v>
      </c>
      <c r="F400" s="143" t="s">
        <v>1789</v>
      </c>
      <c r="G400" s="144"/>
      <c r="H400" s="145"/>
      <c r="I400" s="143" t="s">
        <v>1520</v>
      </c>
      <c r="J400" s="145"/>
      <c r="K400" s="164"/>
      <c r="L400" s="166"/>
      <c r="M400" s="88" t="s">
        <v>1790</v>
      </c>
      <c r="N400" s="153"/>
      <c r="O400" s="89"/>
      <c r="P400" s="88" t="s">
        <v>688</v>
      </c>
      <c r="Q400" s="89"/>
      <c r="R400" s="204">
        <v>7</v>
      </c>
      <c r="S400" s="205"/>
      <c r="T400" s="204">
        <v>5</v>
      </c>
      <c r="U400" s="205"/>
      <c r="V400" s="88" t="s">
        <v>1791</v>
      </c>
      <c r="W400" s="89"/>
      <c r="X400" s="241">
        <v>49</v>
      </c>
      <c r="Y400" s="242"/>
      <c r="Z400" s="243"/>
      <c r="AA400" s="143" t="s">
        <v>758</v>
      </c>
      <c r="AB400" s="145"/>
      <c r="AC400" s="171" t="s">
        <v>675</v>
      </c>
      <c r="AD400" s="172"/>
      <c r="AE400" s="16" t="s">
        <v>1264</v>
      </c>
      <c r="AF400" s="303" t="s">
        <v>1794</v>
      </c>
      <c r="AG400" s="344"/>
      <c r="AH400" s="304"/>
      <c r="AI400" s="24" t="s">
        <v>1795</v>
      </c>
      <c r="AJ400" s="121"/>
      <c r="AK400" s="122"/>
      <c r="AL400" s="122"/>
    </row>
    <row r="401" spans="1:38" ht="60" x14ac:dyDescent="0.3">
      <c r="A401" s="179"/>
      <c r="B401" s="167"/>
      <c r="C401" s="168"/>
      <c r="D401" s="169"/>
      <c r="E401" s="81"/>
      <c r="F401" s="104"/>
      <c r="G401" s="202"/>
      <c r="H401" s="105"/>
      <c r="I401" s="104"/>
      <c r="J401" s="105"/>
      <c r="K401" s="167"/>
      <c r="L401" s="169"/>
      <c r="M401" s="126"/>
      <c r="N401" s="203"/>
      <c r="O401" s="127"/>
      <c r="P401" s="126"/>
      <c r="Q401" s="127"/>
      <c r="R401" s="231"/>
      <c r="S401" s="232"/>
      <c r="T401" s="231"/>
      <c r="U401" s="232"/>
      <c r="V401" s="126"/>
      <c r="W401" s="127"/>
      <c r="X401" s="247"/>
      <c r="Y401" s="248"/>
      <c r="Z401" s="249"/>
      <c r="AA401" s="104"/>
      <c r="AB401" s="105"/>
      <c r="AC401" s="162" t="s">
        <v>1792</v>
      </c>
      <c r="AD401" s="163"/>
      <c r="AE401" s="43" t="s">
        <v>1793</v>
      </c>
      <c r="AF401" s="292"/>
      <c r="AG401" s="314"/>
      <c r="AH401" s="293"/>
      <c r="AI401" s="31" t="s">
        <v>1796</v>
      </c>
      <c r="AJ401" s="126" t="s">
        <v>1797</v>
      </c>
      <c r="AK401" s="203"/>
      <c r="AL401" s="203"/>
    </row>
    <row r="402" spans="1:38" ht="15" x14ac:dyDescent="0.3">
      <c r="A402" s="179"/>
      <c r="B402" s="167"/>
      <c r="C402" s="168"/>
      <c r="D402" s="169"/>
      <c r="E402" s="81"/>
      <c r="F402" s="104"/>
      <c r="G402" s="202"/>
      <c r="H402" s="105"/>
      <c r="I402" s="104"/>
      <c r="J402" s="105"/>
      <c r="K402" s="167"/>
      <c r="L402" s="169"/>
      <c r="M402" s="126"/>
      <c r="N402" s="203"/>
      <c r="O402" s="127"/>
      <c r="P402" s="126"/>
      <c r="Q402" s="127"/>
      <c r="R402" s="231"/>
      <c r="S402" s="232"/>
      <c r="T402" s="231"/>
      <c r="U402" s="232"/>
      <c r="V402" s="126"/>
      <c r="W402" s="127"/>
      <c r="X402" s="247"/>
      <c r="Y402" s="248"/>
      <c r="Z402" s="249"/>
      <c r="AA402" s="104"/>
      <c r="AB402" s="105"/>
      <c r="AC402" s="162"/>
      <c r="AD402" s="163"/>
      <c r="AE402" s="43"/>
      <c r="AF402" s="292"/>
      <c r="AG402" s="314"/>
      <c r="AH402" s="293"/>
      <c r="AI402" s="31"/>
      <c r="AJ402" s="126" t="s">
        <v>1406</v>
      </c>
      <c r="AK402" s="203"/>
      <c r="AL402" s="203"/>
    </row>
    <row r="403" spans="1:38" ht="15.5" x14ac:dyDescent="0.35">
      <c r="A403" s="179"/>
      <c r="B403" s="167"/>
      <c r="C403" s="168"/>
      <c r="D403" s="169"/>
      <c r="E403" s="60"/>
      <c r="F403" s="146"/>
      <c r="G403" s="147"/>
      <c r="H403" s="148"/>
      <c r="I403" s="146"/>
      <c r="J403" s="148"/>
      <c r="K403" s="214"/>
      <c r="L403" s="216"/>
      <c r="M403" s="117"/>
      <c r="N403" s="154"/>
      <c r="O403" s="118"/>
      <c r="P403" s="117"/>
      <c r="Q403" s="118"/>
      <c r="R403" s="206"/>
      <c r="S403" s="207"/>
      <c r="T403" s="206"/>
      <c r="U403" s="207"/>
      <c r="V403" s="117"/>
      <c r="W403" s="118"/>
      <c r="X403" s="244"/>
      <c r="Y403" s="245"/>
      <c r="Z403" s="246"/>
      <c r="AA403" s="146"/>
      <c r="AB403" s="148"/>
      <c r="AC403" s="162"/>
      <c r="AD403" s="163"/>
      <c r="AE403" s="43"/>
      <c r="AF403" s="292"/>
      <c r="AG403" s="314"/>
      <c r="AH403" s="293"/>
      <c r="AI403" s="31"/>
      <c r="AJ403" s="121"/>
      <c r="AK403" s="122"/>
      <c r="AL403" s="122"/>
    </row>
    <row r="404" spans="1:38" ht="15.5" x14ac:dyDescent="0.35">
      <c r="A404" s="179"/>
      <c r="B404" s="167"/>
      <c r="C404" s="168"/>
      <c r="D404" s="169"/>
      <c r="E404" s="59" t="s">
        <v>1798</v>
      </c>
      <c r="F404" s="143" t="s">
        <v>1789</v>
      </c>
      <c r="G404" s="144"/>
      <c r="H404" s="145"/>
      <c r="I404" s="143" t="s">
        <v>1520</v>
      </c>
      <c r="J404" s="145"/>
      <c r="K404" s="164"/>
      <c r="L404" s="166"/>
      <c r="M404" s="88" t="s">
        <v>1790</v>
      </c>
      <c r="N404" s="153"/>
      <c r="O404" s="89"/>
      <c r="P404" s="88" t="s">
        <v>688</v>
      </c>
      <c r="Q404" s="89"/>
      <c r="R404" s="204">
        <v>7</v>
      </c>
      <c r="S404" s="205"/>
      <c r="T404" s="204">
        <v>5</v>
      </c>
      <c r="U404" s="205"/>
      <c r="V404" s="88" t="s">
        <v>1791</v>
      </c>
      <c r="W404" s="89"/>
      <c r="X404" s="241">
        <v>49</v>
      </c>
      <c r="Y404" s="242"/>
      <c r="Z404" s="243"/>
      <c r="AA404" s="143" t="s">
        <v>758</v>
      </c>
      <c r="AB404" s="145"/>
      <c r="AC404" s="162"/>
      <c r="AD404" s="163"/>
      <c r="AE404" s="43"/>
      <c r="AF404" s="292"/>
      <c r="AG404" s="314"/>
      <c r="AH404" s="293"/>
      <c r="AI404" s="31"/>
      <c r="AJ404" s="121"/>
      <c r="AK404" s="122"/>
      <c r="AL404" s="122"/>
    </row>
    <row r="405" spans="1:38" ht="15" x14ac:dyDescent="0.3">
      <c r="A405" s="179"/>
      <c r="B405" s="167"/>
      <c r="C405" s="168"/>
      <c r="D405" s="169"/>
      <c r="E405" s="81"/>
      <c r="F405" s="104"/>
      <c r="G405" s="202"/>
      <c r="H405" s="105"/>
      <c r="I405" s="104"/>
      <c r="J405" s="105"/>
      <c r="K405" s="167"/>
      <c r="L405" s="169"/>
      <c r="M405" s="126"/>
      <c r="N405" s="203"/>
      <c r="O405" s="127"/>
      <c r="P405" s="126"/>
      <c r="Q405" s="127"/>
      <c r="R405" s="231"/>
      <c r="S405" s="232"/>
      <c r="T405" s="231"/>
      <c r="U405" s="232"/>
      <c r="V405" s="126"/>
      <c r="W405" s="127"/>
      <c r="X405" s="247"/>
      <c r="Y405" s="248"/>
      <c r="Z405" s="249"/>
      <c r="AA405" s="104"/>
      <c r="AB405" s="105"/>
      <c r="AC405" s="162"/>
      <c r="AD405" s="163"/>
      <c r="AE405" s="43"/>
      <c r="AF405" s="292"/>
      <c r="AG405" s="314"/>
      <c r="AH405" s="293"/>
      <c r="AI405" s="31"/>
      <c r="AJ405" s="126" t="s">
        <v>1799</v>
      </c>
      <c r="AK405" s="203"/>
      <c r="AL405" s="203"/>
    </row>
    <row r="406" spans="1:38" ht="15.5" x14ac:dyDescent="0.35">
      <c r="A406" s="179"/>
      <c r="B406" s="167"/>
      <c r="C406" s="168"/>
      <c r="D406" s="169"/>
      <c r="E406" s="60"/>
      <c r="F406" s="146"/>
      <c r="G406" s="147"/>
      <c r="H406" s="148"/>
      <c r="I406" s="146"/>
      <c r="J406" s="148"/>
      <c r="K406" s="214"/>
      <c r="L406" s="216"/>
      <c r="M406" s="117"/>
      <c r="N406" s="154"/>
      <c r="O406" s="118"/>
      <c r="P406" s="117"/>
      <c r="Q406" s="118"/>
      <c r="R406" s="206"/>
      <c r="S406" s="207"/>
      <c r="T406" s="206"/>
      <c r="U406" s="207"/>
      <c r="V406" s="117"/>
      <c r="W406" s="118"/>
      <c r="X406" s="244"/>
      <c r="Y406" s="245"/>
      <c r="Z406" s="246"/>
      <c r="AA406" s="146"/>
      <c r="AB406" s="148"/>
      <c r="AC406" s="162"/>
      <c r="AD406" s="163"/>
      <c r="AE406" s="43"/>
      <c r="AF406" s="292"/>
      <c r="AG406" s="314"/>
      <c r="AH406" s="293"/>
      <c r="AI406" s="31"/>
      <c r="AJ406" s="121"/>
      <c r="AK406" s="122"/>
      <c r="AL406" s="122"/>
    </row>
    <row r="407" spans="1:38" ht="15.5" x14ac:dyDescent="0.35">
      <c r="A407" s="179"/>
      <c r="B407" s="167"/>
      <c r="C407" s="168"/>
      <c r="D407" s="169"/>
      <c r="E407" s="59" t="s">
        <v>1800</v>
      </c>
      <c r="F407" s="143" t="s">
        <v>1789</v>
      </c>
      <c r="G407" s="144"/>
      <c r="H407" s="145"/>
      <c r="I407" s="143" t="s">
        <v>1520</v>
      </c>
      <c r="J407" s="145"/>
      <c r="K407" s="164"/>
      <c r="L407" s="166"/>
      <c r="M407" s="88" t="s">
        <v>1790</v>
      </c>
      <c r="N407" s="153"/>
      <c r="O407" s="89"/>
      <c r="P407" s="88" t="s">
        <v>688</v>
      </c>
      <c r="Q407" s="89"/>
      <c r="R407" s="204">
        <v>7</v>
      </c>
      <c r="S407" s="205"/>
      <c r="T407" s="204">
        <v>5</v>
      </c>
      <c r="U407" s="205"/>
      <c r="V407" s="88" t="s">
        <v>1791</v>
      </c>
      <c r="W407" s="89"/>
      <c r="X407" s="241">
        <v>49</v>
      </c>
      <c r="Y407" s="242"/>
      <c r="Z407" s="243"/>
      <c r="AA407" s="143" t="s">
        <v>758</v>
      </c>
      <c r="AB407" s="145"/>
      <c r="AC407" s="126" t="s">
        <v>678</v>
      </c>
      <c r="AD407" s="127"/>
      <c r="AE407" s="63" t="s">
        <v>1802</v>
      </c>
      <c r="AF407" s="126" t="s">
        <v>984</v>
      </c>
      <c r="AG407" s="203"/>
      <c r="AH407" s="127"/>
      <c r="AI407" s="63" t="s">
        <v>1803</v>
      </c>
      <c r="AJ407" s="121"/>
      <c r="AK407" s="122"/>
      <c r="AL407" s="122"/>
    </row>
    <row r="408" spans="1:38" ht="15" x14ac:dyDescent="0.3">
      <c r="A408" s="179"/>
      <c r="B408" s="167"/>
      <c r="C408" s="168"/>
      <c r="D408" s="169"/>
      <c r="E408" s="81"/>
      <c r="F408" s="104"/>
      <c r="G408" s="202"/>
      <c r="H408" s="105"/>
      <c r="I408" s="104"/>
      <c r="J408" s="105"/>
      <c r="K408" s="167"/>
      <c r="L408" s="169"/>
      <c r="M408" s="126"/>
      <c r="N408" s="203"/>
      <c r="O408" s="127"/>
      <c r="P408" s="126"/>
      <c r="Q408" s="127"/>
      <c r="R408" s="231"/>
      <c r="S408" s="232"/>
      <c r="T408" s="231"/>
      <c r="U408" s="232"/>
      <c r="V408" s="126"/>
      <c r="W408" s="127"/>
      <c r="X408" s="247"/>
      <c r="Y408" s="248"/>
      <c r="Z408" s="249"/>
      <c r="AA408" s="104"/>
      <c r="AB408" s="105"/>
      <c r="AC408" s="126" t="s">
        <v>1801</v>
      </c>
      <c r="AD408" s="127"/>
      <c r="AE408" s="63"/>
      <c r="AF408" s="126"/>
      <c r="AG408" s="203"/>
      <c r="AH408" s="127"/>
      <c r="AI408" s="63"/>
      <c r="AJ408" s="126" t="s">
        <v>1797</v>
      </c>
      <c r="AK408" s="203"/>
      <c r="AL408" s="203"/>
    </row>
    <row r="409" spans="1:38" ht="15" x14ac:dyDescent="0.3">
      <c r="A409" s="179"/>
      <c r="B409" s="167"/>
      <c r="C409" s="168"/>
      <c r="D409" s="169"/>
      <c r="E409" s="81"/>
      <c r="F409" s="104"/>
      <c r="G409" s="202"/>
      <c r="H409" s="105"/>
      <c r="I409" s="104"/>
      <c r="J409" s="105"/>
      <c r="K409" s="167"/>
      <c r="L409" s="169"/>
      <c r="M409" s="126"/>
      <c r="N409" s="203"/>
      <c r="O409" s="127"/>
      <c r="P409" s="126"/>
      <c r="Q409" s="127"/>
      <c r="R409" s="231"/>
      <c r="S409" s="232"/>
      <c r="T409" s="231"/>
      <c r="U409" s="232"/>
      <c r="V409" s="126"/>
      <c r="W409" s="127"/>
      <c r="X409" s="247"/>
      <c r="Y409" s="248"/>
      <c r="Z409" s="249"/>
      <c r="AA409" s="104"/>
      <c r="AB409" s="105"/>
      <c r="AC409" s="126"/>
      <c r="AD409" s="127"/>
      <c r="AE409" s="63"/>
      <c r="AF409" s="126"/>
      <c r="AG409" s="203"/>
      <c r="AH409" s="127"/>
      <c r="AI409" s="63"/>
      <c r="AJ409" s="126" t="s">
        <v>1406</v>
      </c>
      <c r="AK409" s="203"/>
      <c r="AL409" s="203"/>
    </row>
    <row r="410" spans="1:38" ht="15.5" x14ac:dyDescent="0.35">
      <c r="A410" s="179"/>
      <c r="B410" s="167"/>
      <c r="C410" s="168"/>
      <c r="D410" s="169"/>
      <c r="E410" s="60"/>
      <c r="F410" s="146"/>
      <c r="G410" s="147"/>
      <c r="H410" s="148"/>
      <c r="I410" s="146"/>
      <c r="J410" s="148"/>
      <c r="K410" s="214"/>
      <c r="L410" s="216"/>
      <c r="M410" s="117"/>
      <c r="N410" s="154"/>
      <c r="O410" s="118"/>
      <c r="P410" s="117"/>
      <c r="Q410" s="118"/>
      <c r="R410" s="206"/>
      <c r="S410" s="207"/>
      <c r="T410" s="206"/>
      <c r="U410" s="207"/>
      <c r="V410" s="117"/>
      <c r="W410" s="118"/>
      <c r="X410" s="244"/>
      <c r="Y410" s="245"/>
      <c r="Z410" s="246"/>
      <c r="AA410" s="146"/>
      <c r="AB410" s="148"/>
      <c r="AC410" s="126"/>
      <c r="AD410" s="127"/>
      <c r="AE410" s="63"/>
      <c r="AF410" s="126"/>
      <c r="AG410" s="203"/>
      <c r="AH410" s="127"/>
      <c r="AI410" s="63"/>
      <c r="AJ410" s="121"/>
      <c r="AK410" s="122"/>
      <c r="AL410" s="122"/>
    </row>
    <row r="411" spans="1:38" ht="15.5" x14ac:dyDescent="0.35">
      <c r="A411" s="179"/>
      <c r="B411" s="167"/>
      <c r="C411" s="168"/>
      <c r="D411" s="169"/>
      <c r="E411" s="59" t="s">
        <v>1804</v>
      </c>
      <c r="F411" s="143" t="s">
        <v>1789</v>
      </c>
      <c r="G411" s="144"/>
      <c r="H411" s="145"/>
      <c r="I411" s="143" t="s">
        <v>1520</v>
      </c>
      <c r="J411" s="145"/>
      <c r="K411" s="164"/>
      <c r="L411" s="166"/>
      <c r="M411" s="88" t="s">
        <v>1790</v>
      </c>
      <c r="N411" s="153"/>
      <c r="O411" s="89"/>
      <c r="P411" s="88" t="s">
        <v>688</v>
      </c>
      <c r="Q411" s="89"/>
      <c r="R411" s="204">
        <v>7</v>
      </c>
      <c r="S411" s="205"/>
      <c r="T411" s="204">
        <v>5</v>
      </c>
      <c r="U411" s="205"/>
      <c r="V411" s="88" t="s">
        <v>1791</v>
      </c>
      <c r="W411" s="89"/>
      <c r="X411" s="241">
        <v>49</v>
      </c>
      <c r="Y411" s="242"/>
      <c r="Z411" s="243"/>
      <c r="AA411" s="143" t="s">
        <v>758</v>
      </c>
      <c r="AB411" s="145"/>
      <c r="AC411" s="126"/>
      <c r="AD411" s="127"/>
      <c r="AE411" s="63"/>
      <c r="AF411" s="126"/>
      <c r="AG411" s="203"/>
      <c r="AH411" s="127"/>
      <c r="AI411" s="63"/>
      <c r="AJ411" s="121"/>
      <c r="AK411" s="122"/>
      <c r="AL411" s="122"/>
    </row>
    <row r="412" spans="1:38" ht="15" x14ac:dyDescent="0.3">
      <c r="A412" s="179"/>
      <c r="B412" s="167"/>
      <c r="C412" s="168"/>
      <c r="D412" s="169"/>
      <c r="E412" s="81"/>
      <c r="F412" s="104"/>
      <c r="G412" s="202"/>
      <c r="H412" s="105"/>
      <c r="I412" s="104"/>
      <c r="J412" s="105"/>
      <c r="K412" s="167"/>
      <c r="L412" s="169"/>
      <c r="M412" s="126"/>
      <c r="N412" s="203"/>
      <c r="O412" s="127"/>
      <c r="P412" s="126"/>
      <c r="Q412" s="127"/>
      <c r="R412" s="231"/>
      <c r="S412" s="232"/>
      <c r="T412" s="231"/>
      <c r="U412" s="232"/>
      <c r="V412" s="126"/>
      <c r="W412" s="127"/>
      <c r="X412" s="247"/>
      <c r="Y412" s="248"/>
      <c r="Z412" s="249"/>
      <c r="AA412" s="104"/>
      <c r="AB412" s="105"/>
      <c r="AC412" s="126"/>
      <c r="AD412" s="127"/>
      <c r="AE412" s="63"/>
      <c r="AF412" s="126"/>
      <c r="AG412" s="203"/>
      <c r="AH412" s="127"/>
      <c r="AI412" s="63"/>
      <c r="AJ412" s="126" t="s">
        <v>1797</v>
      </c>
      <c r="AK412" s="203"/>
      <c r="AL412" s="203"/>
    </row>
    <row r="413" spans="1:38" ht="15" x14ac:dyDescent="0.3">
      <c r="A413" s="179"/>
      <c r="B413" s="167"/>
      <c r="C413" s="168"/>
      <c r="D413" s="169"/>
      <c r="E413" s="81"/>
      <c r="F413" s="104"/>
      <c r="G413" s="202"/>
      <c r="H413" s="105"/>
      <c r="I413" s="104"/>
      <c r="J413" s="105"/>
      <c r="K413" s="167"/>
      <c r="L413" s="169"/>
      <c r="M413" s="126"/>
      <c r="N413" s="203"/>
      <c r="O413" s="127"/>
      <c r="P413" s="126"/>
      <c r="Q413" s="127"/>
      <c r="R413" s="231"/>
      <c r="S413" s="232"/>
      <c r="T413" s="231"/>
      <c r="U413" s="232"/>
      <c r="V413" s="126"/>
      <c r="W413" s="127"/>
      <c r="X413" s="247"/>
      <c r="Y413" s="248"/>
      <c r="Z413" s="249"/>
      <c r="AA413" s="104"/>
      <c r="AB413" s="105"/>
      <c r="AC413" s="126"/>
      <c r="AD413" s="127"/>
      <c r="AE413" s="63"/>
      <c r="AF413" s="126"/>
      <c r="AG413" s="203"/>
      <c r="AH413" s="127"/>
      <c r="AI413" s="63"/>
      <c r="AJ413" s="126" t="s">
        <v>1406</v>
      </c>
      <c r="AK413" s="203"/>
      <c r="AL413" s="203"/>
    </row>
    <row r="414" spans="1:38" ht="15.5" x14ac:dyDescent="0.35">
      <c r="A414" s="230"/>
      <c r="B414" s="214"/>
      <c r="C414" s="215"/>
      <c r="D414" s="216"/>
      <c r="E414" s="60"/>
      <c r="F414" s="146"/>
      <c r="G414" s="147"/>
      <c r="H414" s="148"/>
      <c r="I414" s="146"/>
      <c r="J414" s="148"/>
      <c r="K414" s="214"/>
      <c r="L414" s="216"/>
      <c r="M414" s="117"/>
      <c r="N414" s="154"/>
      <c r="O414" s="118"/>
      <c r="P414" s="117"/>
      <c r="Q414" s="118"/>
      <c r="R414" s="206"/>
      <c r="S414" s="207"/>
      <c r="T414" s="206"/>
      <c r="U414" s="207"/>
      <c r="V414" s="117"/>
      <c r="W414" s="118"/>
      <c r="X414" s="244"/>
      <c r="Y414" s="245"/>
      <c r="Z414" s="246"/>
      <c r="AA414" s="146"/>
      <c r="AB414" s="148"/>
      <c r="AC414" s="117"/>
      <c r="AD414" s="118"/>
      <c r="AE414" s="65"/>
      <c r="AF414" s="117"/>
      <c r="AG414" s="154"/>
      <c r="AH414" s="118"/>
      <c r="AI414" s="65"/>
      <c r="AJ414" s="121"/>
      <c r="AK414" s="122"/>
      <c r="AL414" s="122"/>
    </row>
    <row r="415" spans="1:38" ht="75" x14ac:dyDescent="0.35">
      <c r="A415" s="178"/>
      <c r="B415" s="233" t="s">
        <v>1805</v>
      </c>
      <c r="C415" s="305"/>
      <c r="D415" s="234"/>
      <c r="E415" s="66" t="s">
        <v>1806</v>
      </c>
      <c r="F415" s="233" t="s">
        <v>1807</v>
      </c>
      <c r="G415" s="305"/>
      <c r="H415" s="234"/>
      <c r="I415" s="192" t="s">
        <v>1289</v>
      </c>
      <c r="J415" s="193"/>
      <c r="K415" s="164"/>
      <c r="L415" s="166"/>
      <c r="M415" s="387">
        <v>220</v>
      </c>
      <c r="N415" s="495"/>
      <c r="O415" s="388"/>
      <c r="P415" s="164"/>
      <c r="Q415" s="166"/>
      <c r="R415" s="387">
        <v>60</v>
      </c>
      <c r="S415" s="388"/>
      <c r="T415" s="164"/>
      <c r="U415" s="166"/>
      <c r="V415" s="171" t="s">
        <v>1281</v>
      </c>
      <c r="W415" s="172"/>
      <c r="X415" s="252">
        <v>385</v>
      </c>
      <c r="Y415" s="253"/>
      <c r="Z415" s="254"/>
      <c r="AA415" s="192" t="s">
        <v>1338</v>
      </c>
      <c r="AB415" s="193"/>
      <c r="AC415" s="223" t="s">
        <v>675</v>
      </c>
      <c r="AD415" s="224"/>
      <c r="AE415" s="24" t="s">
        <v>1810</v>
      </c>
      <c r="AF415" s="233" t="s">
        <v>683</v>
      </c>
      <c r="AG415" s="305"/>
      <c r="AH415" s="234"/>
      <c r="AI415" s="24" t="s">
        <v>1812</v>
      </c>
      <c r="AJ415" s="121"/>
      <c r="AK415" s="122"/>
      <c r="AL415" s="122"/>
    </row>
    <row r="416" spans="1:38" ht="45" x14ac:dyDescent="0.3">
      <c r="A416" s="179"/>
      <c r="B416" s="235"/>
      <c r="C416" s="270"/>
      <c r="D416" s="236"/>
      <c r="E416" s="74"/>
      <c r="F416" s="235"/>
      <c r="G416" s="270"/>
      <c r="H416" s="236"/>
      <c r="I416" s="272"/>
      <c r="J416" s="273"/>
      <c r="K416" s="167"/>
      <c r="L416" s="169"/>
      <c r="M416" s="506"/>
      <c r="N416" s="602"/>
      <c r="O416" s="507"/>
      <c r="P416" s="167"/>
      <c r="Q416" s="169"/>
      <c r="R416" s="506"/>
      <c r="S416" s="507"/>
      <c r="T416" s="167"/>
      <c r="U416" s="169"/>
      <c r="V416" s="162"/>
      <c r="W416" s="163"/>
      <c r="X416" s="311"/>
      <c r="Y416" s="312"/>
      <c r="Z416" s="313"/>
      <c r="AA416" s="272"/>
      <c r="AB416" s="273"/>
      <c r="AC416" s="239" t="s">
        <v>1808</v>
      </c>
      <c r="AD416" s="240"/>
      <c r="AE416" s="31" t="s">
        <v>681</v>
      </c>
      <c r="AF416" s="235"/>
      <c r="AG416" s="270"/>
      <c r="AH416" s="236"/>
      <c r="AI416" s="31" t="s">
        <v>681</v>
      </c>
      <c r="AJ416" s="126" t="s">
        <v>809</v>
      </c>
      <c r="AK416" s="203"/>
      <c r="AL416" s="203"/>
    </row>
    <row r="417" spans="1:38" ht="75" x14ac:dyDescent="0.35">
      <c r="A417" s="179"/>
      <c r="B417" s="235"/>
      <c r="C417" s="270"/>
      <c r="D417" s="236"/>
      <c r="E417" s="67"/>
      <c r="F417" s="235"/>
      <c r="G417" s="270"/>
      <c r="H417" s="236"/>
      <c r="I417" s="194"/>
      <c r="J417" s="195"/>
      <c r="K417" s="214"/>
      <c r="L417" s="216"/>
      <c r="M417" s="389"/>
      <c r="N417" s="496"/>
      <c r="O417" s="390"/>
      <c r="P417" s="214"/>
      <c r="Q417" s="216"/>
      <c r="R417" s="389"/>
      <c r="S417" s="390"/>
      <c r="T417" s="214"/>
      <c r="U417" s="216"/>
      <c r="V417" s="212"/>
      <c r="W417" s="213"/>
      <c r="X417" s="255"/>
      <c r="Y417" s="256"/>
      <c r="Z417" s="257"/>
      <c r="AA417" s="194"/>
      <c r="AB417" s="195"/>
      <c r="AC417" s="239" t="s">
        <v>828</v>
      </c>
      <c r="AD417" s="240"/>
      <c r="AE417" s="31" t="s">
        <v>1811</v>
      </c>
      <c r="AF417" s="235"/>
      <c r="AG417" s="270"/>
      <c r="AH417" s="236"/>
      <c r="AI417" s="31" t="s">
        <v>1813</v>
      </c>
      <c r="AJ417" s="121"/>
      <c r="AK417" s="122"/>
      <c r="AL417" s="122"/>
    </row>
    <row r="418" spans="1:38" ht="15.5" x14ac:dyDescent="0.35">
      <c r="A418" s="179"/>
      <c r="B418" s="235"/>
      <c r="C418" s="270"/>
      <c r="D418" s="236"/>
      <c r="E418" s="66" t="s">
        <v>1814</v>
      </c>
      <c r="F418" s="235"/>
      <c r="G418" s="270"/>
      <c r="H418" s="236"/>
      <c r="I418" s="192" t="s">
        <v>1289</v>
      </c>
      <c r="J418" s="193"/>
      <c r="K418" s="164"/>
      <c r="L418" s="166"/>
      <c r="M418" s="387">
        <v>220</v>
      </c>
      <c r="N418" s="495"/>
      <c r="O418" s="388"/>
      <c r="P418" s="164"/>
      <c r="Q418" s="166"/>
      <c r="R418" s="387">
        <v>60</v>
      </c>
      <c r="S418" s="388"/>
      <c r="T418" s="164"/>
      <c r="U418" s="166"/>
      <c r="V418" s="171" t="s">
        <v>1281</v>
      </c>
      <c r="W418" s="172"/>
      <c r="X418" s="252">
        <v>385</v>
      </c>
      <c r="Y418" s="253"/>
      <c r="Z418" s="254"/>
      <c r="AA418" s="192" t="s">
        <v>1338</v>
      </c>
      <c r="AB418" s="193"/>
      <c r="AC418" s="239" t="s">
        <v>677</v>
      </c>
      <c r="AD418" s="240"/>
      <c r="AE418" s="31"/>
      <c r="AF418" s="235"/>
      <c r="AG418" s="270"/>
      <c r="AH418" s="236"/>
      <c r="AI418" s="31"/>
      <c r="AJ418" s="121"/>
      <c r="AK418" s="122"/>
      <c r="AL418" s="122"/>
    </row>
    <row r="419" spans="1:38" ht="15" x14ac:dyDescent="0.3">
      <c r="A419" s="179"/>
      <c r="B419" s="235"/>
      <c r="C419" s="270"/>
      <c r="D419" s="236"/>
      <c r="E419" s="74"/>
      <c r="F419" s="235"/>
      <c r="G419" s="270"/>
      <c r="H419" s="236"/>
      <c r="I419" s="272"/>
      <c r="J419" s="273"/>
      <c r="K419" s="167"/>
      <c r="L419" s="169"/>
      <c r="M419" s="506"/>
      <c r="N419" s="602"/>
      <c r="O419" s="507"/>
      <c r="P419" s="167"/>
      <c r="Q419" s="169"/>
      <c r="R419" s="506"/>
      <c r="S419" s="507"/>
      <c r="T419" s="167"/>
      <c r="U419" s="169"/>
      <c r="V419" s="162"/>
      <c r="W419" s="163"/>
      <c r="X419" s="311"/>
      <c r="Y419" s="312"/>
      <c r="Z419" s="313"/>
      <c r="AA419" s="272"/>
      <c r="AB419" s="273"/>
      <c r="AC419" s="239" t="s">
        <v>678</v>
      </c>
      <c r="AD419" s="240"/>
      <c r="AE419" s="31"/>
      <c r="AF419" s="235"/>
      <c r="AG419" s="270"/>
      <c r="AH419" s="236"/>
      <c r="AI419" s="31"/>
      <c r="AJ419" s="126" t="s">
        <v>809</v>
      </c>
      <c r="AK419" s="203"/>
      <c r="AL419" s="203"/>
    </row>
    <row r="420" spans="1:38" ht="15.5" x14ac:dyDescent="0.35">
      <c r="A420" s="179"/>
      <c r="B420" s="235"/>
      <c r="C420" s="270"/>
      <c r="D420" s="236"/>
      <c r="E420" s="67"/>
      <c r="F420" s="235"/>
      <c r="G420" s="270"/>
      <c r="H420" s="236"/>
      <c r="I420" s="194"/>
      <c r="J420" s="195"/>
      <c r="K420" s="214"/>
      <c r="L420" s="216"/>
      <c r="M420" s="389"/>
      <c r="N420" s="496"/>
      <c r="O420" s="390"/>
      <c r="P420" s="214"/>
      <c r="Q420" s="216"/>
      <c r="R420" s="389"/>
      <c r="S420" s="390"/>
      <c r="T420" s="214"/>
      <c r="U420" s="216"/>
      <c r="V420" s="212"/>
      <c r="W420" s="213"/>
      <c r="X420" s="255"/>
      <c r="Y420" s="256"/>
      <c r="Z420" s="257"/>
      <c r="AA420" s="194"/>
      <c r="AB420" s="195"/>
      <c r="AC420" s="239" t="s">
        <v>1809</v>
      </c>
      <c r="AD420" s="240"/>
      <c r="AE420" s="31"/>
      <c r="AF420" s="235"/>
      <c r="AG420" s="270"/>
      <c r="AH420" s="236"/>
      <c r="AI420" s="31"/>
      <c r="AJ420" s="121"/>
      <c r="AK420" s="122"/>
      <c r="AL420" s="122"/>
    </row>
    <row r="421" spans="1:38" ht="15.5" x14ac:dyDescent="0.35">
      <c r="A421" s="179"/>
      <c r="B421" s="235"/>
      <c r="C421" s="270"/>
      <c r="D421" s="236"/>
      <c r="E421" s="66" t="s">
        <v>1815</v>
      </c>
      <c r="F421" s="235"/>
      <c r="G421" s="270"/>
      <c r="H421" s="236"/>
      <c r="I421" s="192" t="s">
        <v>1289</v>
      </c>
      <c r="J421" s="193"/>
      <c r="K421" s="164"/>
      <c r="L421" s="166"/>
      <c r="M421" s="387">
        <v>220</v>
      </c>
      <c r="N421" s="495"/>
      <c r="O421" s="388"/>
      <c r="P421" s="164"/>
      <c r="Q421" s="166"/>
      <c r="R421" s="387">
        <v>60</v>
      </c>
      <c r="S421" s="388"/>
      <c r="T421" s="164"/>
      <c r="U421" s="166"/>
      <c r="V421" s="171" t="s">
        <v>1281</v>
      </c>
      <c r="W421" s="172"/>
      <c r="X421" s="252">
        <v>385</v>
      </c>
      <c r="Y421" s="253"/>
      <c r="Z421" s="254"/>
      <c r="AA421" s="192" t="s">
        <v>1338</v>
      </c>
      <c r="AB421" s="193"/>
      <c r="AC421" s="239"/>
      <c r="AD421" s="240"/>
      <c r="AE421" s="31"/>
      <c r="AF421" s="235"/>
      <c r="AG421" s="270"/>
      <c r="AH421" s="236"/>
      <c r="AI421" s="31"/>
      <c r="AJ421" s="121"/>
      <c r="AK421" s="122"/>
      <c r="AL421" s="122"/>
    </row>
    <row r="422" spans="1:38" ht="15" x14ac:dyDescent="0.3">
      <c r="A422" s="179"/>
      <c r="B422" s="235"/>
      <c r="C422" s="270"/>
      <c r="D422" s="236"/>
      <c r="E422" s="74"/>
      <c r="F422" s="235"/>
      <c r="G422" s="270"/>
      <c r="H422" s="236"/>
      <c r="I422" s="272"/>
      <c r="J422" s="273"/>
      <c r="K422" s="167"/>
      <c r="L422" s="169"/>
      <c r="M422" s="506"/>
      <c r="N422" s="602"/>
      <c r="O422" s="507"/>
      <c r="P422" s="167"/>
      <c r="Q422" s="169"/>
      <c r="R422" s="506"/>
      <c r="S422" s="507"/>
      <c r="T422" s="167"/>
      <c r="U422" s="169"/>
      <c r="V422" s="162"/>
      <c r="W422" s="163"/>
      <c r="X422" s="311"/>
      <c r="Y422" s="312"/>
      <c r="Z422" s="313"/>
      <c r="AA422" s="272"/>
      <c r="AB422" s="273"/>
      <c r="AC422" s="239"/>
      <c r="AD422" s="240"/>
      <c r="AE422" s="31"/>
      <c r="AF422" s="235"/>
      <c r="AG422" s="270"/>
      <c r="AH422" s="236"/>
      <c r="AI422" s="31"/>
      <c r="AJ422" s="126" t="s">
        <v>809</v>
      </c>
      <c r="AK422" s="203"/>
      <c r="AL422" s="203"/>
    </row>
    <row r="423" spans="1:38" ht="15.5" x14ac:dyDescent="0.35">
      <c r="A423" s="230"/>
      <c r="B423" s="237"/>
      <c r="C423" s="306"/>
      <c r="D423" s="238"/>
      <c r="E423" s="67"/>
      <c r="F423" s="237"/>
      <c r="G423" s="306"/>
      <c r="H423" s="238"/>
      <c r="I423" s="194"/>
      <c r="J423" s="195"/>
      <c r="K423" s="214"/>
      <c r="L423" s="216"/>
      <c r="M423" s="389"/>
      <c r="N423" s="496"/>
      <c r="O423" s="390"/>
      <c r="P423" s="214"/>
      <c r="Q423" s="216"/>
      <c r="R423" s="389"/>
      <c r="S423" s="390"/>
      <c r="T423" s="214"/>
      <c r="U423" s="216"/>
      <c r="V423" s="212"/>
      <c r="W423" s="213"/>
      <c r="X423" s="255"/>
      <c r="Y423" s="256"/>
      <c r="Z423" s="257"/>
      <c r="AA423" s="194"/>
      <c r="AB423" s="195"/>
      <c r="AC423" s="225"/>
      <c r="AD423" s="226"/>
      <c r="AE423" s="31"/>
      <c r="AF423" s="237"/>
      <c r="AG423" s="306"/>
      <c r="AH423" s="238"/>
      <c r="AI423" s="31"/>
      <c r="AJ423" s="121"/>
      <c r="AK423" s="122"/>
      <c r="AL423" s="122"/>
    </row>
    <row r="424" spans="1:38" ht="90" x14ac:dyDescent="0.35">
      <c r="A424" s="178"/>
      <c r="B424" s="171" t="s">
        <v>1816</v>
      </c>
      <c r="C424" s="407"/>
      <c r="D424" s="172"/>
      <c r="E424" s="59" t="s">
        <v>1818</v>
      </c>
      <c r="F424" s="143" t="s">
        <v>1349</v>
      </c>
      <c r="G424" s="144"/>
      <c r="H424" s="145"/>
      <c r="I424" s="143" t="s">
        <v>1350</v>
      </c>
      <c r="J424" s="145"/>
      <c r="K424" s="164"/>
      <c r="L424" s="166"/>
      <c r="M424" s="544">
        <v>178</v>
      </c>
      <c r="N424" s="545"/>
      <c r="O424" s="546"/>
      <c r="P424" s="204">
        <v>12</v>
      </c>
      <c r="Q424" s="205"/>
      <c r="R424" s="204">
        <v>48</v>
      </c>
      <c r="S424" s="205"/>
      <c r="T424" s="204">
        <v>8</v>
      </c>
      <c r="U424" s="205"/>
      <c r="V424" s="88" t="s">
        <v>1819</v>
      </c>
      <c r="W424" s="89"/>
      <c r="X424" s="241">
        <v>349</v>
      </c>
      <c r="Y424" s="242"/>
      <c r="Z424" s="243"/>
      <c r="AA424" s="143" t="s">
        <v>1023</v>
      </c>
      <c r="AB424" s="145"/>
      <c r="AC424" s="112" t="s">
        <v>675</v>
      </c>
      <c r="AD424" s="113"/>
      <c r="AE424" s="24" t="s">
        <v>1822</v>
      </c>
      <c r="AF424" s="171" t="s">
        <v>1824</v>
      </c>
      <c r="AG424" s="407"/>
      <c r="AH424" s="172"/>
      <c r="AI424" s="164"/>
      <c r="AJ424" s="122"/>
      <c r="AK424" s="122"/>
      <c r="AL424" s="122"/>
    </row>
    <row r="425" spans="1:38" ht="45" x14ac:dyDescent="0.3">
      <c r="A425" s="179"/>
      <c r="B425" s="162" t="s">
        <v>1817</v>
      </c>
      <c r="C425" s="170"/>
      <c r="D425" s="163"/>
      <c r="E425" s="81"/>
      <c r="F425" s="104"/>
      <c r="G425" s="202"/>
      <c r="H425" s="105"/>
      <c r="I425" s="104"/>
      <c r="J425" s="105"/>
      <c r="K425" s="167"/>
      <c r="L425" s="169"/>
      <c r="M425" s="701"/>
      <c r="N425" s="702"/>
      <c r="O425" s="703"/>
      <c r="P425" s="231"/>
      <c r="Q425" s="232"/>
      <c r="R425" s="231"/>
      <c r="S425" s="232"/>
      <c r="T425" s="231"/>
      <c r="U425" s="232"/>
      <c r="V425" s="126"/>
      <c r="W425" s="127"/>
      <c r="X425" s="247"/>
      <c r="Y425" s="248"/>
      <c r="Z425" s="249"/>
      <c r="AA425" s="104"/>
      <c r="AB425" s="105"/>
      <c r="AC425" s="155" t="s">
        <v>1820</v>
      </c>
      <c r="AD425" s="157"/>
      <c r="AE425" s="31" t="s">
        <v>681</v>
      </c>
      <c r="AF425" s="162" t="s">
        <v>1825</v>
      </c>
      <c r="AG425" s="170"/>
      <c r="AH425" s="163"/>
      <c r="AI425" s="167"/>
      <c r="AJ425" s="203" t="s">
        <v>1827</v>
      </c>
      <c r="AK425" s="203"/>
      <c r="AL425" s="203"/>
    </row>
    <row r="426" spans="1:38" ht="75" x14ac:dyDescent="0.3">
      <c r="A426" s="179"/>
      <c r="B426" s="162"/>
      <c r="C426" s="170"/>
      <c r="D426" s="163"/>
      <c r="E426" s="81"/>
      <c r="F426" s="104"/>
      <c r="G426" s="202"/>
      <c r="H426" s="105"/>
      <c r="I426" s="104"/>
      <c r="J426" s="105"/>
      <c r="K426" s="167"/>
      <c r="L426" s="169"/>
      <c r="M426" s="701"/>
      <c r="N426" s="702"/>
      <c r="O426" s="703"/>
      <c r="P426" s="231"/>
      <c r="Q426" s="232"/>
      <c r="R426" s="231"/>
      <c r="S426" s="232"/>
      <c r="T426" s="231"/>
      <c r="U426" s="232"/>
      <c r="V426" s="126"/>
      <c r="W426" s="127"/>
      <c r="X426" s="247"/>
      <c r="Y426" s="248"/>
      <c r="Z426" s="249"/>
      <c r="AA426" s="104"/>
      <c r="AB426" s="105"/>
      <c r="AC426" s="155" t="s">
        <v>677</v>
      </c>
      <c r="AD426" s="157"/>
      <c r="AE426" s="31" t="s">
        <v>1823</v>
      </c>
      <c r="AF426" s="162" t="s">
        <v>1826</v>
      </c>
      <c r="AG426" s="170"/>
      <c r="AH426" s="163"/>
      <c r="AI426" s="167"/>
      <c r="AJ426" s="203" t="s">
        <v>1828</v>
      </c>
      <c r="AK426" s="203"/>
      <c r="AL426" s="203"/>
    </row>
    <row r="427" spans="1:38" ht="15.5" x14ac:dyDescent="0.35">
      <c r="A427" s="179"/>
      <c r="B427" s="162"/>
      <c r="C427" s="170"/>
      <c r="D427" s="163"/>
      <c r="E427" s="60"/>
      <c r="F427" s="146"/>
      <c r="G427" s="147"/>
      <c r="H427" s="148"/>
      <c r="I427" s="146"/>
      <c r="J427" s="148"/>
      <c r="K427" s="214"/>
      <c r="L427" s="216"/>
      <c r="M427" s="704"/>
      <c r="N427" s="705"/>
      <c r="O427" s="706"/>
      <c r="P427" s="206"/>
      <c r="Q427" s="207"/>
      <c r="R427" s="206"/>
      <c r="S427" s="207"/>
      <c r="T427" s="206"/>
      <c r="U427" s="207"/>
      <c r="V427" s="117"/>
      <c r="W427" s="118"/>
      <c r="X427" s="244"/>
      <c r="Y427" s="245"/>
      <c r="Z427" s="246"/>
      <c r="AA427" s="146"/>
      <c r="AB427" s="148"/>
      <c r="AC427" s="155" t="s">
        <v>678</v>
      </c>
      <c r="AD427" s="157"/>
      <c r="AE427" s="31"/>
      <c r="AF427" s="162"/>
      <c r="AG427" s="170"/>
      <c r="AH427" s="163"/>
      <c r="AI427" s="167"/>
      <c r="AJ427" s="122"/>
      <c r="AK427" s="122"/>
      <c r="AL427" s="122"/>
    </row>
    <row r="428" spans="1:38" ht="15.5" x14ac:dyDescent="0.35">
      <c r="A428" s="179"/>
      <c r="B428" s="162"/>
      <c r="C428" s="170"/>
      <c r="D428" s="163"/>
      <c r="E428" s="68" t="s">
        <v>1829</v>
      </c>
      <c r="F428" s="192" t="s">
        <v>1349</v>
      </c>
      <c r="G428" s="196"/>
      <c r="H428" s="193"/>
      <c r="I428" s="192" t="s">
        <v>1350</v>
      </c>
      <c r="J428" s="193"/>
      <c r="K428" s="149"/>
      <c r="L428" s="150"/>
      <c r="M428" s="387">
        <v>178</v>
      </c>
      <c r="N428" s="495"/>
      <c r="O428" s="388"/>
      <c r="P428" s="387">
        <v>12</v>
      </c>
      <c r="Q428" s="388"/>
      <c r="R428" s="387">
        <v>48</v>
      </c>
      <c r="S428" s="388"/>
      <c r="T428" s="387">
        <v>8</v>
      </c>
      <c r="U428" s="388"/>
      <c r="V428" s="171" t="s">
        <v>1819</v>
      </c>
      <c r="W428" s="172"/>
      <c r="X428" s="252">
        <v>349</v>
      </c>
      <c r="Y428" s="253"/>
      <c r="Z428" s="254"/>
      <c r="AA428" s="192" t="s">
        <v>1023</v>
      </c>
      <c r="AB428" s="193"/>
      <c r="AC428" s="155" t="s">
        <v>1821</v>
      </c>
      <c r="AD428" s="157"/>
      <c r="AE428" s="31"/>
      <c r="AF428" s="162"/>
      <c r="AG428" s="170"/>
      <c r="AH428" s="163"/>
      <c r="AI428" s="167"/>
      <c r="AJ428" s="122"/>
      <c r="AK428" s="122"/>
      <c r="AL428" s="122"/>
    </row>
    <row r="429" spans="1:38" ht="15" x14ac:dyDescent="0.3">
      <c r="A429" s="179"/>
      <c r="B429" s="162"/>
      <c r="C429" s="170"/>
      <c r="D429" s="163"/>
      <c r="E429" s="69"/>
      <c r="F429" s="272"/>
      <c r="G429" s="282"/>
      <c r="H429" s="273"/>
      <c r="I429" s="272"/>
      <c r="J429" s="273"/>
      <c r="K429" s="135"/>
      <c r="L429" s="137"/>
      <c r="M429" s="506"/>
      <c r="N429" s="602"/>
      <c r="O429" s="507"/>
      <c r="P429" s="506"/>
      <c r="Q429" s="507"/>
      <c r="R429" s="506"/>
      <c r="S429" s="507"/>
      <c r="T429" s="506"/>
      <c r="U429" s="507"/>
      <c r="V429" s="162"/>
      <c r="W429" s="163"/>
      <c r="X429" s="311"/>
      <c r="Y429" s="312"/>
      <c r="Z429" s="313"/>
      <c r="AA429" s="272"/>
      <c r="AB429" s="273"/>
      <c r="AC429" s="155"/>
      <c r="AD429" s="157"/>
      <c r="AE429" s="31"/>
      <c r="AF429" s="162"/>
      <c r="AG429" s="170"/>
      <c r="AH429" s="163"/>
      <c r="AI429" s="167"/>
      <c r="AJ429" s="203" t="s">
        <v>1827</v>
      </c>
      <c r="AK429" s="203"/>
      <c r="AL429" s="203"/>
    </row>
    <row r="430" spans="1:38" ht="15" x14ac:dyDescent="0.3">
      <c r="A430" s="179"/>
      <c r="B430" s="162"/>
      <c r="C430" s="170"/>
      <c r="D430" s="163"/>
      <c r="E430" s="70"/>
      <c r="F430" s="194"/>
      <c r="G430" s="197"/>
      <c r="H430" s="195"/>
      <c r="I430" s="194"/>
      <c r="J430" s="195"/>
      <c r="K430" s="151"/>
      <c r="L430" s="152"/>
      <c r="M430" s="389"/>
      <c r="N430" s="496"/>
      <c r="O430" s="390"/>
      <c r="P430" s="389"/>
      <c r="Q430" s="390"/>
      <c r="R430" s="389"/>
      <c r="S430" s="390"/>
      <c r="T430" s="389"/>
      <c r="U430" s="390"/>
      <c r="V430" s="212"/>
      <c r="W430" s="213"/>
      <c r="X430" s="255"/>
      <c r="Y430" s="256"/>
      <c r="Z430" s="257"/>
      <c r="AA430" s="194"/>
      <c r="AB430" s="195"/>
      <c r="AC430" s="155"/>
      <c r="AD430" s="157"/>
      <c r="AE430" s="31"/>
      <c r="AF430" s="162"/>
      <c r="AG430" s="170"/>
      <c r="AH430" s="163"/>
      <c r="AI430" s="167"/>
      <c r="AJ430" s="203" t="s">
        <v>1828</v>
      </c>
      <c r="AK430" s="203"/>
      <c r="AL430" s="203"/>
    </row>
    <row r="431" spans="1:38" ht="15" x14ac:dyDescent="0.3">
      <c r="A431" s="179"/>
      <c r="B431" s="162"/>
      <c r="C431" s="170"/>
      <c r="D431" s="163"/>
      <c r="E431" s="68" t="s">
        <v>1831</v>
      </c>
      <c r="F431" s="192" t="s">
        <v>1361</v>
      </c>
      <c r="G431" s="196"/>
      <c r="H431" s="193"/>
      <c r="I431" s="192" t="s">
        <v>1362</v>
      </c>
      <c r="J431" s="193"/>
      <c r="K431" s="149"/>
      <c r="L431" s="150"/>
      <c r="M431" s="604">
        <v>227</v>
      </c>
      <c r="N431" s="698"/>
      <c r="O431" s="605"/>
      <c r="P431" s="387">
        <v>17</v>
      </c>
      <c r="Q431" s="388"/>
      <c r="R431" s="387">
        <v>64</v>
      </c>
      <c r="S431" s="388"/>
      <c r="T431" s="387">
        <v>10</v>
      </c>
      <c r="U431" s="388"/>
      <c r="V431" s="171" t="s">
        <v>1832</v>
      </c>
      <c r="W431" s="172"/>
      <c r="X431" s="252">
        <v>479</v>
      </c>
      <c r="Y431" s="253"/>
      <c r="Z431" s="254"/>
      <c r="AA431" s="192" t="s">
        <v>1452</v>
      </c>
      <c r="AB431" s="193"/>
      <c r="AC431" s="155"/>
      <c r="AD431" s="157"/>
      <c r="AE431" s="31"/>
      <c r="AF431" s="162"/>
      <c r="AG431" s="170"/>
      <c r="AH431" s="163"/>
      <c r="AI431" s="167"/>
      <c r="AJ431" s="203" t="s">
        <v>1830</v>
      </c>
      <c r="AK431" s="203"/>
      <c r="AL431" s="203"/>
    </row>
    <row r="432" spans="1:38" ht="15.5" x14ac:dyDescent="0.35">
      <c r="A432" s="179"/>
      <c r="B432" s="162"/>
      <c r="C432" s="170"/>
      <c r="D432" s="163"/>
      <c r="E432" s="70"/>
      <c r="F432" s="194"/>
      <c r="G432" s="197"/>
      <c r="H432" s="195"/>
      <c r="I432" s="194"/>
      <c r="J432" s="195"/>
      <c r="K432" s="151"/>
      <c r="L432" s="152"/>
      <c r="M432" s="608"/>
      <c r="N432" s="700"/>
      <c r="O432" s="609"/>
      <c r="P432" s="389"/>
      <c r="Q432" s="390"/>
      <c r="R432" s="389"/>
      <c r="S432" s="390"/>
      <c r="T432" s="389"/>
      <c r="U432" s="390"/>
      <c r="V432" s="212"/>
      <c r="W432" s="213"/>
      <c r="X432" s="255"/>
      <c r="Y432" s="256"/>
      <c r="Z432" s="257"/>
      <c r="AA432" s="194"/>
      <c r="AB432" s="195"/>
      <c r="AC432" s="155"/>
      <c r="AD432" s="157"/>
      <c r="AE432" s="31"/>
      <c r="AF432" s="162"/>
      <c r="AG432" s="170"/>
      <c r="AH432" s="163"/>
      <c r="AI432" s="167"/>
      <c r="AJ432" s="122"/>
      <c r="AK432" s="122"/>
      <c r="AL432" s="122"/>
    </row>
    <row r="433" spans="1:38" ht="15.5" x14ac:dyDescent="0.35">
      <c r="A433" s="179"/>
      <c r="B433" s="162"/>
      <c r="C433" s="170"/>
      <c r="D433" s="163"/>
      <c r="E433" s="59" t="s">
        <v>1833</v>
      </c>
      <c r="F433" s="143" t="s">
        <v>1361</v>
      </c>
      <c r="G433" s="144"/>
      <c r="H433" s="145"/>
      <c r="I433" s="143" t="s">
        <v>1362</v>
      </c>
      <c r="J433" s="145"/>
      <c r="K433" s="164"/>
      <c r="L433" s="166"/>
      <c r="M433" s="204">
        <v>227</v>
      </c>
      <c r="N433" s="250"/>
      <c r="O433" s="205"/>
      <c r="P433" s="204">
        <v>17</v>
      </c>
      <c r="Q433" s="205"/>
      <c r="R433" s="204">
        <v>64</v>
      </c>
      <c r="S433" s="205"/>
      <c r="T433" s="204">
        <v>10</v>
      </c>
      <c r="U433" s="205"/>
      <c r="V433" s="88" t="s">
        <v>1832</v>
      </c>
      <c r="W433" s="89"/>
      <c r="X433" s="241">
        <v>479</v>
      </c>
      <c r="Y433" s="242"/>
      <c r="Z433" s="243"/>
      <c r="AA433" s="143" t="s">
        <v>1452</v>
      </c>
      <c r="AB433" s="145"/>
      <c r="AC433" s="155"/>
      <c r="AD433" s="157"/>
      <c r="AE433" s="31"/>
      <c r="AF433" s="162"/>
      <c r="AG433" s="170"/>
      <c r="AH433" s="163"/>
      <c r="AI433" s="167"/>
      <c r="AJ433" s="122"/>
      <c r="AK433" s="122"/>
      <c r="AL433" s="122"/>
    </row>
    <row r="434" spans="1:38" ht="15" x14ac:dyDescent="0.3">
      <c r="A434" s="179"/>
      <c r="B434" s="162"/>
      <c r="C434" s="170"/>
      <c r="D434" s="163"/>
      <c r="E434" s="81"/>
      <c r="F434" s="104"/>
      <c r="G434" s="202"/>
      <c r="H434" s="105"/>
      <c r="I434" s="104"/>
      <c r="J434" s="105"/>
      <c r="K434" s="167"/>
      <c r="L434" s="169"/>
      <c r="M434" s="231"/>
      <c r="N434" s="683"/>
      <c r="O434" s="232"/>
      <c r="P434" s="231"/>
      <c r="Q434" s="232"/>
      <c r="R434" s="231"/>
      <c r="S434" s="232"/>
      <c r="T434" s="231"/>
      <c r="U434" s="232"/>
      <c r="V434" s="126"/>
      <c r="W434" s="127"/>
      <c r="X434" s="247"/>
      <c r="Y434" s="248"/>
      <c r="Z434" s="249"/>
      <c r="AA434" s="104"/>
      <c r="AB434" s="105"/>
      <c r="AC434" s="155"/>
      <c r="AD434" s="157"/>
      <c r="AE434" s="31"/>
      <c r="AF434" s="162"/>
      <c r="AG434" s="170"/>
      <c r="AH434" s="163"/>
      <c r="AI434" s="167"/>
      <c r="AJ434" s="203" t="s">
        <v>1827</v>
      </c>
      <c r="AK434" s="203"/>
      <c r="AL434" s="203"/>
    </row>
    <row r="435" spans="1:38" ht="15" x14ac:dyDescent="0.3">
      <c r="A435" s="179"/>
      <c r="B435" s="162"/>
      <c r="C435" s="170"/>
      <c r="D435" s="163"/>
      <c r="E435" s="81"/>
      <c r="F435" s="104"/>
      <c r="G435" s="202"/>
      <c r="H435" s="105"/>
      <c r="I435" s="104"/>
      <c r="J435" s="105"/>
      <c r="K435" s="167"/>
      <c r="L435" s="169"/>
      <c r="M435" s="231"/>
      <c r="N435" s="683"/>
      <c r="O435" s="232"/>
      <c r="P435" s="231"/>
      <c r="Q435" s="232"/>
      <c r="R435" s="231"/>
      <c r="S435" s="232"/>
      <c r="T435" s="231"/>
      <c r="U435" s="232"/>
      <c r="V435" s="126"/>
      <c r="W435" s="127"/>
      <c r="X435" s="247"/>
      <c r="Y435" s="248"/>
      <c r="Z435" s="249"/>
      <c r="AA435" s="104"/>
      <c r="AB435" s="105"/>
      <c r="AC435" s="155"/>
      <c r="AD435" s="157"/>
      <c r="AE435" s="31"/>
      <c r="AF435" s="162"/>
      <c r="AG435" s="170"/>
      <c r="AH435" s="163"/>
      <c r="AI435" s="167"/>
      <c r="AJ435" s="203" t="s">
        <v>1828</v>
      </c>
      <c r="AK435" s="203"/>
      <c r="AL435" s="203"/>
    </row>
    <row r="436" spans="1:38" ht="15.5" x14ac:dyDescent="0.35">
      <c r="A436" s="230"/>
      <c r="B436" s="212"/>
      <c r="C436" s="408"/>
      <c r="D436" s="213"/>
      <c r="E436" s="60"/>
      <c r="F436" s="146"/>
      <c r="G436" s="147"/>
      <c r="H436" s="148"/>
      <c r="I436" s="146"/>
      <c r="J436" s="148"/>
      <c r="K436" s="214"/>
      <c r="L436" s="216"/>
      <c r="M436" s="206"/>
      <c r="N436" s="251"/>
      <c r="O436" s="207"/>
      <c r="P436" s="206"/>
      <c r="Q436" s="207"/>
      <c r="R436" s="206"/>
      <c r="S436" s="207"/>
      <c r="T436" s="206"/>
      <c r="U436" s="207"/>
      <c r="V436" s="117"/>
      <c r="W436" s="118"/>
      <c r="X436" s="244"/>
      <c r="Y436" s="245"/>
      <c r="Z436" s="246"/>
      <c r="AA436" s="146"/>
      <c r="AB436" s="148"/>
      <c r="AC436" s="160"/>
      <c r="AD436" s="161"/>
      <c r="AE436" s="31"/>
      <c r="AF436" s="212"/>
      <c r="AG436" s="408"/>
      <c r="AH436" s="213"/>
      <c r="AI436" s="167"/>
      <c r="AJ436" s="122"/>
      <c r="AK436" s="122"/>
      <c r="AL436" s="122"/>
    </row>
    <row r="437" spans="1:38" ht="75" x14ac:dyDescent="0.35">
      <c r="A437" s="178"/>
      <c r="B437" s="192" t="s">
        <v>1834</v>
      </c>
      <c r="C437" s="196"/>
      <c r="D437" s="193"/>
      <c r="E437" s="59" t="s">
        <v>1835</v>
      </c>
      <c r="F437" s="192" t="s">
        <v>1836</v>
      </c>
      <c r="G437" s="196"/>
      <c r="H437" s="193"/>
      <c r="I437" s="192" t="s">
        <v>1837</v>
      </c>
      <c r="J437" s="193"/>
      <c r="K437" s="164"/>
      <c r="L437" s="166"/>
      <c r="M437" s="387">
        <v>170</v>
      </c>
      <c r="N437" s="495"/>
      <c r="O437" s="388"/>
      <c r="P437" s="164"/>
      <c r="Q437" s="166"/>
      <c r="R437" s="387">
        <v>40</v>
      </c>
      <c r="S437" s="388"/>
      <c r="T437" s="164"/>
      <c r="U437" s="166"/>
      <c r="V437" s="387">
        <v>210</v>
      </c>
      <c r="W437" s="388"/>
      <c r="X437" s="252">
        <v>260</v>
      </c>
      <c r="Y437" s="253"/>
      <c r="Z437" s="254"/>
      <c r="AA437" s="192" t="s">
        <v>1174</v>
      </c>
      <c r="AB437" s="193"/>
      <c r="AC437" s="112" t="s">
        <v>675</v>
      </c>
      <c r="AD437" s="113"/>
      <c r="AE437" s="44" t="s">
        <v>1840</v>
      </c>
      <c r="AF437" s="192" t="s">
        <v>683</v>
      </c>
      <c r="AG437" s="196"/>
      <c r="AH437" s="193"/>
      <c r="AI437" s="167"/>
      <c r="AJ437" s="122"/>
      <c r="AK437" s="122"/>
      <c r="AL437" s="122"/>
    </row>
    <row r="438" spans="1:38" ht="45" x14ac:dyDescent="0.3">
      <c r="A438" s="179"/>
      <c r="B438" s="272"/>
      <c r="C438" s="282"/>
      <c r="D438" s="273"/>
      <c r="E438" s="81"/>
      <c r="F438" s="272"/>
      <c r="G438" s="282"/>
      <c r="H438" s="273"/>
      <c r="I438" s="272"/>
      <c r="J438" s="273"/>
      <c r="K438" s="167"/>
      <c r="L438" s="169"/>
      <c r="M438" s="506"/>
      <c r="N438" s="602"/>
      <c r="O438" s="507"/>
      <c r="P438" s="167"/>
      <c r="Q438" s="169"/>
      <c r="R438" s="506"/>
      <c r="S438" s="507"/>
      <c r="T438" s="167"/>
      <c r="U438" s="169"/>
      <c r="V438" s="506"/>
      <c r="W438" s="507"/>
      <c r="X438" s="311"/>
      <c r="Y438" s="312"/>
      <c r="Z438" s="313"/>
      <c r="AA438" s="272"/>
      <c r="AB438" s="273"/>
      <c r="AC438" s="155" t="s">
        <v>1838</v>
      </c>
      <c r="AD438" s="157"/>
      <c r="AE438" s="40" t="s">
        <v>681</v>
      </c>
      <c r="AF438" s="272"/>
      <c r="AG438" s="282"/>
      <c r="AH438" s="273"/>
      <c r="AI438" s="167"/>
      <c r="AJ438" s="203" t="s">
        <v>809</v>
      </c>
      <c r="AK438" s="203"/>
      <c r="AL438" s="203"/>
    </row>
    <row r="439" spans="1:38" ht="60" x14ac:dyDescent="0.35">
      <c r="A439" s="179"/>
      <c r="B439" s="272"/>
      <c r="C439" s="282"/>
      <c r="D439" s="273"/>
      <c r="E439" s="60"/>
      <c r="F439" s="272"/>
      <c r="G439" s="282"/>
      <c r="H439" s="273"/>
      <c r="I439" s="272"/>
      <c r="J439" s="273"/>
      <c r="K439" s="167"/>
      <c r="L439" s="169"/>
      <c r="M439" s="506"/>
      <c r="N439" s="602"/>
      <c r="O439" s="507"/>
      <c r="P439" s="167"/>
      <c r="Q439" s="169"/>
      <c r="R439" s="506"/>
      <c r="S439" s="507"/>
      <c r="T439" s="167"/>
      <c r="U439" s="169"/>
      <c r="V439" s="506"/>
      <c r="W439" s="507"/>
      <c r="X439" s="311"/>
      <c r="Y439" s="312"/>
      <c r="Z439" s="313"/>
      <c r="AA439" s="272"/>
      <c r="AB439" s="273"/>
      <c r="AC439" s="155" t="s">
        <v>828</v>
      </c>
      <c r="AD439" s="157"/>
      <c r="AE439" s="40" t="s">
        <v>1841</v>
      </c>
      <c r="AF439" s="272"/>
      <c r="AG439" s="282"/>
      <c r="AH439" s="273"/>
      <c r="AI439" s="167"/>
      <c r="AJ439" s="122"/>
      <c r="AK439" s="122"/>
      <c r="AL439" s="122"/>
    </row>
    <row r="440" spans="1:38" ht="15.5" x14ac:dyDescent="0.35">
      <c r="A440" s="179"/>
      <c r="B440" s="272"/>
      <c r="C440" s="282"/>
      <c r="D440" s="273"/>
      <c r="E440" s="59" t="s">
        <v>1842</v>
      </c>
      <c r="F440" s="272"/>
      <c r="G440" s="282"/>
      <c r="H440" s="273"/>
      <c r="I440" s="272"/>
      <c r="J440" s="273"/>
      <c r="K440" s="167"/>
      <c r="L440" s="169"/>
      <c r="M440" s="506"/>
      <c r="N440" s="602"/>
      <c r="O440" s="507"/>
      <c r="P440" s="167"/>
      <c r="Q440" s="169"/>
      <c r="R440" s="506"/>
      <c r="S440" s="507"/>
      <c r="T440" s="167"/>
      <c r="U440" s="169"/>
      <c r="V440" s="506"/>
      <c r="W440" s="507"/>
      <c r="X440" s="311"/>
      <c r="Y440" s="312"/>
      <c r="Z440" s="313"/>
      <c r="AA440" s="272"/>
      <c r="AB440" s="273"/>
      <c r="AC440" s="155" t="s">
        <v>677</v>
      </c>
      <c r="AD440" s="157"/>
      <c r="AE440" s="40"/>
      <c r="AF440" s="272"/>
      <c r="AG440" s="282"/>
      <c r="AH440" s="273"/>
      <c r="AI440" s="167"/>
      <c r="AJ440" s="122"/>
      <c r="AK440" s="122"/>
      <c r="AL440" s="122"/>
    </row>
    <row r="441" spans="1:38" ht="15" x14ac:dyDescent="0.3">
      <c r="A441" s="179"/>
      <c r="B441" s="272"/>
      <c r="C441" s="282"/>
      <c r="D441" s="273"/>
      <c r="E441" s="81"/>
      <c r="F441" s="272"/>
      <c r="G441" s="282"/>
      <c r="H441" s="273"/>
      <c r="I441" s="272"/>
      <c r="J441" s="273"/>
      <c r="K441" s="167"/>
      <c r="L441" s="169"/>
      <c r="M441" s="506"/>
      <c r="N441" s="602"/>
      <c r="O441" s="507"/>
      <c r="P441" s="167"/>
      <c r="Q441" s="169"/>
      <c r="R441" s="506"/>
      <c r="S441" s="507"/>
      <c r="T441" s="167"/>
      <c r="U441" s="169"/>
      <c r="V441" s="506"/>
      <c r="W441" s="507"/>
      <c r="X441" s="311"/>
      <c r="Y441" s="312"/>
      <c r="Z441" s="313"/>
      <c r="AA441" s="272"/>
      <c r="AB441" s="273"/>
      <c r="AC441" s="155" t="s">
        <v>678</v>
      </c>
      <c r="AD441" s="157"/>
      <c r="AE441" s="40"/>
      <c r="AF441" s="272"/>
      <c r="AG441" s="282"/>
      <c r="AH441" s="273"/>
      <c r="AI441" s="167"/>
      <c r="AJ441" s="203" t="s">
        <v>809</v>
      </c>
      <c r="AK441" s="203"/>
      <c r="AL441" s="203"/>
    </row>
    <row r="442" spans="1:38" ht="15.5" x14ac:dyDescent="0.35">
      <c r="A442" s="179"/>
      <c r="B442" s="272"/>
      <c r="C442" s="282"/>
      <c r="D442" s="273"/>
      <c r="E442" s="60"/>
      <c r="F442" s="272"/>
      <c r="G442" s="282"/>
      <c r="H442" s="273"/>
      <c r="I442" s="272"/>
      <c r="J442" s="273"/>
      <c r="K442" s="167"/>
      <c r="L442" s="169"/>
      <c r="M442" s="506"/>
      <c r="N442" s="602"/>
      <c r="O442" s="507"/>
      <c r="P442" s="167"/>
      <c r="Q442" s="169"/>
      <c r="R442" s="506"/>
      <c r="S442" s="507"/>
      <c r="T442" s="167"/>
      <c r="U442" s="169"/>
      <c r="V442" s="506"/>
      <c r="W442" s="507"/>
      <c r="X442" s="311"/>
      <c r="Y442" s="312"/>
      <c r="Z442" s="313"/>
      <c r="AA442" s="272"/>
      <c r="AB442" s="273"/>
      <c r="AC442" s="155" t="s">
        <v>1839</v>
      </c>
      <c r="AD442" s="157"/>
      <c r="AE442" s="40"/>
      <c r="AF442" s="272"/>
      <c r="AG442" s="282"/>
      <c r="AH442" s="273"/>
      <c r="AI442" s="167"/>
      <c r="AJ442" s="122"/>
      <c r="AK442" s="122"/>
      <c r="AL442" s="122"/>
    </row>
    <row r="443" spans="1:38" ht="15.5" x14ac:dyDescent="0.35">
      <c r="A443" s="179"/>
      <c r="B443" s="272"/>
      <c r="C443" s="282"/>
      <c r="D443" s="273"/>
      <c r="E443" s="59" t="s">
        <v>1843</v>
      </c>
      <c r="F443" s="272"/>
      <c r="G443" s="282"/>
      <c r="H443" s="273"/>
      <c r="I443" s="272"/>
      <c r="J443" s="273"/>
      <c r="K443" s="167"/>
      <c r="L443" s="169"/>
      <c r="M443" s="506"/>
      <c r="N443" s="602"/>
      <c r="O443" s="507"/>
      <c r="P443" s="167"/>
      <c r="Q443" s="169"/>
      <c r="R443" s="506"/>
      <c r="S443" s="507"/>
      <c r="T443" s="167"/>
      <c r="U443" s="169"/>
      <c r="V443" s="506"/>
      <c r="W443" s="507"/>
      <c r="X443" s="311"/>
      <c r="Y443" s="312"/>
      <c r="Z443" s="313"/>
      <c r="AA443" s="272"/>
      <c r="AB443" s="273"/>
      <c r="AC443" s="155"/>
      <c r="AD443" s="157"/>
      <c r="AE443" s="40"/>
      <c r="AF443" s="272"/>
      <c r="AG443" s="282"/>
      <c r="AH443" s="273"/>
      <c r="AI443" s="167"/>
      <c r="AJ443" s="122"/>
      <c r="AK443" s="122"/>
      <c r="AL443" s="122"/>
    </row>
    <row r="444" spans="1:38" ht="15" x14ac:dyDescent="0.3">
      <c r="A444" s="179"/>
      <c r="B444" s="272"/>
      <c r="C444" s="282"/>
      <c r="D444" s="273"/>
      <c r="E444" s="60"/>
      <c r="F444" s="272"/>
      <c r="G444" s="282"/>
      <c r="H444" s="273"/>
      <c r="I444" s="272"/>
      <c r="J444" s="273"/>
      <c r="K444" s="167"/>
      <c r="L444" s="169"/>
      <c r="M444" s="506"/>
      <c r="N444" s="602"/>
      <c r="O444" s="507"/>
      <c r="P444" s="167"/>
      <c r="Q444" s="169"/>
      <c r="R444" s="506"/>
      <c r="S444" s="507"/>
      <c r="T444" s="167"/>
      <c r="U444" s="169"/>
      <c r="V444" s="506"/>
      <c r="W444" s="507"/>
      <c r="X444" s="311"/>
      <c r="Y444" s="312"/>
      <c r="Z444" s="313"/>
      <c r="AA444" s="272"/>
      <c r="AB444" s="273"/>
      <c r="AC444" s="155"/>
      <c r="AD444" s="157"/>
      <c r="AE444" s="40"/>
      <c r="AF444" s="272"/>
      <c r="AG444" s="282"/>
      <c r="AH444" s="273"/>
      <c r="AI444" s="167"/>
      <c r="AJ444" s="203" t="s">
        <v>809</v>
      </c>
      <c r="AK444" s="203"/>
      <c r="AL444" s="203"/>
    </row>
    <row r="445" spans="1:38" ht="15" x14ac:dyDescent="0.3">
      <c r="A445" s="179"/>
      <c r="B445" s="272"/>
      <c r="C445" s="282"/>
      <c r="D445" s="273"/>
      <c r="E445" s="59" t="s">
        <v>1844</v>
      </c>
      <c r="F445" s="272"/>
      <c r="G445" s="282"/>
      <c r="H445" s="273"/>
      <c r="I445" s="272"/>
      <c r="J445" s="273"/>
      <c r="K445" s="167"/>
      <c r="L445" s="169"/>
      <c r="M445" s="506"/>
      <c r="N445" s="602"/>
      <c r="O445" s="507"/>
      <c r="P445" s="167"/>
      <c r="Q445" s="169"/>
      <c r="R445" s="506"/>
      <c r="S445" s="507"/>
      <c r="T445" s="167"/>
      <c r="U445" s="169"/>
      <c r="V445" s="506"/>
      <c r="W445" s="507"/>
      <c r="X445" s="311"/>
      <c r="Y445" s="312"/>
      <c r="Z445" s="313"/>
      <c r="AA445" s="272"/>
      <c r="AB445" s="273"/>
      <c r="AC445" s="155"/>
      <c r="AD445" s="157"/>
      <c r="AE445" s="40"/>
      <c r="AF445" s="272"/>
      <c r="AG445" s="282"/>
      <c r="AH445" s="273"/>
      <c r="AI445" s="167"/>
      <c r="AJ445" s="203" t="s">
        <v>809</v>
      </c>
      <c r="AK445" s="203"/>
      <c r="AL445" s="203"/>
    </row>
    <row r="446" spans="1:38" ht="15.5" x14ac:dyDescent="0.35">
      <c r="A446" s="179"/>
      <c r="B446" s="272"/>
      <c r="C446" s="282"/>
      <c r="D446" s="273"/>
      <c r="E446" s="60"/>
      <c r="F446" s="272"/>
      <c r="G446" s="282"/>
      <c r="H446" s="273"/>
      <c r="I446" s="272"/>
      <c r="J446" s="273"/>
      <c r="K446" s="167"/>
      <c r="L446" s="169"/>
      <c r="M446" s="506"/>
      <c r="N446" s="602"/>
      <c r="O446" s="507"/>
      <c r="P446" s="167"/>
      <c r="Q446" s="169"/>
      <c r="R446" s="506"/>
      <c r="S446" s="507"/>
      <c r="T446" s="167"/>
      <c r="U446" s="169"/>
      <c r="V446" s="506"/>
      <c r="W446" s="507"/>
      <c r="X446" s="311"/>
      <c r="Y446" s="312"/>
      <c r="Z446" s="313"/>
      <c r="AA446" s="272"/>
      <c r="AB446" s="273"/>
      <c r="AC446" s="155"/>
      <c r="AD446" s="157"/>
      <c r="AE446" s="40"/>
      <c r="AF446" s="272"/>
      <c r="AG446" s="282"/>
      <c r="AH446" s="273"/>
      <c r="AI446" s="167"/>
      <c r="AJ446" s="122"/>
      <c r="AK446" s="122"/>
      <c r="AL446" s="122"/>
    </row>
    <row r="447" spans="1:38" ht="15.5" x14ac:dyDescent="0.35">
      <c r="A447" s="179"/>
      <c r="B447" s="272"/>
      <c r="C447" s="282"/>
      <c r="D447" s="273"/>
      <c r="E447" s="59" t="s">
        <v>1845</v>
      </c>
      <c r="F447" s="272"/>
      <c r="G447" s="282"/>
      <c r="H447" s="273"/>
      <c r="I447" s="272"/>
      <c r="J447" s="273"/>
      <c r="K447" s="167"/>
      <c r="L447" s="169"/>
      <c r="M447" s="506"/>
      <c r="N447" s="602"/>
      <c r="O447" s="507"/>
      <c r="P447" s="167"/>
      <c r="Q447" s="169"/>
      <c r="R447" s="506"/>
      <c r="S447" s="507"/>
      <c r="T447" s="167"/>
      <c r="U447" s="169"/>
      <c r="V447" s="506"/>
      <c r="W447" s="507"/>
      <c r="X447" s="311"/>
      <c r="Y447" s="312"/>
      <c r="Z447" s="313"/>
      <c r="AA447" s="272"/>
      <c r="AB447" s="273"/>
      <c r="AC447" s="155"/>
      <c r="AD447" s="157"/>
      <c r="AE447" s="40"/>
      <c r="AF447" s="272"/>
      <c r="AG447" s="282"/>
      <c r="AH447" s="273"/>
      <c r="AI447" s="167"/>
      <c r="AJ447" s="122"/>
      <c r="AK447" s="122"/>
      <c r="AL447" s="122"/>
    </row>
    <row r="448" spans="1:38" ht="15" x14ac:dyDescent="0.3">
      <c r="A448" s="179"/>
      <c r="B448" s="272"/>
      <c r="C448" s="282"/>
      <c r="D448" s="273"/>
      <c r="E448" s="60"/>
      <c r="F448" s="272"/>
      <c r="G448" s="282"/>
      <c r="H448" s="273"/>
      <c r="I448" s="272"/>
      <c r="J448" s="273"/>
      <c r="K448" s="167"/>
      <c r="L448" s="169"/>
      <c r="M448" s="506"/>
      <c r="N448" s="602"/>
      <c r="O448" s="507"/>
      <c r="P448" s="167"/>
      <c r="Q448" s="169"/>
      <c r="R448" s="506"/>
      <c r="S448" s="507"/>
      <c r="T448" s="167"/>
      <c r="U448" s="169"/>
      <c r="V448" s="506"/>
      <c r="W448" s="507"/>
      <c r="X448" s="311"/>
      <c r="Y448" s="312"/>
      <c r="Z448" s="313"/>
      <c r="AA448" s="272"/>
      <c r="AB448" s="273"/>
      <c r="AC448" s="155"/>
      <c r="AD448" s="157"/>
      <c r="AE448" s="40"/>
      <c r="AF448" s="272"/>
      <c r="AG448" s="282"/>
      <c r="AH448" s="273"/>
      <c r="AI448" s="167"/>
      <c r="AJ448" s="203" t="s">
        <v>809</v>
      </c>
      <c r="AK448" s="203"/>
      <c r="AL448" s="203"/>
    </row>
    <row r="449" spans="1:38" ht="15" x14ac:dyDescent="0.3">
      <c r="A449" s="179"/>
      <c r="B449" s="272"/>
      <c r="C449" s="282"/>
      <c r="D449" s="273"/>
      <c r="E449" s="59" t="s">
        <v>1846</v>
      </c>
      <c r="F449" s="272"/>
      <c r="G449" s="282"/>
      <c r="H449" s="273"/>
      <c r="I449" s="272"/>
      <c r="J449" s="273"/>
      <c r="K449" s="167"/>
      <c r="L449" s="169"/>
      <c r="M449" s="506"/>
      <c r="N449" s="602"/>
      <c r="O449" s="507"/>
      <c r="P449" s="167"/>
      <c r="Q449" s="169"/>
      <c r="R449" s="506"/>
      <c r="S449" s="507"/>
      <c r="T449" s="167"/>
      <c r="U449" s="169"/>
      <c r="V449" s="506"/>
      <c r="W449" s="507"/>
      <c r="X449" s="311"/>
      <c r="Y449" s="312"/>
      <c r="Z449" s="313"/>
      <c r="AA449" s="272"/>
      <c r="AB449" s="273"/>
      <c r="AC449" s="155"/>
      <c r="AD449" s="157"/>
      <c r="AE449" s="40"/>
      <c r="AF449" s="272"/>
      <c r="AG449" s="282"/>
      <c r="AH449" s="273"/>
      <c r="AI449" s="167"/>
      <c r="AJ449" s="203" t="s">
        <v>809</v>
      </c>
      <c r="AK449" s="203"/>
      <c r="AL449" s="203"/>
    </row>
    <row r="450" spans="1:38" ht="15.5" x14ac:dyDescent="0.35">
      <c r="A450" s="179"/>
      <c r="B450" s="272"/>
      <c r="C450" s="282"/>
      <c r="D450" s="273"/>
      <c r="E450" s="60"/>
      <c r="F450" s="272"/>
      <c r="G450" s="282"/>
      <c r="H450" s="273"/>
      <c r="I450" s="272"/>
      <c r="J450" s="273"/>
      <c r="K450" s="167"/>
      <c r="L450" s="169"/>
      <c r="M450" s="506"/>
      <c r="N450" s="602"/>
      <c r="O450" s="507"/>
      <c r="P450" s="167"/>
      <c r="Q450" s="169"/>
      <c r="R450" s="506"/>
      <c r="S450" s="507"/>
      <c r="T450" s="167"/>
      <c r="U450" s="169"/>
      <c r="V450" s="506"/>
      <c r="W450" s="507"/>
      <c r="X450" s="311"/>
      <c r="Y450" s="312"/>
      <c r="Z450" s="313"/>
      <c r="AA450" s="272"/>
      <c r="AB450" s="273"/>
      <c r="AC450" s="155"/>
      <c r="AD450" s="157"/>
      <c r="AE450" s="40"/>
      <c r="AF450" s="272"/>
      <c r="AG450" s="282"/>
      <c r="AH450" s="273"/>
      <c r="AI450" s="167"/>
      <c r="AJ450" s="122"/>
      <c r="AK450" s="122"/>
      <c r="AL450" s="122"/>
    </row>
    <row r="451" spans="1:38" ht="15.5" x14ac:dyDescent="0.35">
      <c r="A451" s="179"/>
      <c r="B451" s="272"/>
      <c r="C451" s="282"/>
      <c r="D451" s="273"/>
      <c r="E451" s="59" t="s">
        <v>1847</v>
      </c>
      <c r="F451" s="272"/>
      <c r="G451" s="282"/>
      <c r="H451" s="273"/>
      <c r="I451" s="272"/>
      <c r="J451" s="273"/>
      <c r="K451" s="167"/>
      <c r="L451" s="169"/>
      <c r="M451" s="506"/>
      <c r="N451" s="602"/>
      <c r="O451" s="507"/>
      <c r="P451" s="167"/>
      <c r="Q451" s="169"/>
      <c r="R451" s="506"/>
      <c r="S451" s="507"/>
      <c r="T451" s="167"/>
      <c r="U451" s="169"/>
      <c r="V451" s="506"/>
      <c r="W451" s="507"/>
      <c r="X451" s="311"/>
      <c r="Y451" s="312"/>
      <c r="Z451" s="313"/>
      <c r="AA451" s="272"/>
      <c r="AB451" s="273"/>
      <c r="AC451" s="155"/>
      <c r="AD451" s="157"/>
      <c r="AE451" s="40"/>
      <c r="AF451" s="272"/>
      <c r="AG451" s="282"/>
      <c r="AH451" s="273"/>
      <c r="AI451" s="167"/>
      <c r="AJ451" s="122"/>
      <c r="AK451" s="122"/>
      <c r="AL451" s="122"/>
    </row>
    <row r="452" spans="1:38" ht="15" x14ac:dyDescent="0.3">
      <c r="A452" s="179"/>
      <c r="B452" s="272"/>
      <c r="C452" s="282"/>
      <c r="D452" s="273"/>
      <c r="E452" s="81"/>
      <c r="F452" s="272"/>
      <c r="G452" s="282"/>
      <c r="H452" s="273"/>
      <c r="I452" s="272"/>
      <c r="J452" s="273"/>
      <c r="K452" s="167"/>
      <c r="L452" s="169"/>
      <c r="M452" s="506"/>
      <c r="N452" s="602"/>
      <c r="O452" s="507"/>
      <c r="P452" s="167"/>
      <c r="Q452" s="169"/>
      <c r="R452" s="506"/>
      <c r="S452" s="507"/>
      <c r="T452" s="167"/>
      <c r="U452" s="169"/>
      <c r="V452" s="506"/>
      <c r="W452" s="507"/>
      <c r="X452" s="311"/>
      <c r="Y452" s="312"/>
      <c r="Z452" s="313"/>
      <c r="AA452" s="272"/>
      <c r="AB452" s="273"/>
      <c r="AC452" s="155"/>
      <c r="AD452" s="157"/>
      <c r="AE452" s="40"/>
      <c r="AF452" s="272"/>
      <c r="AG452" s="282"/>
      <c r="AH452" s="273"/>
      <c r="AI452" s="167"/>
      <c r="AJ452" s="203" t="s">
        <v>809</v>
      </c>
      <c r="AK452" s="203"/>
      <c r="AL452" s="203"/>
    </row>
    <row r="453" spans="1:38" ht="15.5" x14ac:dyDescent="0.35">
      <c r="A453" s="179"/>
      <c r="B453" s="272"/>
      <c r="C453" s="282"/>
      <c r="D453" s="273"/>
      <c r="E453" s="60"/>
      <c r="F453" s="272"/>
      <c r="G453" s="282"/>
      <c r="H453" s="273"/>
      <c r="I453" s="272"/>
      <c r="J453" s="273"/>
      <c r="K453" s="167"/>
      <c r="L453" s="169"/>
      <c r="M453" s="506"/>
      <c r="N453" s="602"/>
      <c r="O453" s="507"/>
      <c r="P453" s="167"/>
      <c r="Q453" s="169"/>
      <c r="R453" s="506"/>
      <c r="S453" s="507"/>
      <c r="T453" s="167"/>
      <c r="U453" s="169"/>
      <c r="V453" s="506"/>
      <c r="W453" s="507"/>
      <c r="X453" s="311"/>
      <c r="Y453" s="312"/>
      <c r="Z453" s="313"/>
      <c r="AA453" s="272"/>
      <c r="AB453" s="273"/>
      <c r="AC453" s="155"/>
      <c r="AD453" s="157"/>
      <c r="AE453" s="40"/>
      <c r="AF453" s="272"/>
      <c r="AG453" s="282"/>
      <c r="AH453" s="273"/>
      <c r="AI453" s="167"/>
      <c r="AJ453" s="122"/>
      <c r="AK453" s="122"/>
      <c r="AL453" s="122"/>
    </row>
    <row r="454" spans="1:38" ht="15.5" x14ac:dyDescent="0.35">
      <c r="A454" s="179"/>
      <c r="B454" s="272"/>
      <c r="C454" s="282"/>
      <c r="D454" s="273"/>
      <c r="E454" s="59" t="s">
        <v>1848</v>
      </c>
      <c r="F454" s="272"/>
      <c r="G454" s="282"/>
      <c r="H454" s="273"/>
      <c r="I454" s="272"/>
      <c r="J454" s="273"/>
      <c r="K454" s="167"/>
      <c r="L454" s="169"/>
      <c r="M454" s="506"/>
      <c r="N454" s="602"/>
      <c r="O454" s="507"/>
      <c r="P454" s="167"/>
      <c r="Q454" s="169"/>
      <c r="R454" s="506"/>
      <c r="S454" s="507"/>
      <c r="T454" s="167"/>
      <c r="U454" s="169"/>
      <c r="V454" s="506"/>
      <c r="W454" s="507"/>
      <c r="X454" s="311"/>
      <c r="Y454" s="312"/>
      <c r="Z454" s="313"/>
      <c r="AA454" s="272"/>
      <c r="AB454" s="273"/>
      <c r="AC454" s="155"/>
      <c r="AD454" s="157"/>
      <c r="AE454" s="40"/>
      <c r="AF454" s="272"/>
      <c r="AG454" s="282"/>
      <c r="AH454" s="273"/>
      <c r="AI454" s="167"/>
      <c r="AJ454" s="122"/>
      <c r="AK454" s="122"/>
      <c r="AL454" s="122"/>
    </row>
    <row r="455" spans="1:38" ht="15" x14ac:dyDescent="0.3">
      <c r="A455" s="179"/>
      <c r="B455" s="272"/>
      <c r="C455" s="282"/>
      <c r="D455" s="273"/>
      <c r="E455" s="81"/>
      <c r="F455" s="272"/>
      <c r="G455" s="282"/>
      <c r="H455" s="273"/>
      <c r="I455" s="272"/>
      <c r="J455" s="273"/>
      <c r="K455" s="167"/>
      <c r="L455" s="169"/>
      <c r="M455" s="506"/>
      <c r="N455" s="602"/>
      <c r="O455" s="507"/>
      <c r="P455" s="167"/>
      <c r="Q455" s="169"/>
      <c r="R455" s="506"/>
      <c r="S455" s="507"/>
      <c r="T455" s="167"/>
      <c r="U455" s="169"/>
      <c r="V455" s="506"/>
      <c r="W455" s="507"/>
      <c r="X455" s="311"/>
      <c r="Y455" s="312"/>
      <c r="Z455" s="313"/>
      <c r="AA455" s="272"/>
      <c r="AB455" s="273"/>
      <c r="AC455" s="155"/>
      <c r="AD455" s="157"/>
      <c r="AE455" s="40"/>
      <c r="AF455" s="272"/>
      <c r="AG455" s="282"/>
      <c r="AH455" s="273"/>
      <c r="AI455" s="167"/>
      <c r="AJ455" s="203" t="s">
        <v>809</v>
      </c>
      <c r="AK455" s="203"/>
      <c r="AL455" s="203"/>
    </row>
    <row r="456" spans="1:38" ht="15.5" x14ac:dyDescent="0.35">
      <c r="A456" s="179"/>
      <c r="B456" s="272"/>
      <c r="C456" s="282"/>
      <c r="D456" s="273"/>
      <c r="E456" s="60"/>
      <c r="F456" s="272"/>
      <c r="G456" s="282"/>
      <c r="H456" s="273"/>
      <c r="I456" s="272"/>
      <c r="J456" s="273"/>
      <c r="K456" s="167"/>
      <c r="L456" s="169"/>
      <c r="M456" s="506"/>
      <c r="N456" s="602"/>
      <c r="O456" s="507"/>
      <c r="P456" s="167"/>
      <c r="Q456" s="169"/>
      <c r="R456" s="506"/>
      <c r="S456" s="507"/>
      <c r="T456" s="167"/>
      <c r="U456" s="169"/>
      <c r="V456" s="506"/>
      <c r="W456" s="507"/>
      <c r="X456" s="311"/>
      <c r="Y456" s="312"/>
      <c r="Z456" s="313"/>
      <c r="AA456" s="272"/>
      <c r="AB456" s="273"/>
      <c r="AC456" s="155"/>
      <c r="AD456" s="157"/>
      <c r="AE456" s="40"/>
      <c r="AF456" s="272"/>
      <c r="AG456" s="282"/>
      <c r="AH456" s="273"/>
      <c r="AI456" s="167"/>
      <c r="AJ456" s="122"/>
      <c r="AK456" s="122"/>
      <c r="AL456" s="122"/>
    </row>
    <row r="457" spans="1:38" ht="15.5" x14ac:dyDescent="0.35">
      <c r="A457" s="179"/>
      <c r="B457" s="272"/>
      <c r="C457" s="282"/>
      <c r="D457" s="273"/>
      <c r="E457" s="59" t="s">
        <v>1849</v>
      </c>
      <c r="F457" s="272"/>
      <c r="G457" s="282"/>
      <c r="H457" s="273"/>
      <c r="I457" s="272"/>
      <c r="J457" s="273"/>
      <c r="K457" s="167"/>
      <c r="L457" s="169"/>
      <c r="M457" s="506"/>
      <c r="N457" s="602"/>
      <c r="O457" s="507"/>
      <c r="P457" s="167"/>
      <c r="Q457" s="169"/>
      <c r="R457" s="506"/>
      <c r="S457" s="507"/>
      <c r="T457" s="167"/>
      <c r="U457" s="169"/>
      <c r="V457" s="506"/>
      <c r="W457" s="507"/>
      <c r="X457" s="311"/>
      <c r="Y457" s="312"/>
      <c r="Z457" s="313"/>
      <c r="AA457" s="272"/>
      <c r="AB457" s="273"/>
      <c r="AC457" s="155"/>
      <c r="AD457" s="157"/>
      <c r="AE457" s="40"/>
      <c r="AF457" s="272"/>
      <c r="AG457" s="282"/>
      <c r="AH457" s="273"/>
      <c r="AI457" s="167"/>
      <c r="AJ457" s="122"/>
      <c r="AK457" s="122"/>
      <c r="AL457" s="122"/>
    </row>
    <row r="458" spans="1:38" ht="15" x14ac:dyDescent="0.3">
      <c r="A458" s="179"/>
      <c r="B458" s="272"/>
      <c r="C458" s="282"/>
      <c r="D458" s="273"/>
      <c r="E458" s="81"/>
      <c r="F458" s="272"/>
      <c r="G458" s="282"/>
      <c r="H458" s="273"/>
      <c r="I458" s="272"/>
      <c r="J458" s="273"/>
      <c r="K458" s="167"/>
      <c r="L458" s="169"/>
      <c r="M458" s="506"/>
      <c r="N458" s="602"/>
      <c r="O458" s="507"/>
      <c r="P458" s="167"/>
      <c r="Q458" s="169"/>
      <c r="R458" s="506"/>
      <c r="S458" s="507"/>
      <c r="T458" s="167"/>
      <c r="U458" s="169"/>
      <c r="V458" s="506"/>
      <c r="W458" s="507"/>
      <c r="X458" s="311"/>
      <c r="Y458" s="312"/>
      <c r="Z458" s="313"/>
      <c r="AA458" s="272"/>
      <c r="AB458" s="273"/>
      <c r="AC458" s="155"/>
      <c r="AD458" s="157"/>
      <c r="AE458" s="40"/>
      <c r="AF458" s="272"/>
      <c r="AG458" s="282"/>
      <c r="AH458" s="273"/>
      <c r="AI458" s="167"/>
      <c r="AJ458" s="203" t="s">
        <v>809</v>
      </c>
      <c r="AK458" s="203"/>
      <c r="AL458" s="203"/>
    </row>
    <row r="459" spans="1:38" ht="15.5" x14ac:dyDescent="0.35">
      <c r="A459" s="230"/>
      <c r="B459" s="194"/>
      <c r="C459" s="197"/>
      <c r="D459" s="195"/>
      <c r="E459" s="60"/>
      <c r="F459" s="194"/>
      <c r="G459" s="197"/>
      <c r="H459" s="195"/>
      <c r="I459" s="194"/>
      <c r="J459" s="195"/>
      <c r="K459" s="214"/>
      <c r="L459" s="216"/>
      <c r="M459" s="389"/>
      <c r="N459" s="496"/>
      <c r="O459" s="390"/>
      <c r="P459" s="214"/>
      <c r="Q459" s="216"/>
      <c r="R459" s="389"/>
      <c r="S459" s="390"/>
      <c r="T459" s="214"/>
      <c r="U459" s="216"/>
      <c r="V459" s="389"/>
      <c r="W459" s="390"/>
      <c r="X459" s="255"/>
      <c r="Y459" s="256"/>
      <c r="Z459" s="257"/>
      <c r="AA459" s="194"/>
      <c r="AB459" s="195"/>
      <c r="AC459" s="160"/>
      <c r="AD459" s="161"/>
      <c r="AE459" s="40"/>
      <c r="AF459" s="194"/>
      <c r="AG459" s="197"/>
      <c r="AH459" s="195"/>
      <c r="AI459" s="167"/>
      <c r="AJ459" s="122"/>
      <c r="AK459" s="122"/>
      <c r="AL459" s="122"/>
    </row>
    <row r="460" spans="1:38" ht="75" x14ac:dyDescent="0.35">
      <c r="A460" s="178"/>
      <c r="B460" s="192" t="s">
        <v>1850</v>
      </c>
      <c r="C460" s="196"/>
      <c r="D460" s="193"/>
      <c r="E460" s="64" t="s">
        <v>1851</v>
      </c>
      <c r="F460" s="192" t="s">
        <v>1852</v>
      </c>
      <c r="G460" s="196"/>
      <c r="H460" s="193"/>
      <c r="I460" s="192" t="s">
        <v>1853</v>
      </c>
      <c r="J460" s="193"/>
      <c r="K460" s="149"/>
      <c r="L460" s="150"/>
      <c r="M460" s="204">
        <v>220</v>
      </c>
      <c r="N460" s="250"/>
      <c r="O460" s="205"/>
      <c r="P460" s="149"/>
      <c r="Q460" s="150"/>
      <c r="R460" s="204">
        <v>70</v>
      </c>
      <c r="S460" s="205"/>
      <c r="T460" s="149"/>
      <c r="U460" s="150"/>
      <c r="V460" s="88" t="s">
        <v>1594</v>
      </c>
      <c r="W460" s="89"/>
      <c r="X460" s="241">
        <v>380</v>
      </c>
      <c r="Y460" s="242"/>
      <c r="Z460" s="243"/>
      <c r="AA460" s="143" t="s">
        <v>1854</v>
      </c>
      <c r="AB460" s="145"/>
      <c r="AC460" s="112" t="s">
        <v>675</v>
      </c>
      <c r="AD460" s="113"/>
      <c r="AE460" s="24" t="s">
        <v>1857</v>
      </c>
      <c r="AF460" s="192" t="s">
        <v>683</v>
      </c>
      <c r="AG460" s="196"/>
      <c r="AH460" s="193"/>
      <c r="AI460" s="167"/>
      <c r="AJ460" s="122"/>
      <c r="AK460" s="122"/>
      <c r="AL460" s="122"/>
    </row>
    <row r="461" spans="1:38" ht="105" x14ac:dyDescent="0.3">
      <c r="A461" s="179"/>
      <c r="B461" s="272"/>
      <c r="C461" s="282"/>
      <c r="D461" s="273"/>
      <c r="E461" s="63"/>
      <c r="F461" s="272"/>
      <c r="G461" s="282"/>
      <c r="H461" s="273"/>
      <c r="I461" s="272"/>
      <c r="J461" s="273"/>
      <c r="K461" s="135"/>
      <c r="L461" s="137"/>
      <c r="M461" s="231"/>
      <c r="N461" s="683"/>
      <c r="O461" s="232"/>
      <c r="P461" s="135"/>
      <c r="Q461" s="137"/>
      <c r="R461" s="231"/>
      <c r="S461" s="232"/>
      <c r="T461" s="135"/>
      <c r="U461" s="137"/>
      <c r="V461" s="126"/>
      <c r="W461" s="127"/>
      <c r="X461" s="247"/>
      <c r="Y461" s="248"/>
      <c r="Z461" s="249"/>
      <c r="AA461" s="104"/>
      <c r="AB461" s="105"/>
      <c r="AC461" s="155" t="s">
        <v>1855</v>
      </c>
      <c r="AD461" s="157"/>
      <c r="AE461" s="31" t="s">
        <v>1858</v>
      </c>
      <c r="AF461" s="272"/>
      <c r="AG461" s="282"/>
      <c r="AH461" s="273"/>
      <c r="AI461" s="167"/>
      <c r="AJ461" s="203" t="s">
        <v>809</v>
      </c>
      <c r="AK461" s="203"/>
      <c r="AL461" s="203"/>
    </row>
    <row r="462" spans="1:38" ht="15.5" x14ac:dyDescent="0.35">
      <c r="A462" s="179"/>
      <c r="B462" s="272"/>
      <c r="C462" s="282"/>
      <c r="D462" s="273"/>
      <c r="E462" s="65"/>
      <c r="F462" s="272"/>
      <c r="G462" s="282"/>
      <c r="H462" s="273"/>
      <c r="I462" s="272"/>
      <c r="J462" s="273"/>
      <c r="K462" s="151"/>
      <c r="L462" s="152"/>
      <c r="M462" s="206"/>
      <c r="N462" s="251"/>
      <c r="O462" s="207"/>
      <c r="P462" s="151"/>
      <c r="Q462" s="152"/>
      <c r="R462" s="206"/>
      <c r="S462" s="207"/>
      <c r="T462" s="151"/>
      <c r="U462" s="152"/>
      <c r="V462" s="117"/>
      <c r="W462" s="118"/>
      <c r="X462" s="244"/>
      <c r="Y462" s="245"/>
      <c r="Z462" s="246"/>
      <c r="AA462" s="146"/>
      <c r="AB462" s="148"/>
      <c r="AC462" s="155" t="s">
        <v>828</v>
      </c>
      <c r="AD462" s="157"/>
      <c r="AE462" s="31"/>
      <c r="AF462" s="272"/>
      <c r="AG462" s="282"/>
      <c r="AH462" s="273"/>
      <c r="AI462" s="167"/>
      <c r="AJ462" s="122"/>
      <c r="AK462" s="122"/>
      <c r="AL462" s="122"/>
    </row>
    <row r="463" spans="1:38" ht="15.5" x14ac:dyDescent="0.35">
      <c r="A463" s="179"/>
      <c r="B463" s="272"/>
      <c r="C463" s="282"/>
      <c r="D463" s="273"/>
      <c r="E463" s="64" t="s">
        <v>1859</v>
      </c>
      <c r="F463" s="272"/>
      <c r="G463" s="282"/>
      <c r="H463" s="273"/>
      <c r="I463" s="272"/>
      <c r="J463" s="273"/>
      <c r="K463" s="149"/>
      <c r="L463" s="150"/>
      <c r="M463" s="204">
        <v>220</v>
      </c>
      <c r="N463" s="250"/>
      <c r="O463" s="205"/>
      <c r="P463" s="149"/>
      <c r="Q463" s="150"/>
      <c r="R463" s="204">
        <v>70</v>
      </c>
      <c r="S463" s="205"/>
      <c r="T463" s="149"/>
      <c r="U463" s="150"/>
      <c r="V463" s="88" t="s">
        <v>1594</v>
      </c>
      <c r="W463" s="89"/>
      <c r="X463" s="241">
        <v>380</v>
      </c>
      <c r="Y463" s="242"/>
      <c r="Z463" s="243"/>
      <c r="AA463" s="143" t="s">
        <v>1854</v>
      </c>
      <c r="AB463" s="145"/>
      <c r="AC463" s="155" t="s">
        <v>677</v>
      </c>
      <c r="AD463" s="157"/>
      <c r="AE463" s="31"/>
      <c r="AF463" s="272"/>
      <c r="AG463" s="282"/>
      <c r="AH463" s="273"/>
      <c r="AI463" s="167"/>
      <c r="AJ463" s="122"/>
      <c r="AK463" s="122"/>
      <c r="AL463" s="122"/>
    </row>
    <row r="464" spans="1:38" ht="15" x14ac:dyDescent="0.3">
      <c r="A464" s="179"/>
      <c r="B464" s="272"/>
      <c r="C464" s="282"/>
      <c r="D464" s="273"/>
      <c r="E464" s="63"/>
      <c r="F464" s="272"/>
      <c r="G464" s="282"/>
      <c r="H464" s="273"/>
      <c r="I464" s="272"/>
      <c r="J464" s="273"/>
      <c r="K464" s="135"/>
      <c r="L464" s="137"/>
      <c r="M464" s="231"/>
      <c r="N464" s="683"/>
      <c r="O464" s="232"/>
      <c r="P464" s="135"/>
      <c r="Q464" s="137"/>
      <c r="R464" s="231"/>
      <c r="S464" s="232"/>
      <c r="T464" s="135"/>
      <c r="U464" s="137"/>
      <c r="V464" s="126"/>
      <c r="W464" s="127"/>
      <c r="X464" s="247"/>
      <c r="Y464" s="248"/>
      <c r="Z464" s="249"/>
      <c r="AA464" s="104"/>
      <c r="AB464" s="105"/>
      <c r="AC464" s="155" t="s">
        <v>678</v>
      </c>
      <c r="AD464" s="157"/>
      <c r="AE464" s="31"/>
      <c r="AF464" s="272"/>
      <c r="AG464" s="282"/>
      <c r="AH464" s="273"/>
      <c r="AI464" s="167"/>
      <c r="AJ464" s="203" t="s">
        <v>809</v>
      </c>
      <c r="AK464" s="203"/>
      <c r="AL464" s="203"/>
    </row>
    <row r="465" spans="1:38" ht="15.5" x14ac:dyDescent="0.35">
      <c r="A465" s="179"/>
      <c r="B465" s="272"/>
      <c r="C465" s="282"/>
      <c r="D465" s="273"/>
      <c r="E465" s="65"/>
      <c r="F465" s="272"/>
      <c r="G465" s="282"/>
      <c r="H465" s="273"/>
      <c r="I465" s="272"/>
      <c r="J465" s="273"/>
      <c r="K465" s="151"/>
      <c r="L465" s="152"/>
      <c r="M465" s="206"/>
      <c r="N465" s="251"/>
      <c r="O465" s="207"/>
      <c r="P465" s="151"/>
      <c r="Q465" s="152"/>
      <c r="R465" s="206"/>
      <c r="S465" s="207"/>
      <c r="T465" s="151"/>
      <c r="U465" s="152"/>
      <c r="V465" s="117"/>
      <c r="W465" s="118"/>
      <c r="X465" s="244"/>
      <c r="Y465" s="245"/>
      <c r="Z465" s="246"/>
      <c r="AA465" s="146"/>
      <c r="AB465" s="148"/>
      <c r="AC465" s="155" t="s">
        <v>1856</v>
      </c>
      <c r="AD465" s="157"/>
      <c r="AE465" s="31"/>
      <c r="AF465" s="272"/>
      <c r="AG465" s="282"/>
      <c r="AH465" s="273"/>
      <c r="AI465" s="167"/>
      <c r="AJ465" s="122"/>
      <c r="AK465" s="122"/>
      <c r="AL465" s="122"/>
    </row>
    <row r="466" spans="1:38" ht="15.5" x14ac:dyDescent="0.35">
      <c r="A466" s="179"/>
      <c r="B466" s="272"/>
      <c r="C466" s="282"/>
      <c r="D466" s="273"/>
      <c r="E466" s="64" t="s">
        <v>1860</v>
      </c>
      <c r="F466" s="272"/>
      <c r="G466" s="282"/>
      <c r="H466" s="273"/>
      <c r="I466" s="272"/>
      <c r="J466" s="273"/>
      <c r="K466" s="149"/>
      <c r="L466" s="150"/>
      <c r="M466" s="204">
        <v>220</v>
      </c>
      <c r="N466" s="250"/>
      <c r="O466" s="205"/>
      <c r="P466" s="149"/>
      <c r="Q466" s="150"/>
      <c r="R466" s="204">
        <v>70</v>
      </c>
      <c r="S466" s="205"/>
      <c r="T466" s="149"/>
      <c r="U466" s="150"/>
      <c r="V466" s="88" t="s">
        <v>1594</v>
      </c>
      <c r="W466" s="89"/>
      <c r="X466" s="241">
        <v>380</v>
      </c>
      <c r="Y466" s="242"/>
      <c r="Z466" s="243"/>
      <c r="AA466" s="143" t="s">
        <v>1854</v>
      </c>
      <c r="AB466" s="145"/>
      <c r="AC466" s="155"/>
      <c r="AD466" s="157"/>
      <c r="AE466" s="31"/>
      <c r="AF466" s="272"/>
      <c r="AG466" s="282"/>
      <c r="AH466" s="273"/>
      <c r="AI466" s="167"/>
      <c r="AJ466" s="122"/>
      <c r="AK466" s="122"/>
      <c r="AL466" s="122"/>
    </row>
    <row r="467" spans="1:38" ht="15" x14ac:dyDescent="0.3">
      <c r="A467" s="179"/>
      <c r="B467" s="272"/>
      <c r="C467" s="282"/>
      <c r="D467" s="273"/>
      <c r="E467" s="63"/>
      <c r="F467" s="272"/>
      <c r="G467" s="282"/>
      <c r="H467" s="273"/>
      <c r="I467" s="272"/>
      <c r="J467" s="273"/>
      <c r="K467" s="135"/>
      <c r="L467" s="137"/>
      <c r="M467" s="231"/>
      <c r="N467" s="683"/>
      <c r="O467" s="232"/>
      <c r="P467" s="135"/>
      <c r="Q467" s="137"/>
      <c r="R467" s="231"/>
      <c r="S467" s="232"/>
      <c r="T467" s="135"/>
      <c r="U467" s="137"/>
      <c r="V467" s="126"/>
      <c r="W467" s="127"/>
      <c r="X467" s="247"/>
      <c r="Y467" s="248"/>
      <c r="Z467" s="249"/>
      <c r="AA467" s="104"/>
      <c r="AB467" s="105"/>
      <c r="AC467" s="155"/>
      <c r="AD467" s="157"/>
      <c r="AE467" s="31"/>
      <c r="AF467" s="272"/>
      <c r="AG467" s="282"/>
      <c r="AH467" s="273"/>
      <c r="AI467" s="167"/>
      <c r="AJ467" s="203" t="s">
        <v>809</v>
      </c>
      <c r="AK467" s="203"/>
      <c r="AL467" s="203"/>
    </row>
    <row r="468" spans="1:38" ht="15.5" x14ac:dyDescent="0.35">
      <c r="A468" s="179"/>
      <c r="B468" s="272"/>
      <c r="C468" s="282"/>
      <c r="D468" s="273"/>
      <c r="E468" s="65"/>
      <c r="F468" s="272"/>
      <c r="G468" s="282"/>
      <c r="H468" s="273"/>
      <c r="I468" s="272"/>
      <c r="J468" s="273"/>
      <c r="K468" s="151"/>
      <c r="L468" s="152"/>
      <c r="M468" s="206"/>
      <c r="N468" s="251"/>
      <c r="O468" s="207"/>
      <c r="P468" s="151"/>
      <c r="Q468" s="152"/>
      <c r="R468" s="206"/>
      <c r="S468" s="207"/>
      <c r="T468" s="151"/>
      <c r="U468" s="152"/>
      <c r="V468" s="117"/>
      <c r="W468" s="118"/>
      <c r="X468" s="244"/>
      <c r="Y468" s="245"/>
      <c r="Z468" s="246"/>
      <c r="AA468" s="146"/>
      <c r="AB468" s="148"/>
      <c r="AC468" s="155"/>
      <c r="AD468" s="157"/>
      <c r="AE468" s="31"/>
      <c r="AF468" s="272"/>
      <c r="AG468" s="282"/>
      <c r="AH468" s="273"/>
      <c r="AI468" s="167"/>
      <c r="AJ468" s="122"/>
      <c r="AK468" s="122"/>
      <c r="AL468" s="122"/>
    </row>
    <row r="469" spans="1:38" ht="15.5" x14ac:dyDescent="0.35">
      <c r="A469" s="179"/>
      <c r="B469" s="272"/>
      <c r="C469" s="282"/>
      <c r="D469" s="273"/>
      <c r="E469" s="64" t="s">
        <v>1861</v>
      </c>
      <c r="F469" s="272"/>
      <c r="G469" s="282"/>
      <c r="H469" s="273"/>
      <c r="I469" s="272"/>
      <c r="J469" s="273"/>
      <c r="K469" s="149"/>
      <c r="L469" s="150"/>
      <c r="M469" s="204">
        <v>220</v>
      </c>
      <c r="N469" s="250"/>
      <c r="O469" s="205"/>
      <c r="P469" s="149"/>
      <c r="Q469" s="150"/>
      <c r="R469" s="204">
        <v>70</v>
      </c>
      <c r="S469" s="205"/>
      <c r="T469" s="149"/>
      <c r="U469" s="150"/>
      <c r="V469" s="88" t="s">
        <v>1594</v>
      </c>
      <c r="W469" s="89"/>
      <c r="X469" s="241">
        <v>380</v>
      </c>
      <c r="Y469" s="242"/>
      <c r="Z469" s="243"/>
      <c r="AA469" s="143" t="s">
        <v>1854</v>
      </c>
      <c r="AB469" s="145"/>
      <c r="AC469" s="155"/>
      <c r="AD469" s="157"/>
      <c r="AE469" s="31"/>
      <c r="AF469" s="272"/>
      <c r="AG469" s="282"/>
      <c r="AH469" s="273"/>
      <c r="AI469" s="167"/>
      <c r="AJ469" s="122"/>
      <c r="AK469" s="122"/>
      <c r="AL469" s="122"/>
    </row>
    <row r="470" spans="1:38" ht="15" x14ac:dyDescent="0.3">
      <c r="A470" s="179"/>
      <c r="B470" s="272"/>
      <c r="C470" s="282"/>
      <c r="D470" s="273"/>
      <c r="E470" s="65"/>
      <c r="F470" s="272"/>
      <c r="G470" s="282"/>
      <c r="H470" s="273"/>
      <c r="I470" s="272"/>
      <c r="J470" s="273"/>
      <c r="K470" s="151"/>
      <c r="L470" s="152"/>
      <c r="M470" s="206"/>
      <c r="N470" s="251"/>
      <c r="O470" s="207"/>
      <c r="P470" s="151"/>
      <c r="Q470" s="152"/>
      <c r="R470" s="206"/>
      <c r="S470" s="207"/>
      <c r="T470" s="151"/>
      <c r="U470" s="152"/>
      <c r="V470" s="117"/>
      <c r="W470" s="118"/>
      <c r="X470" s="244"/>
      <c r="Y470" s="245"/>
      <c r="Z470" s="246"/>
      <c r="AA470" s="146"/>
      <c r="AB470" s="148"/>
      <c r="AC470" s="155"/>
      <c r="AD470" s="157"/>
      <c r="AE470" s="31"/>
      <c r="AF470" s="272"/>
      <c r="AG470" s="282"/>
      <c r="AH470" s="273"/>
      <c r="AI470" s="167"/>
      <c r="AJ470" s="203" t="s">
        <v>809</v>
      </c>
      <c r="AK470" s="203"/>
      <c r="AL470" s="203"/>
    </row>
    <row r="471" spans="1:38" ht="45" x14ac:dyDescent="0.35">
      <c r="A471" s="179"/>
      <c r="B471" s="272"/>
      <c r="C471" s="282"/>
      <c r="D471" s="273"/>
      <c r="E471" s="28" t="s">
        <v>1863</v>
      </c>
      <c r="F471" s="272"/>
      <c r="G471" s="282"/>
      <c r="H471" s="273"/>
      <c r="I471" s="272"/>
      <c r="J471" s="273"/>
      <c r="K471" s="107"/>
      <c r="L471" s="109"/>
      <c r="M471" s="183">
        <v>220</v>
      </c>
      <c r="N471" s="184"/>
      <c r="O471" s="185"/>
      <c r="P471" s="107"/>
      <c r="Q471" s="109"/>
      <c r="R471" s="183">
        <v>70</v>
      </c>
      <c r="S471" s="185"/>
      <c r="T471" s="107"/>
      <c r="U471" s="109"/>
      <c r="V471" s="114" t="s">
        <v>1594</v>
      </c>
      <c r="W471" s="116"/>
      <c r="X471" s="227">
        <v>380</v>
      </c>
      <c r="Y471" s="228"/>
      <c r="Z471" s="229"/>
      <c r="AA471" s="110" t="s">
        <v>1854</v>
      </c>
      <c r="AB471" s="111"/>
      <c r="AC471" s="155"/>
      <c r="AD471" s="157"/>
      <c r="AE471" s="31"/>
      <c r="AF471" s="272"/>
      <c r="AG471" s="282"/>
      <c r="AH471" s="273"/>
      <c r="AI471" s="167"/>
      <c r="AJ471" s="203" t="s">
        <v>1862</v>
      </c>
      <c r="AK471" s="203"/>
      <c r="AL471" s="203"/>
    </row>
    <row r="472" spans="1:38" ht="45" x14ac:dyDescent="0.3">
      <c r="A472" s="179"/>
      <c r="B472" s="272"/>
      <c r="C472" s="282"/>
      <c r="D472" s="273"/>
      <c r="E472" s="28" t="s">
        <v>1864</v>
      </c>
      <c r="F472" s="272"/>
      <c r="G472" s="282"/>
      <c r="H472" s="273"/>
      <c r="I472" s="272"/>
      <c r="J472" s="273"/>
      <c r="K472" s="460"/>
      <c r="L472" s="461"/>
      <c r="M472" s="183">
        <v>220</v>
      </c>
      <c r="N472" s="184"/>
      <c r="O472" s="185"/>
      <c r="P472" s="460"/>
      <c r="Q472" s="461"/>
      <c r="R472" s="183">
        <v>70</v>
      </c>
      <c r="S472" s="185"/>
      <c r="T472" s="460"/>
      <c r="U472" s="461"/>
      <c r="V472" s="114" t="s">
        <v>1594</v>
      </c>
      <c r="W472" s="116"/>
      <c r="X472" s="227">
        <v>380</v>
      </c>
      <c r="Y472" s="228"/>
      <c r="Z472" s="229"/>
      <c r="AA472" s="110" t="s">
        <v>1854</v>
      </c>
      <c r="AB472" s="111"/>
      <c r="AC472" s="155"/>
      <c r="AD472" s="157"/>
      <c r="AE472" s="31"/>
      <c r="AF472" s="272"/>
      <c r="AG472" s="282"/>
      <c r="AH472" s="273"/>
      <c r="AI472" s="167"/>
      <c r="AJ472" s="203"/>
      <c r="AK472" s="203"/>
      <c r="AL472" s="203"/>
    </row>
    <row r="473" spans="1:38" ht="15" x14ac:dyDescent="0.3">
      <c r="A473" s="179"/>
      <c r="B473" s="272"/>
      <c r="C473" s="282"/>
      <c r="D473" s="273"/>
      <c r="E473" s="64" t="s">
        <v>1865</v>
      </c>
      <c r="F473" s="272"/>
      <c r="G473" s="282"/>
      <c r="H473" s="273"/>
      <c r="I473" s="272"/>
      <c r="J473" s="273"/>
      <c r="K473" s="149"/>
      <c r="L473" s="150"/>
      <c r="M473" s="204">
        <v>220</v>
      </c>
      <c r="N473" s="250"/>
      <c r="O473" s="205"/>
      <c r="P473" s="149"/>
      <c r="Q473" s="150"/>
      <c r="R473" s="204">
        <v>70</v>
      </c>
      <c r="S473" s="205"/>
      <c r="T473" s="149"/>
      <c r="U473" s="150"/>
      <c r="V473" s="88" t="s">
        <v>1594</v>
      </c>
      <c r="W473" s="89"/>
      <c r="X473" s="241">
        <v>380</v>
      </c>
      <c r="Y473" s="242"/>
      <c r="Z473" s="243"/>
      <c r="AA473" s="143" t="s">
        <v>1854</v>
      </c>
      <c r="AB473" s="145"/>
      <c r="AC473" s="155"/>
      <c r="AD473" s="157"/>
      <c r="AE473" s="31"/>
      <c r="AF473" s="272"/>
      <c r="AG473" s="282"/>
      <c r="AH473" s="273"/>
      <c r="AI473" s="167"/>
      <c r="AJ473" s="203"/>
      <c r="AK473" s="203"/>
      <c r="AL473" s="203"/>
    </row>
    <row r="474" spans="1:38" ht="15.5" x14ac:dyDescent="0.35">
      <c r="A474" s="179"/>
      <c r="B474" s="272"/>
      <c r="C474" s="282"/>
      <c r="D474" s="273"/>
      <c r="E474" s="65"/>
      <c r="F474" s="272"/>
      <c r="G474" s="282"/>
      <c r="H474" s="273"/>
      <c r="I474" s="272"/>
      <c r="J474" s="273"/>
      <c r="K474" s="151"/>
      <c r="L474" s="152"/>
      <c r="M474" s="206"/>
      <c r="N474" s="251"/>
      <c r="O474" s="207"/>
      <c r="P474" s="151"/>
      <c r="Q474" s="152"/>
      <c r="R474" s="206"/>
      <c r="S474" s="207"/>
      <c r="T474" s="151"/>
      <c r="U474" s="152"/>
      <c r="V474" s="117"/>
      <c r="W474" s="118"/>
      <c r="X474" s="244"/>
      <c r="Y474" s="245"/>
      <c r="Z474" s="246"/>
      <c r="AA474" s="146"/>
      <c r="AB474" s="148"/>
      <c r="AC474" s="155"/>
      <c r="AD474" s="157"/>
      <c r="AE474" s="31"/>
      <c r="AF474" s="272"/>
      <c r="AG474" s="282"/>
      <c r="AH474" s="273"/>
      <c r="AI474" s="167"/>
      <c r="AJ474" s="122"/>
      <c r="AK474" s="122"/>
      <c r="AL474" s="122"/>
    </row>
    <row r="475" spans="1:38" ht="15.5" x14ac:dyDescent="0.35">
      <c r="A475" s="179"/>
      <c r="B475" s="272"/>
      <c r="C475" s="282"/>
      <c r="D475" s="273"/>
      <c r="E475" s="64" t="s">
        <v>1866</v>
      </c>
      <c r="F475" s="272"/>
      <c r="G475" s="282"/>
      <c r="H475" s="273"/>
      <c r="I475" s="272"/>
      <c r="J475" s="273"/>
      <c r="K475" s="149"/>
      <c r="L475" s="150"/>
      <c r="M475" s="204">
        <v>220</v>
      </c>
      <c r="N475" s="250"/>
      <c r="O475" s="205"/>
      <c r="P475" s="149"/>
      <c r="Q475" s="150"/>
      <c r="R475" s="204">
        <v>70</v>
      </c>
      <c r="S475" s="205"/>
      <c r="T475" s="149"/>
      <c r="U475" s="150"/>
      <c r="V475" s="88" t="s">
        <v>1594</v>
      </c>
      <c r="W475" s="89"/>
      <c r="X475" s="241">
        <v>380</v>
      </c>
      <c r="Y475" s="242"/>
      <c r="Z475" s="243"/>
      <c r="AA475" s="143" t="s">
        <v>1854</v>
      </c>
      <c r="AB475" s="145"/>
      <c r="AC475" s="155"/>
      <c r="AD475" s="157"/>
      <c r="AE475" s="31"/>
      <c r="AF475" s="272"/>
      <c r="AG475" s="282"/>
      <c r="AH475" s="273"/>
      <c r="AI475" s="167"/>
      <c r="AJ475" s="122"/>
      <c r="AK475" s="122"/>
      <c r="AL475" s="122"/>
    </row>
    <row r="476" spans="1:38" ht="15" x14ac:dyDescent="0.3">
      <c r="A476" s="179"/>
      <c r="B476" s="272"/>
      <c r="C476" s="282"/>
      <c r="D476" s="273"/>
      <c r="E476" s="63"/>
      <c r="F476" s="272"/>
      <c r="G476" s="282"/>
      <c r="H476" s="273"/>
      <c r="I476" s="272"/>
      <c r="J476" s="273"/>
      <c r="K476" s="135"/>
      <c r="L476" s="137"/>
      <c r="M476" s="231"/>
      <c r="N476" s="683"/>
      <c r="O476" s="232"/>
      <c r="P476" s="135"/>
      <c r="Q476" s="137"/>
      <c r="R476" s="231"/>
      <c r="S476" s="232"/>
      <c r="T476" s="135"/>
      <c r="U476" s="137"/>
      <c r="V476" s="126"/>
      <c r="W476" s="127"/>
      <c r="X476" s="247"/>
      <c r="Y476" s="248"/>
      <c r="Z476" s="249"/>
      <c r="AA476" s="104"/>
      <c r="AB476" s="105"/>
      <c r="AC476" s="155"/>
      <c r="AD476" s="157"/>
      <c r="AE476" s="31"/>
      <c r="AF476" s="272"/>
      <c r="AG476" s="282"/>
      <c r="AH476" s="273"/>
      <c r="AI476" s="167"/>
      <c r="AJ476" s="203" t="s">
        <v>809</v>
      </c>
      <c r="AK476" s="203"/>
      <c r="AL476" s="203"/>
    </row>
    <row r="477" spans="1:38" ht="15.5" x14ac:dyDescent="0.35">
      <c r="A477" s="179"/>
      <c r="B477" s="272"/>
      <c r="C477" s="282"/>
      <c r="D477" s="273"/>
      <c r="E477" s="65"/>
      <c r="F477" s="272"/>
      <c r="G477" s="282"/>
      <c r="H477" s="273"/>
      <c r="I477" s="272"/>
      <c r="J477" s="273"/>
      <c r="K477" s="151"/>
      <c r="L477" s="152"/>
      <c r="M477" s="206"/>
      <c r="N477" s="251"/>
      <c r="O477" s="207"/>
      <c r="P477" s="151"/>
      <c r="Q477" s="152"/>
      <c r="R477" s="206"/>
      <c r="S477" s="207"/>
      <c r="T477" s="151"/>
      <c r="U477" s="152"/>
      <c r="V477" s="117"/>
      <c r="W477" s="118"/>
      <c r="X477" s="244"/>
      <c r="Y477" s="245"/>
      <c r="Z477" s="246"/>
      <c r="AA477" s="146"/>
      <c r="AB477" s="148"/>
      <c r="AC477" s="155"/>
      <c r="AD477" s="157"/>
      <c r="AE477" s="31"/>
      <c r="AF477" s="272"/>
      <c r="AG477" s="282"/>
      <c r="AH477" s="273"/>
      <c r="AI477" s="167"/>
      <c r="AJ477" s="122"/>
      <c r="AK477" s="122"/>
      <c r="AL477" s="122"/>
    </row>
    <row r="478" spans="1:38" ht="15.5" x14ac:dyDescent="0.35">
      <c r="A478" s="179"/>
      <c r="B478" s="272"/>
      <c r="C478" s="282"/>
      <c r="D478" s="273"/>
      <c r="E478" s="64" t="s">
        <v>1867</v>
      </c>
      <c r="F478" s="272"/>
      <c r="G478" s="282"/>
      <c r="H478" s="273"/>
      <c r="I478" s="272"/>
      <c r="J478" s="273"/>
      <c r="K478" s="149"/>
      <c r="L478" s="150"/>
      <c r="M478" s="204">
        <v>220</v>
      </c>
      <c r="N478" s="250"/>
      <c r="O478" s="205"/>
      <c r="P478" s="149"/>
      <c r="Q478" s="150"/>
      <c r="R478" s="204">
        <v>70</v>
      </c>
      <c r="S478" s="205"/>
      <c r="T478" s="149"/>
      <c r="U478" s="150"/>
      <c r="V478" s="88" t="s">
        <v>1594</v>
      </c>
      <c r="W478" s="89"/>
      <c r="X478" s="241">
        <v>380</v>
      </c>
      <c r="Y478" s="242"/>
      <c r="Z478" s="243"/>
      <c r="AA478" s="143" t="s">
        <v>1854</v>
      </c>
      <c r="AB478" s="145"/>
      <c r="AC478" s="155"/>
      <c r="AD478" s="157"/>
      <c r="AE478" s="31"/>
      <c r="AF478" s="272"/>
      <c r="AG478" s="282"/>
      <c r="AH478" s="273"/>
      <c r="AI478" s="167"/>
      <c r="AJ478" s="122"/>
      <c r="AK478" s="122"/>
      <c r="AL478" s="122"/>
    </row>
    <row r="479" spans="1:38" ht="15" x14ac:dyDescent="0.3">
      <c r="A479" s="179"/>
      <c r="B479" s="272"/>
      <c r="C479" s="282"/>
      <c r="D479" s="273"/>
      <c r="E479" s="63"/>
      <c r="F479" s="272"/>
      <c r="G479" s="282"/>
      <c r="H479" s="273"/>
      <c r="I479" s="272"/>
      <c r="J479" s="273"/>
      <c r="K479" s="135"/>
      <c r="L479" s="137"/>
      <c r="M479" s="231"/>
      <c r="N479" s="683"/>
      <c r="O479" s="232"/>
      <c r="P479" s="135"/>
      <c r="Q479" s="137"/>
      <c r="R479" s="231"/>
      <c r="S479" s="232"/>
      <c r="T479" s="135"/>
      <c r="U479" s="137"/>
      <c r="V479" s="126"/>
      <c r="W479" s="127"/>
      <c r="X479" s="247"/>
      <c r="Y479" s="248"/>
      <c r="Z479" s="249"/>
      <c r="AA479" s="104"/>
      <c r="AB479" s="105"/>
      <c r="AC479" s="155"/>
      <c r="AD479" s="157"/>
      <c r="AE479" s="31"/>
      <c r="AF479" s="272"/>
      <c r="AG479" s="282"/>
      <c r="AH479" s="273"/>
      <c r="AI479" s="167"/>
      <c r="AJ479" s="203" t="s">
        <v>809</v>
      </c>
      <c r="AK479" s="203"/>
      <c r="AL479" s="203"/>
    </row>
    <row r="480" spans="1:38" ht="15.5" x14ac:dyDescent="0.35">
      <c r="A480" s="179"/>
      <c r="B480" s="272"/>
      <c r="C480" s="282"/>
      <c r="D480" s="273"/>
      <c r="E480" s="65"/>
      <c r="F480" s="272"/>
      <c r="G480" s="282"/>
      <c r="H480" s="273"/>
      <c r="I480" s="272"/>
      <c r="J480" s="273"/>
      <c r="K480" s="151"/>
      <c r="L480" s="152"/>
      <c r="M480" s="206"/>
      <c r="N480" s="251"/>
      <c r="O480" s="207"/>
      <c r="P480" s="151"/>
      <c r="Q480" s="152"/>
      <c r="R480" s="206"/>
      <c r="S480" s="207"/>
      <c r="T480" s="151"/>
      <c r="U480" s="152"/>
      <c r="V480" s="117"/>
      <c r="W480" s="118"/>
      <c r="X480" s="244"/>
      <c r="Y480" s="245"/>
      <c r="Z480" s="246"/>
      <c r="AA480" s="146"/>
      <c r="AB480" s="148"/>
      <c r="AC480" s="155"/>
      <c r="AD480" s="157"/>
      <c r="AE480" s="31"/>
      <c r="AF480" s="272"/>
      <c r="AG480" s="282"/>
      <c r="AH480" s="273"/>
      <c r="AI480" s="167"/>
      <c r="AJ480" s="122"/>
      <c r="AK480" s="122"/>
      <c r="AL480" s="122"/>
    </row>
    <row r="481" spans="1:38" ht="15.5" x14ac:dyDescent="0.35">
      <c r="A481" s="179"/>
      <c r="B481" s="272"/>
      <c r="C481" s="282"/>
      <c r="D481" s="273"/>
      <c r="E481" s="64" t="s">
        <v>1868</v>
      </c>
      <c r="F481" s="272"/>
      <c r="G481" s="282"/>
      <c r="H481" s="273"/>
      <c r="I481" s="272"/>
      <c r="J481" s="273"/>
      <c r="K481" s="149"/>
      <c r="L481" s="150"/>
      <c r="M481" s="204">
        <v>220</v>
      </c>
      <c r="N481" s="250"/>
      <c r="O481" s="205"/>
      <c r="P481" s="149"/>
      <c r="Q481" s="150"/>
      <c r="R481" s="204">
        <v>70</v>
      </c>
      <c r="S481" s="205"/>
      <c r="T481" s="149"/>
      <c r="U481" s="150"/>
      <c r="V481" s="88" t="s">
        <v>1594</v>
      </c>
      <c r="W481" s="89"/>
      <c r="X481" s="241">
        <v>380</v>
      </c>
      <c r="Y481" s="242"/>
      <c r="Z481" s="243"/>
      <c r="AA481" s="143" t="s">
        <v>1854</v>
      </c>
      <c r="AB481" s="145"/>
      <c r="AC481" s="155"/>
      <c r="AD481" s="157"/>
      <c r="AE481" s="31"/>
      <c r="AF481" s="272"/>
      <c r="AG481" s="282"/>
      <c r="AH481" s="273"/>
      <c r="AI481" s="167"/>
      <c r="AJ481" s="122"/>
      <c r="AK481" s="122"/>
      <c r="AL481" s="122"/>
    </row>
    <row r="482" spans="1:38" ht="15" x14ac:dyDescent="0.3">
      <c r="A482" s="179"/>
      <c r="B482" s="272"/>
      <c r="C482" s="282"/>
      <c r="D482" s="273"/>
      <c r="E482" s="63"/>
      <c r="F482" s="272"/>
      <c r="G482" s="282"/>
      <c r="H482" s="273"/>
      <c r="I482" s="272"/>
      <c r="J482" s="273"/>
      <c r="K482" s="135"/>
      <c r="L482" s="137"/>
      <c r="M482" s="231"/>
      <c r="N482" s="683"/>
      <c r="O482" s="232"/>
      <c r="P482" s="135"/>
      <c r="Q482" s="137"/>
      <c r="R482" s="231"/>
      <c r="S482" s="232"/>
      <c r="T482" s="135"/>
      <c r="U482" s="137"/>
      <c r="V482" s="126"/>
      <c r="W482" s="127"/>
      <c r="X482" s="247"/>
      <c r="Y482" s="248"/>
      <c r="Z482" s="249"/>
      <c r="AA482" s="104"/>
      <c r="AB482" s="105"/>
      <c r="AC482" s="155"/>
      <c r="AD482" s="157"/>
      <c r="AE482" s="31"/>
      <c r="AF482" s="272"/>
      <c r="AG482" s="282"/>
      <c r="AH482" s="273"/>
      <c r="AI482" s="167"/>
      <c r="AJ482" s="203" t="s">
        <v>809</v>
      </c>
      <c r="AK482" s="203"/>
      <c r="AL482" s="203"/>
    </row>
    <row r="483" spans="1:38" ht="15.5" x14ac:dyDescent="0.35">
      <c r="A483" s="230"/>
      <c r="B483" s="194"/>
      <c r="C483" s="197"/>
      <c r="D483" s="195"/>
      <c r="E483" s="65"/>
      <c r="F483" s="194"/>
      <c r="G483" s="197"/>
      <c r="H483" s="195"/>
      <c r="I483" s="194"/>
      <c r="J483" s="195"/>
      <c r="K483" s="151"/>
      <c r="L483" s="152"/>
      <c r="M483" s="206"/>
      <c r="N483" s="251"/>
      <c r="O483" s="207"/>
      <c r="P483" s="151"/>
      <c r="Q483" s="152"/>
      <c r="R483" s="206"/>
      <c r="S483" s="207"/>
      <c r="T483" s="151"/>
      <c r="U483" s="152"/>
      <c r="V483" s="117"/>
      <c r="W483" s="118"/>
      <c r="X483" s="244"/>
      <c r="Y483" s="245"/>
      <c r="Z483" s="246"/>
      <c r="AA483" s="146"/>
      <c r="AB483" s="148"/>
      <c r="AC483" s="160"/>
      <c r="AD483" s="161"/>
      <c r="AE483" s="31"/>
      <c r="AF483" s="194"/>
      <c r="AG483" s="197"/>
      <c r="AH483" s="195"/>
      <c r="AI483" s="167"/>
      <c r="AJ483" s="122"/>
      <c r="AK483" s="122"/>
      <c r="AL483" s="122"/>
    </row>
    <row r="484" spans="1:38" ht="90" x14ac:dyDescent="0.35">
      <c r="A484" s="178"/>
      <c r="B484" s="171" t="s">
        <v>1869</v>
      </c>
      <c r="C484" s="407"/>
      <c r="D484" s="172"/>
      <c r="E484" s="59" t="s">
        <v>1103</v>
      </c>
      <c r="F484" s="143" t="s">
        <v>1104</v>
      </c>
      <c r="G484" s="144"/>
      <c r="H484" s="145"/>
      <c r="I484" s="143" t="s">
        <v>1105</v>
      </c>
      <c r="J484" s="145"/>
      <c r="K484" s="88" t="s">
        <v>1106</v>
      </c>
      <c r="L484" s="89"/>
      <c r="M484" s="204">
        <v>188</v>
      </c>
      <c r="N484" s="250"/>
      <c r="O484" s="205"/>
      <c r="P484" s="164"/>
      <c r="Q484" s="166"/>
      <c r="R484" s="204">
        <v>80</v>
      </c>
      <c r="S484" s="205"/>
      <c r="T484" s="164"/>
      <c r="U484" s="166"/>
      <c r="V484" s="88" t="s">
        <v>1107</v>
      </c>
      <c r="W484" s="89"/>
      <c r="X484" s="241">
        <v>380</v>
      </c>
      <c r="Y484" s="242"/>
      <c r="Z484" s="243"/>
      <c r="AA484" s="143" t="s">
        <v>1023</v>
      </c>
      <c r="AB484" s="145"/>
      <c r="AC484" s="112" t="s">
        <v>675</v>
      </c>
      <c r="AD484" s="113"/>
      <c r="AE484" s="24" t="s">
        <v>1872</v>
      </c>
      <c r="AF484" s="192" t="s">
        <v>683</v>
      </c>
      <c r="AG484" s="196"/>
      <c r="AH484" s="193"/>
      <c r="AI484" s="167"/>
      <c r="AJ484" s="122"/>
      <c r="AK484" s="122"/>
      <c r="AL484" s="122"/>
    </row>
    <row r="485" spans="1:38" ht="45" x14ac:dyDescent="0.3">
      <c r="A485" s="179"/>
      <c r="B485" s="162"/>
      <c r="C485" s="170"/>
      <c r="D485" s="163"/>
      <c r="E485" s="81"/>
      <c r="F485" s="104"/>
      <c r="G485" s="202"/>
      <c r="H485" s="105"/>
      <c r="I485" s="104"/>
      <c r="J485" s="105"/>
      <c r="K485" s="126"/>
      <c r="L485" s="127"/>
      <c r="M485" s="231"/>
      <c r="N485" s="683"/>
      <c r="O485" s="232"/>
      <c r="P485" s="167"/>
      <c r="Q485" s="169"/>
      <c r="R485" s="231"/>
      <c r="S485" s="232"/>
      <c r="T485" s="167"/>
      <c r="U485" s="169"/>
      <c r="V485" s="126"/>
      <c r="W485" s="127"/>
      <c r="X485" s="247"/>
      <c r="Y485" s="248"/>
      <c r="Z485" s="249"/>
      <c r="AA485" s="104"/>
      <c r="AB485" s="105"/>
      <c r="AC485" s="155" t="s">
        <v>1870</v>
      </c>
      <c r="AD485" s="157"/>
      <c r="AE485" s="31" t="s">
        <v>1356</v>
      </c>
      <c r="AF485" s="272"/>
      <c r="AG485" s="282"/>
      <c r="AH485" s="273"/>
      <c r="AI485" s="167"/>
      <c r="AJ485" s="203" t="s">
        <v>809</v>
      </c>
      <c r="AK485" s="203"/>
      <c r="AL485" s="203"/>
    </row>
    <row r="486" spans="1:38" ht="60" x14ac:dyDescent="0.35">
      <c r="A486" s="179"/>
      <c r="B486" s="162"/>
      <c r="C486" s="170"/>
      <c r="D486" s="163"/>
      <c r="E486" s="60"/>
      <c r="F486" s="146"/>
      <c r="G486" s="147"/>
      <c r="H486" s="148"/>
      <c r="I486" s="146"/>
      <c r="J486" s="148"/>
      <c r="K486" s="117"/>
      <c r="L486" s="118"/>
      <c r="M486" s="206"/>
      <c r="N486" s="251"/>
      <c r="O486" s="207"/>
      <c r="P486" s="214"/>
      <c r="Q486" s="216"/>
      <c r="R486" s="206"/>
      <c r="S486" s="207"/>
      <c r="T486" s="214"/>
      <c r="U486" s="216"/>
      <c r="V486" s="117"/>
      <c r="W486" s="118"/>
      <c r="X486" s="244"/>
      <c r="Y486" s="245"/>
      <c r="Z486" s="246"/>
      <c r="AA486" s="146"/>
      <c r="AB486" s="148"/>
      <c r="AC486" s="155" t="s">
        <v>677</v>
      </c>
      <c r="AD486" s="157"/>
      <c r="AE486" s="31" t="s">
        <v>1873</v>
      </c>
      <c r="AF486" s="272"/>
      <c r="AG486" s="282"/>
      <c r="AH486" s="273"/>
      <c r="AI486" s="167"/>
      <c r="AJ486" s="122"/>
      <c r="AK486" s="122"/>
      <c r="AL486" s="122"/>
    </row>
    <row r="487" spans="1:38" ht="15.5" x14ac:dyDescent="0.35">
      <c r="A487" s="179"/>
      <c r="B487" s="162"/>
      <c r="C487" s="170"/>
      <c r="D487" s="163"/>
      <c r="E487" s="59" t="s">
        <v>1874</v>
      </c>
      <c r="F487" s="143" t="s">
        <v>1875</v>
      </c>
      <c r="G487" s="144"/>
      <c r="H487" s="145"/>
      <c r="I487" s="164"/>
      <c r="J487" s="166"/>
      <c r="K487" s="88" t="s">
        <v>1876</v>
      </c>
      <c r="L487" s="89"/>
      <c r="M487" s="204">
        <v>296</v>
      </c>
      <c r="N487" s="250"/>
      <c r="O487" s="205"/>
      <c r="P487" s="164"/>
      <c r="Q487" s="166"/>
      <c r="R487" s="707">
        <v>152</v>
      </c>
      <c r="S487" s="708"/>
      <c r="T487" s="164"/>
      <c r="U487" s="166"/>
      <c r="V487" s="88" t="s">
        <v>1877</v>
      </c>
      <c r="W487" s="89"/>
      <c r="X487" s="241">
        <v>850</v>
      </c>
      <c r="Y487" s="242"/>
      <c r="Z487" s="243"/>
      <c r="AA487" s="143" t="s">
        <v>889</v>
      </c>
      <c r="AB487" s="145"/>
      <c r="AC487" s="155" t="s">
        <v>678</v>
      </c>
      <c r="AD487" s="157"/>
      <c r="AE487" s="31"/>
      <c r="AF487" s="272"/>
      <c r="AG487" s="282"/>
      <c r="AH487" s="273"/>
      <c r="AI487" s="167"/>
      <c r="AJ487" s="122"/>
      <c r="AK487" s="122"/>
      <c r="AL487" s="122"/>
    </row>
    <row r="488" spans="1:38" ht="15" x14ac:dyDescent="0.3">
      <c r="A488" s="179"/>
      <c r="B488" s="162"/>
      <c r="C488" s="170"/>
      <c r="D488" s="163"/>
      <c r="E488" s="81"/>
      <c r="F488" s="104"/>
      <c r="G488" s="202"/>
      <c r="H488" s="105"/>
      <c r="I488" s="167"/>
      <c r="J488" s="169"/>
      <c r="K488" s="126"/>
      <c r="L488" s="127"/>
      <c r="M488" s="231"/>
      <c r="N488" s="683"/>
      <c r="O488" s="232"/>
      <c r="P488" s="167"/>
      <c r="Q488" s="169"/>
      <c r="R488" s="709"/>
      <c r="S488" s="710"/>
      <c r="T488" s="167"/>
      <c r="U488" s="169"/>
      <c r="V488" s="126"/>
      <c r="W488" s="127"/>
      <c r="X488" s="247"/>
      <c r="Y488" s="248"/>
      <c r="Z488" s="249"/>
      <c r="AA488" s="104"/>
      <c r="AB488" s="105"/>
      <c r="AC488" s="155" t="s">
        <v>1871</v>
      </c>
      <c r="AD488" s="157"/>
      <c r="AE488" s="31"/>
      <c r="AF488" s="272"/>
      <c r="AG488" s="282"/>
      <c r="AH488" s="273"/>
      <c r="AI488" s="167"/>
      <c r="AJ488" s="203" t="s">
        <v>809</v>
      </c>
      <c r="AK488" s="203"/>
      <c r="AL488" s="203"/>
    </row>
    <row r="489" spans="1:38" ht="15.5" x14ac:dyDescent="0.35">
      <c r="A489" s="179"/>
      <c r="B489" s="162"/>
      <c r="C489" s="170"/>
      <c r="D489" s="163"/>
      <c r="E489" s="60"/>
      <c r="F489" s="146"/>
      <c r="G489" s="147"/>
      <c r="H489" s="148"/>
      <c r="I489" s="214"/>
      <c r="J489" s="216"/>
      <c r="K489" s="117"/>
      <c r="L489" s="118"/>
      <c r="M489" s="206"/>
      <c r="N489" s="251"/>
      <c r="O489" s="207"/>
      <c r="P489" s="214"/>
      <c r="Q489" s="216"/>
      <c r="R489" s="711"/>
      <c r="S489" s="712"/>
      <c r="T489" s="214"/>
      <c r="U489" s="216"/>
      <c r="V489" s="117"/>
      <c r="W489" s="118"/>
      <c r="X489" s="244"/>
      <c r="Y489" s="245"/>
      <c r="Z489" s="246"/>
      <c r="AA489" s="146"/>
      <c r="AB489" s="148"/>
      <c r="AC489" s="155"/>
      <c r="AD489" s="157"/>
      <c r="AE489" s="31"/>
      <c r="AF489" s="272"/>
      <c r="AG489" s="282"/>
      <c r="AH489" s="273"/>
      <c r="AI489" s="167"/>
      <c r="AJ489" s="122"/>
      <c r="AK489" s="122"/>
      <c r="AL489" s="122"/>
    </row>
    <row r="490" spans="1:38" ht="15.5" x14ac:dyDescent="0.35">
      <c r="A490" s="179"/>
      <c r="B490" s="162"/>
      <c r="C490" s="170"/>
      <c r="D490" s="163"/>
      <c r="E490" s="59" t="s">
        <v>1878</v>
      </c>
      <c r="F490" s="143" t="s">
        <v>1879</v>
      </c>
      <c r="G490" s="144"/>
      <c r="H490" s="145"/>
      <c r="I490" s="164"/>
      <c r="J490" s="166"/>
      <c r="K490" s="88" t="s">
        <v>1451</v>
      </c>
      <c r="L490" s="89"/>
      <c r="M490" s="204">
        <v>334</v>
      </c>
      <c r="N490" s="250"/>
      <c r="O490" s="205"/>
      <c r="P490" s="164"/>
      <c r="Q490" s="166"/>
      <c r="R490" s="707">
        <v>180</v>
      </c>
      <c r="S490" s="708"/>
      <c r="T490" s="164"/>
      <c r="U490" s="166"/>
      <c r="V490" s="88" t="s">
        <v>1880</v>
      </c>
      <c r="W490" s="89"/>
      <c r="X490" s="241">
        <v>930</v>
      </c>
      <c r="Y490" s="242"/>
      <c r="Z490" s="243"/>
      <c r="AA490" s="143" t="s">
        <v>706</v>
      </c>
      <c r="AB490" s="145"/>
      <c r="AC490" s="155"/>
      <c r="AD490" s="157"/>
      <c r="AE490" s="31"/>
      <c r="AF490" s="272"/>
      <c r="AG490" s="282"/>
      <c r="AH490" s="273"/>
      <c r="AI490" s="167"/>
      <c r="AJ490" s="122"/>
      <c r="AK490" s="122"/>
      <c r="AL490" s="122"/>
    </row>
    <row r="491" spans="1:38" ht="15" x14ac:dyDescent="0.3">
      <c r="A491" s="179"/>
      <c r="B491" s="162"/>
      <c r="C491" s="170"/>
      <c r="D491" s="163"/>
      <c r="E491" s="81"/>
      <c r="F491" s="104"/>
      <c r="G491" s="202"/>
      <c r="H491" s="105"/>
      <c r="I491" s="167"/>
      <c r="J491" s="169"/>
      <c r="K491" s="126"/>
      <c r="L491" s="127"/>
      <c r="M491" s="231"/>
      <c r="N491" s="683"/>
      <c r="O491" s="232"/>
      <c r="P491" s="167"/>
      <c r="Q491" s="169"/>
      <c r="R491" s="709"/>
      <c r="S491" s="710"/>
      <c r="T491" s="167"/>
      <c r="U491" s="169"/>
      <c r="V491" s="126"/>
      <c r="W491" s="127"/>
      <c r="X491" s="247"/>
      <c r="Y491" s="248"/>
      <c r="Z491" s="249"/>
      <c r="AA491" s="104"/>
      <c r="AB491" s="105"/>
      <c r="AC491" s="155"/>
      <c r="AD491" s="157"/>
      <c r="AE491" s="31"/>
      <c r="AF491" s="272"/>
      <c r="AG491" s="282"/>
      <c r="AH491" s="273"/>
      <c r="AI491" s="167"/>
      <c r="AJ491" s="203" t="s">
        <v>809</v>
      </c>
      <c r="AK491" s="203"/>
      <c r="AL491" s="203"/>
    </row>
    <row r="492" spans="1:38" ht="15.5" x14ac:dyDescent="0.35">
      <c r="A492" s="179"/>
      <c r="B492" s="162"/>
      <c r="C492" s="170"/>
      <c r="D492" s="163"/>
      <c r="E492" s="60"/>
      <c r="F492" s="146"/>
      <c r="G492" s="147"/>
      <c r="H492" s="148"/>
      <c r="I492" s="214"/>
      <c r="J492" s="216"/>
      <c r="K492" s="117"/>
      <c r="L492" s="118"/>
      <c r="M492" s="206"/>
      <c r="N492" s="251"/>
      <c r="O492" s="207"/>
      <c r="P492" s="214"/>
      <c r="Q492" s="216"/>
      <c r="R492" s="711"/>
      <c r="S492" s="712"/>
      <c r="T492" s="214"/>
      <c r="U492" s="216"/>
      <c r="V492" s="117"/>
      <c r="W492" s="118"/>
      <c r="X492" s="244"/>
      <c r="Y492" s="245"/>
      <c r="Z492" s="246"/>
      <c r="AA492" s="146"/>
      <c r="AB492" s="148"/>
      <c r="AC492" s="155"/>
      <c r="AD492" s="157"/>
      <c r="AE492" s="31"/>
      <c r="AF492" s="272"/>
      <c r="AG492" s="282"/>
      <c r="AH492" s="273"/>
      <c r="AI492" s="167"/>
      <c r="AJ492" s="122"/>
      <c r="AK492" s="122"/>
      <c r="AL492" s="122"/>
    </row>
    <row r="493" spans="1:38" ht="15.5" x14ac:dyDescent="0.35">
      <c r="A493" s="179"/>
      <c r="B493" s="162"/>
      <c r="C493" s="170"/>
      <c r="D493" s="163"/>
      <c r="E493" s="59" t="s">
        <v>1881</v>
      </c>
      <c r="F493" s="143" t="s">
        <v>1882</v>
      </c>
      <c r="G493" s="144"/>
      <c r="H493" s="145"/>
      <c r="I493" s="164"/>
      <c r="J493" s="166"/>
      <c r="K493" s="88" t="s">
        <v>1883</v>
      </c>
      <c r="L493" s="89"/>
      <c r="M493" s="204">
        <v>392</v>
      </c>
      <c r="N493" s="250"/>
      <c r="O493" s="205"/>
      <c r="P493" s="164"/>
      <c r="Q493" s="166"/>
      <c r="R493" s="707">
        <v>210</v>
      </c>
      <c r="S493" s="708"/>
      <c r="T493" s="164"/>
      <c r="U493" s="166"/>
      <c r="V493" s="88" t="s">
        <v>1884</v>
      </c>
      <c r="W493" s="89"/>
      <c r="X493" s="241">
        <v>1028</v>
      </c>
      <c r="Y493" s="242"/>
      <c r="Z493" s="243"/>
      <c r="AA493" s="143" t="s">
        <v>768</v>
      </c>
      <c r="AB493" s="145"/>
      <c r="AC493" s="155"/>
      <c r="AD493" s="157"/>
      <c r="AE493" s="31"/>
      <c r="AF493" s="272"/>
      <c r="AG493" s="282"/>
      <c r="AH493" s="273"/>
      <c r="AI493" s="167"/>
      <c r="AJ493" s="122"/>
      <c r="AK493" s="122"/>
      <c r="AL493" s="122"/>
    </row>
    <row r="494" spans="1:38" ht="15" x14ac:dyDescent="0.3">
      <c r="A494" s="179"/>
      <c r="B494" s="162"/>
      <c r="C494" s="170"/>
      <c r="D494" s="163"/>
      <c r="E494" s="81"/>
      <c r="F494" s="104"/>
      <c r="G494" s="202"/>
      <c r="H494" s="105"/>
      <c r="I494" s="167"/>
      <c r="J494" s="169"/>
      <c r="K494" s="126"/>
      <c r="L494" s="127"/>
      <c r="M494" s="231"/>
      <c r="N494" s="683"/>
      <c r="O494" s="232"/>
      <c r="P494" s="167"/>
      <c r="Q494" s="169"/>
      <c r="R494" s="709"/>
      <c r="S494" s="710"/>
      <c r="T494" s="167"/>
      <c r="U494" s="169"/>
      <c r="V494" s="126"/>
      <c r="W494" s="127"/>
      <c r="X494" s="247"/>
      <c r="Y494" s="248"/>
      <c r="Z494" s="249"/>
      <c r="AA494" s="104"/>
      <c r="AB494" s="105"/>
      <c r="AC494" s="155"/>
      <c r="AD494" s="157"/>
      <c r="AE494" s="31"/>
      <c r="AF494" s="272"/>
      <c r="AG494" s="282"/>
      <c r="AH494" s="273"/>
      <c r="AI494" s="167"/>
      <c r="AJ494" s="203" t="s">
        <v>809</v>
      </c>
      <c r="AK494" s="203"/>
      <c r="AL494" s="203"/>
    </row>
    <row r="495" spans="1:38" ht="15.5" x14ac:dyDescent="0.35">
      <c r="A495" s="230"/>
      <c r="B495" s="212"/>
      <c r="C495" s="408"/>
      <c r="D495" s="213"/>
      <c r="E495" s="60"/>
      <c r="F495" s="146"/>
      <c r="G495" s="147"/>
      <c r="H495" s="148"/>
      <c r="I495" s="214"/>
      <c r="J495" s="216"/>
      <c r="K495" s="117"/>
      <c r="L495" s="118"/>
      <c r="M495" s="206"/>
      <c r="N495" s="251"/>
      <c r="O495" s="207"/>
      <c r="P495" s="214"/>
      <c r="Q495" s="216"/>
      <c r="R495" s="711"/>
      <c r="S495" s="712"/>
      <c r="T495" s="214"/>
      <c r="U495" s="216"/>
      <c r="V495" s="117"/>
      <c r="W495" s="118"/>
      <c r="X495" s="244"/>
      <c r="Y495" s="245"/>
      <c r="Z495" s="246"/>
      <c r="AA495" s="146"/>
      <c r="AB495" s="148"/>
      <c r="AC495" s="160"/>
      <c r="AD495" s="161"/>
      <c r="AE495" s="31"/>
      <c r="AF495" s="194"/>
      <c r="AG495" s="197"/>
      <c r="AH495" s="195"/>
      <c r="AI495" s="167"/>
      <c r="AJ495" s="122"/>
      <c r="AK495" s="122"/>
      <c r="AL495" s="122"/>
    </row>
    <row r="496" spans="1:38" ht="90" x14ac:dyDescent="0.35">
      <c r="A496" s="178"/>
      <c r="B496" s="171" t="s">
        <v>1885</v>
      </c>
      <c r="C496" s="407"/>
      <c r="D496" s="172"/>
      <c r="E496" s="61" t="s">
        <v>1886</v>
      </c>
      <c r="F496" s="171" t="s">
        <v>1887</v>
      </c>
      <c r="G496" s="407"/>
      <c r="H496" s="172"/>
      <c r="I496" s="223" t="s">
        <v>1888</v>
      </c>
      <c r="J496" s="224"/>
      <c r="K496" s="164"/>
      <c r="L496" s="166"/>
      <c r="M496" s="204">
        <v>330</v>
      </c>
      <c r="N496" s="250"/>
      <c r="O496" s="205"/>
      <c r="P496" s="149"/>
      <c r="Q496" s="150"/>
      <c r="R496" s="204">
        <v>80</v>
      </c>
      <c r="S496" s="205"/>
      <c r="T496" s="149"/>
      <c r="U496" s="150"/>
      <c r="V496" s="88" t="s">
        <v>1310</v>
      </c>
      <c r="W496" s="89"/>
      <c r="X496" s="241">
        <v>550</v>
      </c>
      <c r="Y496" s="242"/>
      <c r="Z496" s="243"/>
      <c r="AA496" s="143" t="s">
        <v>1261</v>
      </c>
      <c r="AB496" s="145"/>
      <c r="AC496" s="88" t="s">
        <v>675</v>
      </c>
      <c r="AD496" s="89"/>
      <c r="AE496" s="44" t="s">
        <v>1890</v>
      </c>
      <c r="AF496" s="192" t="s">
        <v>683</v>
      </c>
      <c r="AG496" s="196"/>
      <c r="AH496" s="193"/>
      <c r="AI496" s="167"/>
      <c r="AJ496" s="122"/>
      <c r="AK496" s="122"/>
      <c r="AL496" s="122"/>
    </row>
    <row r="497" spans="1:38" ht="45" x14ac:dyDescent="0.3">
      <c r="A497" s="179"/>
      <c r="B497" s="162"/>
      <c r="C497" s="170"/>
      <c r="D497" s="163"/>
      <c r="E497" s="82"/>
      <c r="F497" s="162"/>
      <c r="G497" s="170"/>
      <c r="H497" s="163"/>
      <c r="I497" s="239"/>
      <c r="J497" s="240"/>
      <c r="K497" s="167"/>
      <c r="L497" s="169"/>
      <c r="M497" s="231"/>
      <c r="N497" s="683"/>
      <c r="O497" s="232"/>
      <c r="P497" s="135"/>
      <c r="Q497" s="137"/>
      <c r="R497" s="231"/>
      <c r="S497" s="232"/>
      <c r="T497" s="135"/>
      <c r="U497" s="137"/>
      <c r="V497" s="126"/>
      <c r="W497" s="127"/>
      <c r="X497" s="247"/>
      <c r="Y497" s="248"/>
      <c r="Z497" s="249"/>
      <c r="AA497" s="104"/>
      <c r="AB497" s="105"/>
      <c r="AC497" s="126" t="s">
        <v>1889</v>
      </c>
      <c r="AD497" s="127"/>
      <c r="AE497" s="40" t="s">
        <v>1356</v>
      </c>
      <c r="AF497" s="272"/>
      <c r="AG497" s="282"/>
      <c r="AH497" s="273"/>
      <c r="AI497" s="167"/>
      <c r="AJ497" s="203" t="s">
        <v>809</v>
      </c>
      <c r="AK497" s="203"/>
      <c r="AL497" s="203"/>
    </row>
    <row r="498" spans="1:38" ht="60" x14ac:dyDescent="0.35">
      <c r="A498" s="179"/>
      <c r="B498" s="162"/>
      <c r="C498" s="170"/>
      <c r="D498" s="163"/>
      <c r="E498" s="62"/>
      <c r="F498" s="162"/>
      <c r="G498" s="170"/>
      <c r="H498" s="163"/>
      <c r="I498" s="239"/>
      <c r="J498" s="240"/>
      <c r="K498" s="167"/>
      <c r="L498" s="169"/>
      <c r="M498" s="206"/>
      <c r="N498" s="251"/>
      <c r="O498" s="207"/>
      <c r="P498" s="151"/>
      <c r="Q498" s="152"/>
      <c r="R498" s="206"/>
      <c r="S498" s="207"/>
      <c r="T498" s="151"/>
      <c r="U498" s="152"/>
      <c r="V498" s="117"/>
      <c r="W498" s="118"/>
      <c r="X498" s="244"/>
      <c r="Y498" s="245"/>
      <c r="Z498" s="246"/>
      <c r="AA498" s="146"/>
      <c r="AB498" s="148"/>
      <c r="AC498" s="126"/>
      <c r="AD498" s="127"/>
      <c r="AE498" s="40" t="s">
        <v>1891</v>
      </c>
      <c r="AF498" s="272"/>
      <c r="AG498" s="282"/>
      <c r="AH498" s="273"/>
      <c r="AI498" s="167"/>
      <c r="AJ498" s="122"/>
      <c r="AK498" s="122"/>
      <c r="AL498" s="122"/>
    </row>
    <row r="499" spans="1:38" ht="15.5" x14ac:dyDescent="0.35">
      <c r="A499" s="179"/>
      <c r="B499" s="162"/>
      <c r="C499" s="170"/>
      <c r="D499" s="163"/>
      <c r="E499" s="61" t="s">
        <v>1892</v>
      </c>
      <c r="F499" s="162"/>
      <c r="G499" s="170"/>
      <c r="H499" s="163"/>
      <c r="I499" s="239"/>
      <c r="J499" s="240"/>
      <c r="K499" s="167"/>
      <c r="L499" s="169"/>
      <c r="M499" s="204">
        <v>330</v>
      </c>
      <c r="N499" s="250"/>
      <c r="O499" s="205"/>
      <c r="P499" s="149"/>
      <c r="Q499" s="150"/>
      <c r="R499" s="204">
        <v>80</v>
      </c>
      <c r="S499" s="205"/>
      <c r="T499" s="149"/>
      <c r="U499" s="150"/>
      <c r="V499" s="88" t="s">
        <v>1310</v>
      </c>
      <c r="W499" s="89"/>
      <c r="X499" s="241">
        <v>550</v>
      </c>
      <c r="Y499" s="242"/>
      <c r="Z499" s="243"/>
      <c r="AA499" s="143" t="s">
        <v>1261</v>
      </c>
      <c r="AB499" s="145"/>
      <c r="AC499" s="126"/>
      <c r="AD499" s="127"/>
      <c r="AE499" s="40"/>
      <c r="AF499" s="272"/>
      <c r="AG499" s="282"/>
      <c r="AH499" s="273"/>
      <c r="AI499" s="167"/>
      <c r="AJ499" s="122"/>
      <c r="AK499" s="122"/>
      <c r="AL499" s="122"/>
    </row>
    <row r="500" spans="1:38" ht="15" x14ac:dyDescent="0.3">
      <c r="A500" s="179"/>
      <c r="B500" s="162"/>
      <c r="C500" s="170"/>
      <c r="D500" s="163"/>
      <c r="E500" s="82"/>
      <c r="F500" s="162"/>
      <c r="G500" s="170"/>
      <c r="H500" s="163"/>
      <c r="I500" s="239"/>
      <c r="J500" s="240"/>
      <c r="K500" s="167"/>
      <c r="L500" s="169"/>
      <c r="M500" s="231"/>
      <c r="N500" s="683"/>
      <c r="O500" s="232"/>
      <c r="P500" s="135"/>
      <c r="Q500" s="137"/>
      <c r="R500" s="231"/>
      <c r="S500" s="232"/>
      <c r="T500" s="135"/>
      <c r="U500" s="137"/>
      <c r="V500" s="126"/>
      <c r="W500" s="127"/>
      <c r="X500" s="247"/>
      <c r="Y500" s="248"/>
      <c r="Z500" s="249"/>
      <c r="AA500" s="104"/>
      <c r="AB500" s="105"/>
      <c r="AC500" s="126"/>
      <c r="AD500" s="127"/>
      <c r="AE500" s="40"/>
      <c r="AF500" s="272"/>
      <c r="AG500" s="282"/>
      <c r="AH500" s="273"/>
      <c r="AI500" s="167"/>
      <c r="AJ500" s="203" t="s">
        <v>809</v>
      </c>
      <c r="AK500" s="203"/>
      <c r="AL500" s="203"/>
    </row>
    <row r="501" spans="1:38" ht="15.5" x14ac:dyDescent="0.35">
      <c r="A501" s="179"/>
      <c r="B501" s="162"/>
      <c r="C501" s="170"/>
      <c r="D501" s="163"/>
      <c r="E501" s="62"/>
      <c r="F501" s="162"/>
      <c r="G501" s="170"/>
      <c r="H501" s="163"/>
      <c r="I501" s="239"/>
      <c r="J501" s="240"/>
      <c r="K501" s="167"/>
      <c r="L501" s="169"/>
      <c r="M501" s="206"/>
      <c r="N501" s="251"/>
      <c r="O501" s="207"/>
      <c r="P501" s="151"/>
      <c r="Q501" s="152"/>
      <c r="R501" s="206"/>
      <c r="S501" s="207"/>
      <c r="T501" s="151"/>
      <c r="U501" s="152"/>
      <c r="V501" s="117"/>
      <c r="W501" s="118"/>
      <c r="X501" s="244"/>
      <c r="Y501" s="245"/>
      <c r="Z501" s="246"/>
      <c r="AA501" s="146"/>
      <c r="AB501" s="148"/>
      <c r="AC501" s="126"/>
      <c r="AD501" s="127"/>
      <c r="AE501" s="40"/>
      <c r="AF501" s="272"/>
      <c r="AG501" s="282"/>
      <c r="AH501" s="273"/>
      <c r="AI501" s="167"/>
      <c r="AJ501" s="122"/>
      <c r="AK501" s="122"/>
      <c r="AL501" s="122"/>
    </row>
    <row r="502" spans="1:38" ht="15.5" x14ac:dyDescent="0.35">
      <c r="A502" s="179"/>
      <c r="B502" s="162"/>
      <c r="C502" s="170"/>
      <c r="D502" s="163"/>
      <c r="E502" s="61" t="s">
        <v>1893</v>
      </c>
      <c r="F502" s="162"/>
      <c r="G502" s="170"/>
      <c r="H502" s="163"/>
      <c r="I502" s="239"/>
      <c r="J502" s="240"/>
      <c r="K502" s="167"/>
      <c r="L502" s="169"/>
      <c r="M502" s="204">
        <v>330</v>
      </c>
      <c r="N502" s="250"/>
      <c r="O502" s="205"/>
      <c r="P502" s="149"/>
      <c r="Q502" s="150"/>
      <c r="R502" s="204">
        <v>80</v>
      </c>
      <c r="S502" s="205"/>
      <c r="T502" s="149"/>
      <c r="U502" s="150"/>
      <c r="V502" s="88" t="s">
        <v>1310</v>
      </c>
      <c r="W502" s="89"/>
      <c r="X502" s="241">
        <v>550</v>
      </c>
      <c r="Y502" s="242"/>
      <c r="Z502" s="243"/>
      <c r="AA502" s="143" t="s">
        <v>1261</v>
      </c>
      <c r="AB502" s="145"/>
      <c r="AC502" s="126"/>
      <c r="AD502" s="127"/>
      <c r="AE502" s="40"/>
      <c r="AF502" s="272"/>
      <c r="AG502" s="282"/>
      <c r="AH502" s="273"/>
      <c r="AI502" s="167"/>
      <c r="AJ502" s="122"/>
      <c r="AK502" s="122"/>
      <c r="AL502" s="122"/>
    </row>
    <row r="503" spans="1:38" ht="15" x14ac:dyDescent="0.3">
      <c r="A503" s="179"/>
      <c r="B503" s="162"/>
      <c r="C503" s="170"/>
      <c r="D503" s="163"/>
      <c r="E503" s="82"/>
      <c r="F503" s="162"/>
      <c r="G503" s="170"/>
      <c r="H503" s="163"/>
      <c r="I503" s="239"/>
      <c r="J503" s="240"/>
      <c r="K503" s="167"/>
      <c r="L503" s="169"/>
      <c r="M503" s="231"/>
      <c r="N503" s="683"/>
      <c r="O503" s="232"/>
      <c r="P503" s="135"/>
      <c r="Q503" s="137"/>
      <c r="R503" s="231"/>
      <c r="S503" s="232"/>
      <c r="T503" s="135"/>
      <c r="U503" s="137"/>
      <c r="V503" s="126"/>
      <c r="W503" s="127"/>
      <c r="X503" s="247"/>
      <c r="Y503" s="248"/>
      <c r="Z503" s="249"/>
      <c r="AA503" s="104"/>
      <c r="AB503" s="105"/>
      <c r="AC503" s="126"/>
      <c r="AD503" s="127"/>
      <c r="AE503" s="40"/>
      <c r="AF503" s="272"/>
      <c r="AG503" s="282"/>
      <c r="AH503" s="273"/>
      <c r="AI503" s="167"/>
      <c r="AJ503" s="203" t="s">
        <v>809</v>
      </c>
      <c r="AK503" s="203"/>
      <c r="AL503" s="203"/>
    </row>
    <row r="504" spans="1:38" ht="15.5" x14ac:dyDescent="0.35">
      <c r="A504" s="179"/>
      <c r="B504" s="162"/>
      <c r="C504" s="170"/>
      <c r="D504" s="163"/>
      <c r="E504" s="62"/>
      <c r="F504" s="162"/>
      <c r="G504" s="170"/>
      <c r="H504" s="163"/>
      <c r="I504" s="239"/>
      <c r="J504" s="240"/>
      <c r="K504" s="167"/>
      <c r="L504" s="169"/>
      <c r="M504" s="206"/>
      <c r="N504" s="251"/>
      <c r="O504" s="207"/>
      <c r="P504" s="151"/>
      <c r="Q504" s="152"/>
      <c r="R504" s="206"/>
      <c r="S504" s="207"/>
      <c r="T504" s="151"/>
      <c r="U504" s="152"/>
      <c r="V504" s="117"/>
      <c r="W504" s="118"/>
      <c r="X504" s="244"/>
      <c r="Y504" s="245"/>
      <c r="Z504" s="246"/>
      <c r="AA504" s="146"/>
      <c r="AB504" s="148"/>
      <c r="AC504" s="126"/>
      <c r="AD504" s="127"/>
      <c r="AE504" s="40"/>
      <c r="AF504" s="272"/>
      <c r="AG504" s="282"/>
      <c r="AH504" s="273"/>
      <c r="AI504" s="167"/>
      <c r="AJ504" s="122"/>
      <c r="AK504" s="122"/>
      <c r="AL504" s="122"/>
    </row>
    <row r="505" spans="1:38" ht="15.5" x14ac:dyDescent="0.35">
      <c r="A505" s="179"/>
      <c r="B505" s="162"/>
      <c r="C505" s="170"/>
      <c r="D505" s="163"/>
      <c r="E505" s="61" t="s">
        <v>1894</v>
      </c>
      <c r="F505" s="162"/>
      <c r="G505" s="170"/>
      <c r="H505" s="163"/>
      <c r="I505" s="239"/>
      <c r="J505" s="240"/>
      <c r="K505" s="167"/>
      <c r="L505" s="169"/>
      <c r="M505" s="204">
        <v>330</v>
      </c>
      <c r="N505" s="250"/>
      <c r="O505" s="205"/>
      <c r="P505" s="149"/>
      <c r="Q505" s="150"/>
      <c r="R505" s="204">
        <v>80</v>
      </c>
      <c r="S505" s="205"/>
      <c r="T505" s="149"/>
      <c r="U505" s="150"/>
      <c r="V505" s="88" t="s">
        <v>1310</v>
      </c>
      <c r="W505" s="89"/>
      <c r="X505" s="241">
        <v>550</v>
      </c>
      <c r="Y505" s="242"/>
      <c r="Z505" s="243"/>
      <c r="AA505" s="143" t="s">
        <v>1261</v>
      </c>
      <c r="AB505" s="145"/>
      <c r="AC505" s="126"/>
      <c r="AD505" s="127"/>
      <c r="AE505" s="40"/>
      <c r="AF505" s="272"/>
      <c r="AG505" s="282"/>
      <c r="AH505" s="273"/>
      <c r="AI505" s="167"/>
      <c r="AJ505" s="122"/>
      <c r="AK505" s="122"/>
      <c r="AL505" s="122"/>
    </row>
    <row r="506" spans="1:38" ht="15" x14ac:dyDescent="0.3">
      <c r="A506" s="179"/>
      <c r="B506" s="162"/>
      <c r="C506" s="170"/>
      <c r="D506" s="163"/>
      <c r="E506" s="82"/>
      <c r="F506" s="162"/>
      <c r="G506" s="170"/>
      <c r="H506" s="163"/>
      <c r="I506" s="239"/>
      <c r="J506" s="240"/>
      <c r="K506" s="167"/>
      <c r="L506" s="169"/>
      <c r="M506" s="231"/>
      <c r="N506" s="683"/>
      <c r="O506" s="232"/>
      <c r="P506" s="135"/>
      <c r="Q506" s="137"/>
      <c r="R506" s="231"/>
      <c r="S506" s="232"/>
      <c r="T506" s="135"/>
      <c r="U506" s="137"/>
      <c r="V506" s="126"/>
      <c r="W506" s="127"/>
      <c r="X506" s="247"/>
      <c r="Y506" s="248"/>
      <c r="Z506" s="249"/>
      <c r="AA506" s="104"/>
      <c r="AB506" s="105"/>
      <c r="AC506" s="126"/>
      <c r="AD506" s="127"/>
      <c r="AE506" s="40"/>
      <c r="AF506" s="272"/>
      <c r="AG506" s="282"/>
      <c r="AH506" s="273"/>
      <c r="AI506" s="167"/>
      <c r="AJ506" s="203" t="s">
        <v>809</v>
      </c>
      <c r="AK506" s="203"/>
      <c r="AL506" s="203"/>
    </row>
    <row r="507" spans="1:38" ht="15.5" x14ac:dyDescent="0.35">
      <c r="A507" s="179"/>
      <c r="B507" s="162"/>
      <c r="C507" s="170"/>
      <c r="D507" s="163"/>
      <c r="E507" s="62"/>
      <c r="F507" s="162"/>
      <c r="G507" s="170"/>
      <c r="H507" s="163"/>
      <c r="I507" s="239"/>
      <c r="J507" s="240"/>
      <c r="K507" s="167"/>
      <c r="L507" s="169"/>
      <c r="M507" s="206"/>
      <c r="N507" s="251"/>
      <c r="O507" s="207"/>
      <c r="P507" s="151"/>
      <c r="Q507" s="152"/>
      <c r="R507" s="206"/>
      <c r="S507" s="207"/>
      <c r="T507" s="151"/>
      <c r="U507" s="152"/>
      <c r="V507" s="117"/>
      <c r="W507" s="118"/>
      <c r="X507" s="244"/>
      <c r="Y507" s="245"/>
      <c r="Z507" s="246"/>
      <c r="AA507" s="146"/>
      <c r="AB507" s="148"/>
      <c r="AC507" s="126"/>
      <c r="AD507" s="127"/>
      <c r="AE507" s="40"/>
      <c r="AF507" s="272"/>
      <c r="AG507" s="282"/>
      <c r="AH507" s="273"/>
      <c r="AI507" s="167"/>
      <c r="AJ507" s="122"/>
      <c r="AK507" s="122"/>
      <c r="AL507" s="122"/>
    </row>
    <row r="508" spans="1:38" ht="15.5" x14ac:dyDescent="0.35">
      <c r="A508" s="179"/>
      <c r="B508" s="162"/>
      <c r="C508" s="170"/>
      <c r="D508" s="163"/>
      <c r="E508" s="61" t="s">
        <v>1895</v>
      </c>
      <c r="F508" s="162"/>
      <c r="G508" s="170"/>
      <c r="H508" s="163"/>
      <c r="I508" s="239"/>
      <c r="J508" s="240"/>
      <c r="K508" s="167"/>
      <c r="L508" s="169"/>
      <c r="M508" s="204">
        <v>330</v>
      </c>
      <c r="N508" s="250"/>
      <c r="O508" s="205"/>
      <c r="P508" s="149"/>
      <c r="Q508" s="150"/>
      <c r="R508" s="204">
        <v>80</v>
      </c>
      <c r="S508" s="205"/>
      <c r="T508" s="149"/>
      <c r="U508" s="150"/>
      <c r="V508" s="88" t="s">
        <v>1310</v>
      </c>
      <c r="W508" s="89"/>
      <c r="X508" s="241">
        <v>550</v>
      </c>
      <c r="Y508" s="242"/>
      <c r="Z508" s="243"/>
      <c r="AA508" s="143" t="s">
        <v>1261</v>
      </c>
      <c r="AB508" s="145"/>
      <c r="AC508" s="126"/>
      <c r="AD508" s="127"/>
      <c r="AE508" s="40"/>
      <c r="AF508" s="272"/>
      <c r="AG508" s="282"/>
      <c r="AH508" s="273"/>
      <c r="AI508" s="167"/>
      <c r="AJ508" s="122"/>
      <c r="AK508" s="122"/>
      <c r="AL508" s="122"/>
    </row>
    <row r="509" spans="1:38" ht="15" x14ac:dyDescent="0.3">
      <c r="A509" s="179"/>
      <c r="B509" s="162"/>
      <c r="C509" s="170"/>
      <c r="D509" s="163"/>
      <c r="E509" s="82"/>
      <c r="F509" s="162"/>
      <c r="G509" s="170"/>
      <c r="H509" s="163"/>
      <c r="I509" s="239"/>
      <c r="J509" s="240"/>
      <c r="K509" s="167"/>
      <c r="L509" s="169"/>
      <c r="M509" s="231"/>
      <c r="N509" s="683"/>
      <c r="O509" s="232"/>
      <c r="P509" s="135"/>
      <c r="Q509" s="137"/>
      <c r="R509" s="231"/>
      <c r="S509" s="232"/>
      <c r="T509" s="135"/>
      <c r="U509" s="137"/>
      <c r="V509" s="126"/>
      <c r="W509" s="127"/>
      <c r="X509" s="247"/>
      <c r="Y509" s="248"/>
      <c r="Z509" s="249"/>
      <c r="AA509" s="104"/>
      <c r="AB509" s="105"/>
      <c r="AC509" s="126"/>
      <c r="AD509" s="127"/>
      <c r="AE509" s="40"/>
      <c r="AF509" s="272"/>
      <c r="AG509" s="282"/>
      <c r="AH509" s="273"/>
      <c r="AI509" s="167"/>
      <c r="AJ509" s="203" t="s">
        <v>809</v>
      </c>
      <c r="AK509" s="203"/>
      <c r="AL509" s="203"/>
    </row>
    <row r="510" spans="1:38" ht="15.5" x14ac:dyDescent="0.35">
      <c r="A510" s="179"/>
      <c r="B510" s="162"/>
      <c r="C510" s="170"/>
      <c r="D510" s="163"/>
      <c r="E510" s="62"/>
      <c r="F510" s="162"/>
      <c r="G510" s="170"/>
      <c r="H510" s="163"/>
      <c r="I510" s="239"/>
      <c r="J510" s="240"/>
      <c r="K510" s="167"/>
      <c r="L510" s="169"/>
      <c r="M510" s="206"/>
      <c r="N510" s="251"/>
      <c r="O510" s="207"/>
      <c r="P510" s="151"/>
      <c r="Q510" s="152"/>
      <c r="R510" s="206"/>
      <c r="S510" s="207"/>
      <c r="T510" s="151"/>
      <c r="U510" s="152"/>
      <c r="V510" s="117"/>
      <c r="W510" s="118"/>
      <c r="X510" s="244"/>
      <c r="Y510" s="245"/>
      <c r="Z510" s="246"/>
      <c r="AA510" s="146"/>
      <c r="AB510" s="148"/>
      <c r="AC510" s="126"/>
      <c r="AD510" s="127"/>
      <c r="AE510" s="40"/>
      <c r="AF510" s="272"/>
      <c r="AG510" s="282"/>
      <c r="AH510" s="273"/>
      <c r="AI510" s="167"/>
      <c r="AJ510" s="122"/>
      <c r="AK510" s="122"/>
      <c r="AL510" s="122"/>
    </row>
    <row r="511" spans="1:38" ht="15.5" x14ac:dyDescent="0.35">
      <c r="A511" s="179"/>
      <c r="B511" s="162"/>
      <c r="C511" s="170"/>
      <c r="D511" s="163"/>
      <c r="E511" s="61" t="s">
        <v>1896</v>
      </c>
      <c r="F511" s="162"/>
      <c r="G511" s="170"/>
      <c r="H511" s="163"/>
      <c r="I511" s="239"/>
      <c r="J511" s="240"/>
      <c r="K511" s="167"/>
      <c r="L511" s="169"/>
      <c r="M511" s="204">
        <v>330</v>
      </c>
      <c r="N511" s="250"/>
      <c r="O511" s="205"/>
      <c r="P511" s="149"/>
      <c r="Q511" s="150"/>
      <c r="R511" s="204">
        <v>80</v>
      </c>
      <c r="S511" s="205"/>
      <c r="T511" s="149"/>
      <c r="U511" s="150"/>
      <c r="V511" s="88" t="s">
        <v>1310</v>
      </c>
      <c r="W511" s="89"/>
      <c r="X511" s="241">
        <v>550</v>
      </c>
      <c r="Y511" s="242"/>
      <c r="Z511" s="243"/>
      <c r="AA511" s="143" t="s">
        <v>1261</v>
      </c>
      <c r="AB511" s="145"/>
      <c r="AC511" s="126"/>
      <c r="AD511" s="127"/>
      <c r="AE511" s="40"/>
      <c r="AF511" s="272"/>
      <c r="AG511" s="282"/>
      <c r="AH511" s="273"/>
      <c r="AI511" s="167"/>
      <c r="AJ511" s="122"/>
      <c r="AK511" s="122"/>
      <c r="AL511" s="122"/>
    </row>
    <row r="512" spans="1:38" ht="15" x14ac:dyDescent="0.3">
      <c r="A512" s="179"/>
      <c r="B512" s="162"/>
      <c r="C512" s="170"/>
      <c r="D512" s="163"/>
      <c r="E512" s="82"/>
      <c r="F512" s="162"/>
      <c r="G512" s="170"/>
      <c r="H512" s="163"/>
      <c r="I512" s="239"/>
      <c r="J512" s="240"/>
      <c r="K512" s="167"/>
      <c r="L512" s="169"/>
      <c r="M512" s="231"/>
      <c r="N512" s="683"/>
      <c r="O512" s="232"/>
      <c r="P512" s="135"/>
      <c r="Q512" s="137"/>
      <c r="R512" s="231"/>
      <c r="S512" s="232"/>
      <c r="T512" s="135"/>
      <c r="U512" s="137"/>
      <c r="V512" s="126"/>
      <c r="W512" s="127"/>
      <c r="X512" s="247"/>
      <c r="Y512" s="248"/>
      <c r="Z512" s="249"/>
      <c r="AA512" s="104"/>
      <c r="AB512" s="105"/>
      <c r="AC512" s="126"/>
      <c r="AD512" s="127"/>
      <c r="AE512" s="40"/>
      <c r="AF512" s="272"/>
      <c r="AG512" s="282"/>
      <c r="AH512" s="273"/>
      <c r="AI512" s="167"/>
      <c r="AJ512" s="203" t="s">
        <v>809</v>
      </c>
      <c r="AK512" s="203"/>
      <c r="AL512" s="203"/>
    </row>
    <row r="513" spans="1:38" ht="15.5" x14ac:dyDescent="0.35">
      <c r="A513" s="179"/>
      <c r="B513" s="162"/>
      <c r="C513" s="170"/>
      <c r="D513" s="163"/>
      <c r="E513" s="62"/>
      <c r="F513" s="162"/>
      <c r="G513" s="170"/>
      <c r="H513" s="163"/>
      <c r="I513" s="239"/>
      <c r="J513" s="240"/>
      <c r="K513" s="167"/>
      <c r="L513" s="169"/>
      <c r="M513" s="206"/>
      <c r="N513" s="251"/>
      <c r="O513" s="207"/>
      <c r="P513" s="151"/>
      <c r="Q513" s="152"/>
      <c r="R513" s="206"/>
      <c r="S513" s="207"/>
      <c r="T513" s="151"/>
      <c r="U513" s="152"/>
      <c r="V513" s="117"/>
      <c r="W513" s="118"/>
      <c r="X513" s="244"/>
      <c r="Y513" s="245"/>
      <c r="Z513" s="246"/>
      <c r="AA513" s="146"/>
      <c r="AB513" s="148"/>
      <c r="AC513" s="126"/>
      <c r="AD513" s="127"/>
      <c r="AE513" s="40"/>
      <c r="AF513" s="272"/>
      <c r="AG513" s="282"/>
      <c r="AH513" s="273"/>
      <c r="AI513" s="167"/>
      <c r="AJ513" s="122"/>
      <c r="AK513" s="122"/>
      <c r="AL513" s="122"/>
    </row>
    <row r="514" spans="1:38" ht="15.5" x14ac:dyDescent="0.35">
      <c r="A514" s="179"/>
      <c r="B514" s="162"/>
      <c r="C514" s="170"/>
      <c r="D514" s="163"/>
      <c r="E514" s="61" t="s">
        <v>1897</v>
      </c>
      <c r="F514" s="162"/>
      <c r="G514" s="170"/>
      <c r="H514" s="163"/>
      <c r="I514" s="239"/>
      <c r="J514" s="240"/>
      <c r="K514" s="167"/>
      <c r="L514" s="169"/>
      <c r="M514" s="204">
        <v>330</v>
      </c>
      <c r="N514" s="250"/>
      <c r="O514" s="205"/>
      <c r="P514" s="149"/>
      <c r="Q514" s="150"/>
      <c r="R514" s="204">
        <v>80</v>
      </c>
      <c r="S514" s="205"/>
      <c r="T514" s="149"/>
      <c r="U514" s="150"/>
      <c r="V514" s="88" t="s">
        <v>1310</v>
      </c>
      <c r="W514" s="89"/>
      <c r="X514" s="241">
        <v>550</v>
      </c>
      <c r="Y514" s="242"/>
      <c r="Z514" s="243"/>
      <c r="AA514" s="143" t="s">
        <v>1261</v>
      </c>
      <c r="AB514" s="145"/>
      <c r="AC514" s="126"/>
      <c r="AD514" s="127"/>
      <c r="AE514" s="40"/>
      <c r="AF514" s="272"/>
      <c r="AG514" s="282"/>
      <c r="AH514" s="273"/>
      <c r="AI514" s="167"/>
      <c r="AJ514" s="122"/>
      <c r="AK514" s="122"/>
      <c r="AL514" s="122"/>
    </row>
    <row r="515" spans="1:38" ht="15" x14ac:dyDescent="0.3">
      <c r="A515" s="179"/>
      <c r="B515" s="162"/>
      <c r="C515" s="170"/>
      <c r="D515" s="163"/>
      <c r="E515" s="82"/>
      <c r="F515" s="162"/>
      <c r="G515" s="170"/>
      <c r="H515" s="163"/>
      <c r="I515" s="239"/>
      <c r="J515" s="240"/>
      <c r="K515" s="167"/>
      <c r="L515" s="169"/>
      <c r="M515" s="231"/>
      <c r="N515" s="683"/>
      <c r="O515" s="232"/>
      <c r="P515" s="135"/>
      <c r="Q515" s="137"/>
      <c r="R515" s="231"/>
      <c r="S515" s="232"/>
      <c r="T515" s="135"/>
      <c r="U515" s="137"/>
      <c r="V515" s="126"/>
      <c r="W515" s="127"/>
      <c r="X515" s="247"/>
      <c r="Y515" s="248"/>
      <c r="Z515" s="249"/>
      <c r="AA515" s="104"/>
      <c r="AB515" s="105"/>
      <c r="AC515" s="126"/>
      <c r="AD515" s="127"/>
      <c r="AE515" s="40"/>
      <c r="AF515" s="272"/>
      <c r="AG515" s="282"/>
      <c r="AH515" s="273"/>
      <c r="AI515" s="167"/>
      <c r="AJ515" s="203" t="s">
        <v>809</v>
      </c>
      <c r="AK515" s="203"/>
      <c r="AL515" s="203"/>
    </row>
    <row r="516" spans="1:38" ht="15.5" x14ac:dyDescent="0.35">
      <c r="A516" s="179"/>
      <c r="B516" s="162"/>
      <c r="C516" s="170"/>
      <c r="D516" s="163"/>
      <c r="E516" s="62"/>
      <c r="F516" s="162"/>
      <c r="G516" s="170"/>
      <c r="H516" s="163"/>
      <c r="I516" s="239"/>
      <c r="J516" s="240"/>
      <c r="K516" s="167"/>
      <c r="L516" s="169"/>
      <c r="M516" s="206"/>
      <c r="N516" s="251"/>
      <c r="O516" s="207"/>
      <c r="P516" s="151"/>
      <c r="Q516" s="152"/>
      <c r="R516" s="206"/>
      <c r="S516" s="207"/>
      <c r="T516" s="151"/>
      <c r="U516" s="152"/>
      <c r="V516" s="117"/>
      <c r="W516" s="118"/>
      <c r="X516" s="244"/>
      <c r="Y516" s="245"/>
      <c r="Z516" s="246"/>
      <c r="AA516" s="146"/>
      <c r="AB516" s="148"/>
      <c r="AC516" s="126"/>
      <c r="AD516" s="127"/>
      <c r="AE516" s="40"/>
      <c r="AF516" s="272"/>
      <c r="AG516" s="282"/>
      <c r="AH516" s="273"/>
      <c r="AI516" s="167"/>
      <c r="AJ516" s="122"/>
      <c r="AK516" s="122"/>
      <c r="AL516" s="122"/>
    </row>
    <row r="517" spans="1:38" ht="15.5" x14ac:dyDescent="0.35">
      <c r="A517" s="179"/>
      <c r="B517" s="162"/>
      <c r="C517" s="170"/>
      <c r="D517" s="163"/>
      <c r="E517" s="61" t="s">
        <v>1898</v>
      </c>
      <c r="F517" s="162"/>
      <c r="G517" s="170"/>
      <c r="H517" s="163"/>
      <c r="I517" s="239"/>
      <c r="J517" s="240"/>
      <c r="K517" s="167"/>
      <c r="L517" s="169"/>
      <c r="M517" s="204">
        <v>330</v>
      </c>
      <c r="N517" s="250"/>
      <c r="O517" s="205"/>
      <c r="P517" s="149"/>
      <c r="Q517" s="150"/>
      <c r="R517" s="204">
        <v>80</v>
      </c>
      <c r="S517" s="205"/>
      <c r="T517" s="149"/>
      <c r="U517" s="150"/>
      <c r="V517" s="88" t="s">
        <v>1310</v>
      </c>
      <c r="W517" s="89"/>
      <c r="X517" s="241">
        <v>550</v>
      </c>
      <c r="Y517" s="242"/>
      <c r="Z517" s="243"/>
      <c r="AA517" s="143" t="s">
        <v>1261</v>
      </c>
      <c r="AB517" s="145"/>
      <c r="AC517" s="126"/>
      <c r="AD517" s="127"/>
      <c r="AE517" s="40"/>
      <c r="AF517" s="272"/>
      <c r="AG517" s="282"/>
      <c r="AH517" s="273"/>
      <c r="AI517" s="167"/>
      <c r="AJ517" s="122"/>
      <c r="AK517" s="122"/>
      <c r="AL517" s="122"/>
    </row>
    <row r="518" spans="1:38" ht="15" x14ac:dyDescent="0.3">
      <c r="A518" s="179"/>
      <c r="B518" s="162"/>
      <c r="C518" s="170"/>
      <c r="D518" s="163"/>
      <c r="E518" s="82"/>
      <c r="F518" s="162"/>
      <c r="G518" s="170"/>
      <c r="H518" s="163"/>
      <c r="I518" s="239"/>
      <c r="J518" s="240"/>
      <c r="K518" s="167"/>
      <c r="L518" s="169"/>
      <c r="M518" s="231"/>
      <c r="N518" s="683"/>
      <c r="O518" s="232"/>
      <c r="P518" s="135"/>
      <c r="Q518" s="137"/>
      <c r="R518" s="231"/>
      <c r="S518" s="232"/>
      <c r="T518" s="135"/>
      <c r="U518" s="137"/>
      <c r="V518" s="126"/>
      <c r="W518" s="127"/>
      <c r="X518" s="247"/>
      <c r="Y518" s="248"/>
      <c r="Z518" s="249"/>
      <c r="AA518" s="104"/>
      <c r="AB518" s="105"/>
      <c r="AC518" s="126"/>
      <c r="AD518" s="127"/>
      <c r="AE518" s="40"/>
      <c r="AF518" s="272"/>
      <c r="AG518" s="282"/>
      <c r="AH518" s="273"/>
      <c r="AI518" s="167"/>
      <c r="AJ518" s="203" t="s">
        <v>809</v>
      </c>
      <c r="AK518" s="203"/>
      <c r="AL518" s="203"/>
    </row>
    <row r="519" spans="1:38" ht="15.5" x14ac:dyDescent="0.35">
      <c r="A519" s="179"/>
      <c r="B519" s="162"/>
      <c r="C519" s="170"/>
      <c r="D519" s="163"/>
      <c r="E519" s="62"/>
      <c r="F519" s="162"/>
      <c r="G519" s="170"/>
      <c r="H519" s="163"/>
      <c r="I519" s="239"/>
      <c r="J519" s="240"/>
      <c r="K519" s="167"/>
      <c r="L519" s="169"/>
      <c r="M519" s="206"/>
      <c r="N519" s="251"/>
      <c r="O519" s="207"/>
      <c r="P519" s="151"/>
      <c r="Q519" s="152"/>
      <c r="R519" s="206"/>
      <c r="S519" s="207"/>
      <c r="T519" s="151"/>
      <c r="U519" s="152"/>
      <c r="V519" s="117"/>
      <c r="W519" s="118"/>
      <c r="X519" s="244"/>
      <c r="Y519" s="245"/>
      <c r="Z519" s="246"/>
      <c r="AA519" s="146"/>
      <c r="AB519" s="148"/>
      <c r="AC519" s="126"/>
      <c r="AD519" s="127"/>
      <c r="AE519" s="40"/>
      <c r="AF519" s="272"/>
      <c r="AG519" s="282"/>
      <c r="AH519" s="273"/>
      <c r="AI519" s="167"/>
      <c r="AJ519" s="122"/>
      <c r="AK519" s="122"/>
      <c r="AL519" s="122"/>
    </row>
    <row r="520" spans="1:38" ht="15.5" x14ac:dyDescent="0.35">
      <c r="A520" s="179"/>
      <c r="B520" s="162"/>
      <c r="C520" s="170"/>
      <c r="D520" s="163"/>
      <c r="E520" s="61" t="s">
        <v>1899</v>
      </c>
      <c r="F520" s="162"/>
      <c r="G520" s="170"/>
      <c r="H520" s="163"/>
      <c r="I520" s="239"/>
      <c r="J520" s="240"/>
      <c r="K520" s="167"/>
      <c r="L520" s="169"/>
      <c r="M520" s="204">
        <v>330</v>
      </c>
      <c r="N520" s="250"/>
      <c r="O520" s="205"/>
      <c r="P520" s="149"/>
      <c r="Q520" s="150"/>
      <c r="R520" s="204">
        <v>80</v>
      </c>
      <c r="S520" s="205"/>
      <c r="T520" s="149"/>
      <c r="U520" s="150"/>
      <c r="V520" s="88" t="s">
        <v>1310</v>
      </c>
      <c r="W520" s="89"/>
      <c r="X520" s="241">
        <v>550</v>
      </c>
      <c r="Y520" s="242"/>
      <c r="Z520" s="243"/>
      <c r="AA520" s="143" t="s">
        <v>1261</v>
      </c>
      <c r="AB520" s="145"/>
      <c r="AC520" s="126"/>
      <c r="AD520" s="127"/>
      <c r="AE520" s="40"/>
      <c r="AF520" s="272"/>
      <c r="AG520" s="282"/>
      <c r="AH520" s="273"/>
      <c r="AI520" s="167"/>
      <c r="AJ520" s="122"/>
      <c r="AK520" s="122"/>
      <c r="AL520" s="122"/>
    </row>
    <row r="521" spans="1:38" ht="15" x14ac:dyDescent="0.3">
      <c r="A521" s="179"/>
      <c r="B521" s="162"/>
      <c r="C521" s="170"/>
      <c r="D521" s="163"/>
      <c r="E521" s="82"/>
      <c r="F521" s="162"/>
      <c r="G521" s="170"/>
      <c r="H521" s="163"/>
      <c r="I521" s="239"/>
      <c r="J521" s="240"/>
      <c r="K521" s="167"/>
      <c r="L521" s="169"/>
      <c r="M521" s="231"/>
      <c r="N521" s="683"/>
      <c r="O521" s="232"/>
      <c r="P521" s="135"/>
      <c r="Q521" s="137"/>
      <c r="R521" s="231"/>
      <c r="S521" s="232"/>
      <c r="T521" s="135"/>
      <c r="U521" s="137"/>
      <c r="V521" s="126"/>
      <c r="W521" s="127"/>
      <c r="X521" s="247"/>
      <c r="Y521" s="248"/>
      <c r="Z521" s="249"/>
      <c r="AA521" s="104"/>
      <c r="AB521" s="105"/>
      <c r="AC521" s="126"/>
      <c r="AD521" s="127"/>
      <c r="AE521" s="40"/>
      <c r="AF521" s="272"/>
      <c r="AG521" s="282"/>
      <c r="AH521" s="273"/>
      <c r="AI521" s="167"/>
      <c r="AJ521" s="203" t="s">
        <v>809</v>
      </c>
      <c r="AK521" s="203"/>
      <c r="AL521" s="203"/>
    </row>
    <row r="522" spans="1:38" ht="15.5" x14ac:dyDescent="0.35">
      <c r="A522" s="230"/>
      <c r="B522" s="212"/>
      <c r="C522" s="408"/>
      <c r="D522" s="213"/>
      <c r="E522" s="62"/>
      <c r="F522" s="212"/>
      <c r="G522" s="408"/>
      <c r="H522" s="213"/>
      <c r="I522" s="225"/>
      <c r="J522" s="226"/>
      <c r="K522" s="214"/>
      <c r="L522" s="216"/>
      <c r="M522" s="206"/>
      <c r="N522" s="251"/>
      <c r="O522" s="207"/>
      <c r="P522" s="151"/>
      <c r="Q522" s="152"/>
      <c r="R522" s="206"/>
      <c r="S522" s="207"/>
      <c r="T522" s="151"/>
      <c r="U522" s="152"/>
      <c r="V522" s="117"/>
      <c r="W522" s="118"/>
      <c r="X522" s="244"/>
      <c r="Y522" s="245"/>
      <c r="Z522" s="246"/>
      <c r="AA522" s="146"/>
      <c r="AB522" s="148"/>
      <c r="AC522" s="117"/>
      <c r="AD522" s="118"/>
      <c r="AE522" s="40"/>
      <c r="AF522" s="194"/>
      <c r="AG522" s="197"/>
      <c r="AH522" s="195"/>
      <c r="AI522" s="167"/>
      <c r="AJ522" s="122"/>
      <c r="AK522" s="122"/>
      <c r="AL522" s="122"/>
    </row>
    <row r="523" spans="1:38" ht="75" x14ac:dyDescent="0.35">
      <c r="A523" s="178"/>
      <c r="B523" s="192" t="s">
        <v>1900</v>
      </c>
      <c r="C523" s="196"/>
      <c r="D523" s="193"/>
      <c r="E523" s="64" t="s">
        <v>6453</v>
      </c>
      <c r="F523" s="192" t="s">
        <v>1901</v>
      </c>
      <c r="G523" s="196"/>
      <c r="H523" s="193"/>
      <c r="I523" s="192" t="s">
        <v>1902</v>
      </c>
      <c r="J523" s="193"/>
      <c r="K523" s="149"/>
      <c r="L523" s="150"/>
      <c r="M523" s="544">
        <v>230</v>
      </c>
      <c r="N523" s="545"/>
      <c r="O523" s="546"/>
      <c r="P523" s="149"/>
      <c r="Q523" s="150"/>
      <c r="R523" s="204">
        <v>80</v>
      </c>
      <c r="S523" s="205"/>
      <c r="T523" s="149"/>
      <c r="U523" s="150"/>
      <c r="V523" s="88" t="s">
        <v>1368</v>
      </c>
      <c r="W523" s="89"/>
      <c r="X523" s="241">
        <v>380</v>
      </c>
      <c r="Y523" s="242"/>
      <c r="Z523" s="243"/>
      <c r="AA523" s="143" t="s">
        <v>1369</v>
      </c>
      <c r="AB523" s="145"/>
      <c r="AC523" s="112" t="s">
        <v>675</v>
      </c>
      <c r="AD523" s="113"/>
      <c r="AE523" s="44" t="s">
        <v>1905</v>
      </c>
      <c r="AF523" s="192" t="s">
        <v>683</v>
      </c>
      <c r="AG523" s="196"/>
      <c r="AH523" s="193"/>
      <c r="AI523" s="167"/>
      <c r="AJ523" s="122"/>
      <c r="AK523" s="122"/>
      <c r="AL523" s="122"/>
    </row>
    <row r="524" spans="1:38" ht="45" x14ac:dyDescent="0.3">
      <c r="A524" s="179"/>
      <c r="B524" s="272"/>
      <c r="C524" s="282"/>
      <c r="D524" s="273"/>
      <c r="E524" s="63"/>
      <c r="F524" s="272"/>
      <c r="G524" s="282"/>
      <c r="H524" s="273"/>
      <c r="I524" s="272"/>
      <c r="J524" s="273"/>
      <c r="K524" s="135"/>
      <c r="L524" s="137"/>
      <c r="M524" s="701"/>
      <c r="N524" s="702"/>
      <c r="O524" s="703"/>
      <c r="P524" s="135"/>
      <c r="Q524" s="137"/>
      <c r="R524" s="231"/>
      <c r="S524" s="232"/>
      <c r="T524" s="135"/>
      <c r="U524" s="137"/>
      <c r="V524" s="126"/>
      <c r="W524" s="127"/>
      <c r="X524" s="247"/>
      <c r="Y524" s="248"/>
      <c r="Z524" s="249"/>
      <c r="AA524" s="104"/>
      <c r="AB524" s="105"/>
      <c r="AC524" s="155" t="s">
        <v>1903</v>
      </c>
      <c r="AD524" s="157"/>
      <c r="AE524" s="40" t="s">
        <v>1356</v>
      </c>
      <c r="AF524" s="272"/>
      <c r="AG524" s="282"/>
      <c r="AH524" s="273"/>
      <c r="AI524" s="167"/>
      <c r="AJ524" s="203" t="s">
        <v>809</v>
      </c>
      <c r="AK524" s="203"/>
      <c r="AL524" s="203"/>
    </row>
    <row r="525" spans="1:38" ht="60" x14ac:dyDescent="0.35">
      <c r="A525" s="179"/>
      <c r="B525" s="272"/>
      <c r="C525" s="282"/>
      <c r="D525" s="273"/>
      <c r="E525" s="65"/>
      <c r="F525" s="272"/>
      <c r="G525" s="282"/>
      <c r="H525" s="273"/>
      <c r="I525" s="272"/>
      <c r="J525" s="273"/>
      <c r="K525" s="151"/>
      <c r="L525" s="152"/>
      <c r="M525" s="704"/>
      <c r="N525" s="705"/>
      <c r="O525" s="706"/>
      <c r="P525" s="151"/>
      <c r="Q525" s="152"/>
      <c r="R525" s="206"/>
      <c r="S525" s="207"/>
      <c r="T525" s="151"/>
      <c r="U525" s="152"/>
      <c r="V525" s="117"/>
      <c r="W525" s="118"/>
      <c r="X525" s="244"/>
      <c r="Y525" s="245"/>
      <c r="Z525" s="246"/>
      <c r="AA525" s="146"/>
      <c r="AB525" s="148"/>
      <c r="AC525" s="155" t="s">
        <v>828</v>
      </c>
      <c r="AD525" s="157"/>
      <c r="AE525" s="40" t="s">
        <v>1906</v>
      </c>
      <c r="AF525" s="272"/>
      <c r="AG525" s="282"/>
      <c r="AH525" s="273"/>
      <c r="AI525" s="167"/>
      <c r="AJ525" s="122"/>
      <c r="AK525" s="122"/>
      <c r="AL525" s="122"/>
    </row>
    <row r="526" spans="1:38" ht="15.5" x14ac:dyDescent="0.35">
      <c r="A526" s="179"/>
      <c r="B526" s="272"/>
      <c r="C526" s="282"/>
      <c r="D526" s="273"/>
      <c r="E526" s="64" t="s">
        <v>6454</v>
      </c>
      <c r="F526" s="272"/>
      <c r="G526" s="282"/>
      <c r="H526" s="273"/>
      <c r="I526" s="272"/>
      <c r="J526" s="273"/>
      <c r="K526" s="149"/>
      <c r="L526" s="150"/>
      <c r="M526" s="544">
        <v>230</v>
      </c>
      <c r="N526" s="545"/>
      <c r="O526" s="546"/>
      <c r="P526" s="149"/>
      <c r="Q526" s="150"/>
      <c r="R526" s="204">
        <v>80</v>
      </c>
      <c r="S526" s="205"/>
      <c r="T526" s="149"/>
      <c r="U526" s="150"/>
      <c r="V526" s="88" t="s">
        <v>1368</v>
      </c>
      <c r="W526" s="89"/>
      <c r="X526" s="241">
        <v>380</v>
      </c>
      <c r="Y526" s="242"/>
      <c r="Z526" s="243"/>
      <c r="AA526" s="143" t="s">
        <v>1369</v>
      </c>
      <c r="AB526" s="145"/>
      <c r="AC526" s="155" t="s">
        <v>677</v>
      </c>
      <c r="AD526" s="157"/>
      <c r="AE526" s="40"/>
      <c r="AF526" s="272"/>
      <c r="AG526" s="282"/>
      <c r="AH526" s="273"/>
      <c r="AI526" s="167"/>
      <c r="AJ526" s="122"/>
      <c r="AK526" s="122"/>
      <c r="AL526" s="122"/>
    </row>
    <row r="527" spans="1:38" ht="15" x14ac:dyDescent="0.3">
      <c r="A527" s="179"/>
      <c r="B527" s="272"/>
      <c r="C527" s="282"/>
      <c r="D527" s="273"/>
      <c r="E527" s="63"/>
      <c r="F527" s="272"/>
      <c r="G527" s="282"/>
      <c r="H527" s="273"/>
      <c r="I527" s="272"/>
      <c r="J527" s="273"/>
      <c r="K527" s="135"/>
      <c r="L527" s="137"/>
      <c r="M527" s="701"/>
      <c r="N527" s="702"/>
      <c r="O527" s="703"/>
      <c r="P527" s="135"/>
      <c r="Q527" s="137"/>
      <c r="R527" s="231"/>
      <c r="S527" s="232"/>
      <c r="T527" s="135"/>
      <c r="U527" s="137"/>
      <c r="V527" s="126"/>
      <c r="W527" s="127"/>
      <c r="X527" s="247"/>
      <c r="Y527" s="248"/>
      <c r="Z527" s="249"/>
      <c r="AA527" s="104"/>
      <c r="AB527" s="105"/>
      <c r="AC527" s="155" t="s">
        <v>678</v>
      </c>
      <c r="AD527" s="157"/>
      <c r="AE527" s="40"/>
      <c r="AF527" s="272"/>
      <c r="AG527" s="282"/>
      <c r="AH527" s="273"/>
      <c r="AI527" s="167"/>
      <c r="AJ527" s="203" t="s">
        <v>809</v>
      </c>
      <c r="AK527" s="203"/>
      <c r="AL527" s="203"/>
    </row>
    <row r="528" spans="1:38" ht="15.5" x14ac:dyDescent="0.35">
      <c r="A528" s="179"/>
      <c r="B528" s="272"/>
      <c r="C528" s="282"/>
      <c r="D528" s="273"/>
      <c r="E528" s="65"/>
      <c r="F528" s="272"/>
      <c r="G528" s="282"/>
      <c r="H528" s="273"/>
      <c r="I528" s="272"/>
      <c r="J528" s="273"/>
      <c r="K528" s="151"/>
      <c r="L528" s="152"/>
      <c r="M528" s="704"/>
      <c r="N528" s="705"/>
      <c r="O528" s="706"/>
      <c r="P528" s="151"/>
      <c r="Q528" s="152"/>
      <c r="R528" s="206"/>
      <c r="S528" s="207"/>
      <c r="T528" s="151"/>
      <c r="U528" s="152"/>
      <c r="V528" s="117"/>
      <c r="W528" s="118"/>
      <c r="X528" s="244"/>
      <c r="Y528" s="245"/>
      <c r="Z528" s="246"/>
      <c r="AA528" s="146"/>
      <c r="AB528" s="148"/>
      <c r="AC528" s="155" t="s">
        <v>1904</v>
      </c>
      <c r="AD528" s="157"/>
      <c r="AE528" s="40"/>
      <c r="AF528" s="272"/>
      <c r="AG528" s="282"/>
      <c r="AH528" s="273"/>
      <c r="AI528" s="167"/>
      <c r="AJ528" s="122"/>
      <c r="AK528" s="122"/>
      <c r="AL528" s="122"/>
    </row>
    <row r="529" spans="1:38" ht="15.5" x14ac:dyDescent="0.35">
      <c r="A529" s="179"/>
      <c r="B529" s="272"/>
      <c r="C529" s="282"/>
      <c r="D529" s="273"/>
      <c r="E529" s="64" t="s">
        <v>1907</v>
      </c>
      <c r="F529" s="272"/>
      <c r="G529" s="282"/>
      <c r="H529" s="273"/>
      <c r="I529" s="272"/>
      <c r="J529" s="273"/>
      <c r="K529" s="149"/>
      <c r="L529" s="150"/>
      <c r="M529" s="544">
        <v>230</v>
      </c>
      <c r="N529" s="545"/>
      <c r="O529" s="546"/>
      <c r="P529" s="149"/>
      <c r="Q529" s="150"/>
      <c r="R529" s="204">
        <v>80</v>
      </c>
      <c r="S529" s="205"/>
      <c r="T529" s="149"/>
      <c r="U529" s="150"/>
      <c r="V529" s="88" t="s">
        <v>1368</v>
      </c>
      <c r="W529" s="89"/>
      <c r="X529" s="241">
        <v>380</v>
      </c>
      <c r="Y529" s="242"/>
      <c r="Z529" s="243"/>
      <c r="AA529" s="143" t="s">
        <v>1369</v>
      </c>
      <c r="AB529" s="145"/>
      <c r="AC529" s="155"/>
      <c r="AD529" s="157"/>
      <c r="AE529" s="40"/>
      <c r="AF529" s="272"/>
      <c r="AG529" s="282"/>
      <c r="AH529" s="273"/>
      <c r="AI529" s="167"/>
      <c r="AJ529" s="122"/>
      <c r="AK529" s="122"/>
      <c r="AL529" s="122"/>
    </row>
    <row r="530" spans="1:38" ht="15" x14ac:dyDescent="0.3">
      <c r="A530" s="179"/>
      <c r="B530" s="272"/>
      <c r="C530" s="282"/>
      <c r="D530" s="273"/>
      <c r="E530" s="65"/>
      <c r="F530" s="272"/>
      <c r="G530" s="282"/>
      <c r="H530" s="273"/>
      <c r="I530" s="272"/>
      <c r="J530" s="273"/>
      <c r="K530" s="151"/>
      <c r="L530" s="152"/>
      <c r="M530" s="704"/>
      <c r="N530" s="705"/>
      <c r="O530" s="706"/>
      <c r="P530" s="151"/>
      <c r="Q530" s="152"/>
      <c r="R530" s="206"/>
      <c r="S530" s="207"/>
      <c r="T530" s="151"/>
      <c r="U530" s="152"/>
      <c r="V530" s="117"/>
      <c r="W530" s="118"/>
      <c r="X530" s="244"/>
      <c r="Y530" s="245"/>
      <c r="Z530" s="246"/>
      <c r="AA530" s="146"/>
      <c r="AB530" s="148"/>
      <c r="AC530" s="155"/>
      <c r="AD530" s="157"/>
      <c r="AE530" s="40"/>
      <c r="AF530" s="272"/>
      <c r="AG530" s="282"/>
      <c r="AH530" s="273"/>
      <c r="AI530" s="167"/>
      <c r="AJ530" s="203" t="s">
        <v>809</v>
      </c>
      <c r="AK530" s="203"/>
      <c r="AL530" s="203"/>
    </row>
    <row r="531" spans="1:38" ht="15" x14ac:dyDescent="0.3">
      <c r="A531" s="179"/>
      <c r="B531" s="272"/>
      <c r="C531" s="282"/>
      <c r="D531" s="273"/>
      <c r="E531" s="64" t="s">
        <v>1908</v>
      </c>
      <c r="F531" s="272"/>
      <c r="G531" s="282"/>
      <c r="H531" s="273"/>
      <c r="I531" s="272"/>
      <c r="J531" s="273"/>
      <c r="K531" s="149"/>
      <c r="L531" s="150"/>
      <c r="M531" s="544">
        <v>230</v>
      </c>
      <c r="N531" s="545"/>
      <c r="O531" s="546"/>
      <c r="P531" s="149"/>
      <c r="Q531" s="150"/>
      <c r="R531" s="204">
        <v>80</v>
      </c>
      <c r="S531" s="205"/>
      <c r="T531" s="149"/>
      <c r="U531" s="150"/>
      <c r="V531" s="88" t="s">
        <v>1368</v>
      </c>
      <c r="W531" s="89"/>
      <c r="X531" s="241">
        <v>380</v>
      </c>
      <c r="Y531" s="242"/>
      <c r="Z531" s="243"/>
      <c r="AA531" s="143" t="s">
        <v>1369</v>
      </c>
      <c r="AB531" s="145"/>
      <c r="AC531" s="155"/>
      <c r="AD531" s="157"/>
      <c r="AE531" s="40"/>
      <c r="AF531" s="272"/>
      <c r="AG531" s="282"/>
      <c r="AH531" s="273"/>
      <c r="AI531" s="167"/>
      <c r="AJ531" s="203" t="s">
        <v>809</v>
      </c>
      <c r="AK531" s="203"/>
      <c r="AL531" s="203"/>
    </row>
    <row r="532" spans="1:38" ht="15.5" x14ac:dyDescent="0.35">
      <c r="A532" s="179"/>
      <c r="B532" s="272"/>
      <c r="C532" s="282"/>
      <c r="D532" s="273"/>
      <c r="E532" s="65"/>
      <c r="F532" s="272"/>
      <c r="G532" s="282"/>
      <c r="H532" s="273"/>
      <c r="I532" s="272"/>
      <c r="J532" s="273"/>
      <c r="K532" s="151"/>
      <c r="L532" s="152"/>
      <c r="M532" s="704"/>
      <c r="N532" s="705"/>
      <c r="O532" s="706"/>
      <c r="P532" s="151"/>
      <c r="Q532" s="152"/>
      <c r="R532" s="206"/>
      <c r="S532" s="207"/>
      <c r="T532" s="151"/>
      <c r="U532" s="152"/>
      <c r="V532" s="117"/>
      <c r="W532" s="118"/>
      <c r="X532" s="244"/>
      <c r="Y532" s="245"/>
      <c r="Z532" s="246"/>
      <c r="AA532" s="146"/>
      <c r="AB532" s="148"/>
      <c r="AC532" s="155"/>
      <c r="AD532" s="157"/>
      <c r="AE532" s="40"/>
      <c r="AF532" s="272"/>
      <c r="AG532" s="282"/>
      <c r="AH532" s="273"/>
      <c r="AI532" s="167"/>
      <c r="AJ532" s="122"/>
      <c r="AK532" s="122"/>
      <c r="AL532" s="122"/>
    </row>
    <row r="533" spans="1:38" ht="15.5" x14ac:dyDescent="0.35">
      <c r="A533" s="179"/>
      <c r="B533" s="272"/>
      <c r="C533" s="282"/>
      <c r="D533" s="273"/>
      <c r="E533" s="64" t="s">
        <v>1909</v>
      </c>
      <c r="F533" s="272"/>
      <c r="G533" s="282"/>
      <c r="H533" s="273"/>
      <c r="I533" s="272"/>
      <c r="J533" s="273"/>
      <c r="K533" s="149"/>
      <c r="L533" s="150"/>
      <c r="M533" s="544">
        <v>230</v>
      </c>
      <c r="N533" s="545"/>
      <c r="O533" s="546"/>
      <c r="P533" s="149"/>
      <c r="Q533" s="150"/>
      <c r="R533" s="204">
        <v>80</v>
      </c>
      <c r="S533" s="205"/>
      <c r="T533" s="149"/>
      <c r="U533" s="150"/>
      <c r="V533" s="88" t="s">
        <v>1368</v>
      </c>
      <c r="W533" s="89"/>
      <c r="X533" s="241">
        <v>380</v>
      </c>
      <c r="Y533" s="242"/>
      <c r="Z533" s="243"/>
      <c r="AA533" s="143" t="s">
        <v>1369</v>
      </c>
      <c r="AB533" s="145"/>
      <c r="AC533" s="155"/>
      <c r="AD533" s="157"/>
      <c r="AE533" s="40"/>
      <c r="AF533" s="272"/>
      <c r="AG533" s="282"/>
      <c r="AH533" s="273"/>
      <c r="AI533" s="167"/>
      <c r="AJ533" s="122"/>
      <c r="AK533" s="122"/>
      <c r="AL533" s="122"/>
    </row>
    <row r="534" spans="1:38" ht="15" x14ac:dyDescent="0.3">
      <c r="A534" s="179"/>
      <c r="B534" s="272"/>
      <c r="C534" s="282"/>
      <c r="D534" s="273"/>
      <c r="E534" s="63"/>
      <c r="F534" s="272"/>
      <c r="G534" s="282"/>
      <c r="H534" s="273"/>
      <c r="I534" s="272"/>
      <c r="J534" s="273"/>
      <c r="K534" s="135"/>
      <c r="L534" s="137"/>
      <c r="M534" s="701"/>
      <c r="N534" s="702"/>
      <c r="O534" s="703"/>
      <c r="P534" s="135"/>
      <c r="Q534" s="137"/>
      <c r="R534" s="231"/>
      <c r="S534" s="232"/>
      <c r="T534" s="135"/>
      <c r="U534" s="137"/>
      <c r="V534" s="126"/>
      <c r="W534" s="127"/>
      <c r="X534" s="247"/>
      <c r="Y534" s="248"/>
      <c r="Z534" s="249"/>
      <c r="AA534" s="104"/>
      <c r="AB534" s="105"/>
      <c r="AC534" s="155"/>
      <c r="AD534" s="157"/>
      <c r="AE534" s="40"/>
      <c r="AF534" s="272"/>
      <c r="AG534" s="282"/>
      <c r="AH534" s="273"/>
      <c r="AI534" s="167"/>
      <c r="AJ534" s="203" t="s">
        <v>809</v>
      </c>
      <c r="AK534" s="203"/>
      <c r="AL534" s="203"/>
    </row>
    <row r="535" spans="1:38" ht="15.5" x14ac:dyDescent="0.35">
      <c r="A535" s="179"/>
      <c r="B535" s="272"/>
      <c r="C535" s="282"/>
      <c r="D535" s="273"/>
      <c r="E535" s="65"/>
      <c r="F535" s="272"/>
      <c r="G535" s="282"/>
      <c r="H535" s="273"/>
      <c r="I535" s="272"/>
      <c r="J535" s="273"/>
      <c r="K535" s="151"/>
      <c r="L535" s="152"/>
      <c r="M535" s="704"/>
      <c r="N535" s="705"/>
      <c r="O535" s="706"/>
      <c r="P535" s="151"/>
      <c r="Q535" s="152"/>
      <c r="R535" s="206"/>
      <c r="S535" s="207"/>
      <c r="T535" s="151"/>
      <c r="U535" s="152"/>
      <c r="V535" s="117"/>
      <c r="W535" s="118"/>
      <c r="X535" s="244"/>
      <c r="Y535" s="245"/>
      <c r="Z535" s="246"/>
      <c r="AA535" s="146"/>
      <c r="AB535" s="148"/>
      <c r="AC535" s="155"/>
      <c r="AD535" s="157"/>
      <c r="AE535" s="40"/>
      <c r="AF535" s="272"/>
      <c r="AG535" s="282"/>
      <c r="AH535" s="273"/>
      <c r="AI535" s="167"/>
      <c r="AJ535" s="122"/>
      <c r="AK535" s="122"/>
      <c r="AL535" s="122"/>
    </row>
    <row r="536" spans="1:38" ht="15.5" x14ac:dyDescent="0.35">
      <c r="A536" s="179"/>
      <c r="B536" s="272"/>
      <c r="C536" s="282"/>
      <c r="D536" s="273"/>
      <c r="E536" s="64" t="s">
        <v>1910</v>
      </c>
      <c r="F536" s="272"/>
      <c r="G536" s="282"/>
      <c r="H536" s="273"/>
      <c r="I536" s="272"/>
      <c r="J536" s="273"/>
      <c r="K536" s="149"/>
      <c r="L536" s="150"/>
      <c r="M536" s="544">
        <v>230</v>
      </c>
      <c r="N536" s="545"/>
      <c r="O536" s="546"/>
      <c r="P536" s="149"/>
      <c r="Q536" s="150"/>
      <c r="R536" s="204">
        <v>80</v>
      </c>
      <c r="S536" s="205"/>
      <c r="T536" s="149"/>
      <c r="U536" s="150"/>
      <c r="V536" s="88" t="s">
        <v>1368</v>
      </c>
      <c r="W536" s="89"/>
      <c r="X536" s="241">
        <v>380</v>
      </c>
      <c r="Y536" s="242"/>
      <c r="Z536" s="243"/>
      <c r="AA536" s="143" t="s">
        <v>1369</v>
      </c>
      <c r="AB536" s="145"/>
      <c r="AC536" s="155"/>
      <c r="AD536" s="157"/>
      <c r="AE536" s="40"/>
      <c r="AF536" s="272"/>
      <c r="AG536" s="282"/>
      <c r="AH536" s="273"/>
      <c r="AI536" s="167"/>
      <c r="AJ536" s="122"/>
      <c r="AK536" s="122"/>
      <c r="AL536" s="122"/>
    </row>
    <row r="537" spans="1:38" ht="15" x14ac:dyDescent="0.3">
      <c r="A537" s="179"/>
      <c r="B537" s="272"/>
      <c r="C537" s="282"/>
      <c r="D537" s="273"/>
      <c r="E537" s="63"/>
      <c r="F537" s="272"/>
      <c r="G537" s="282"/>
      <c r="H537" s="273"/>
      <c r="I537" s="272"/>
      <c r="J537" s="273"/>
      <c r="K537" s="135"/>
      <c r="L537" s="137"/>
      <c r="M537" s="701"/>
      <c r="N537" s="702"/>
      <c r="O537" s="703"/>
      <c r="P537" s="135"/>
      <c r="Q537" s="137"/>
      <c r="R537" s="231"/>
      <c r="S537" s="232"/>
      <c r="T537" s="135"/>
      <c r="U537" s="137"/>
      <c r="V537" s="126"/>
      <c r="W537" s="127"/>
      <c r="X537" s="247"/>
      <c r="Y537" s="248"/>
      <c r="Z537" s="249"/>
      <c r="AA537" s="104"/>
      <c r="AB537" s="105"/>
      <c r="AC537" s="155"/>
      <c r="AD537" s="157"/>
      <c r="AE537" s="40"/>
      <c r="AF537" s="272"/>
      <c r="AG537" s="282"/>
      <c r="AH537" s="273"/>
      <c r="AI537" s="167"/>
      <c r="AJ537" s="203" t="s">
        <v>809</v>
      </c>
      <c r="AK537" s="203"/>
      <c r="AL537" s="203"/>
    </row>
    <row r="538" spans="1:38" ht="15.5" x14ac:dyDescent="0.35">
      <c r="A538" s="179"/>
      <c r="B538" s="272"/>
      <c r="C538" s="282"/>
      <c r="D538" s="273"/>
      <c r="E538" s="65"/>
      <c r="F538" s="272"/>
      <c r="G538" s="282"/>
      <c r="H538" s="273"/>
      <c r="I538" s="272"/>
      <c r="J538" s="273"/>
      <c r="K538" s="151"/>
      <c r="L538" s="152"/>
      <c r="M538" s="704"/>
      <c r="N538" s="705"/>
      <c r="O538" s="706"/>
      <c r="P538" s="151"/>
      <c r="Q538" s="152"/>
      <c r="R538" s="206"/>
      <c r="S538" s="207"/>
      <c r="T538" s="151"/>
      <c r="U538" s="152"/>
      <c r="V538" s="117"/>
      <c r="W538" s="118"/>
      <c r="X538" s="244"/>
      <c r="Y538" s="245"/>
      <c r="Z538" s="246"/>
      <c r="AA538" s="146"/>
      <c r="AB538" s="148"/>
      <c r="AC538" s="155"/>
      <c r="AD538" s="157"/>
      <c r="AE538" s="40"/>
      <c r="AF538" s="272"/>
      <c r="AG538" s="282"/>
      <c r="AH538" s="273"/>
      <c r="AI538" s="167"/>
      <c r="AJ538" s="122"/>
      <c r="AK538" s="122"/>
      <c r="AL538" s="122"/>
    </row>
    <row r="539" spans="1:38" ht="15.5" x14ac:dyDescent="0.35">
      <c r="A539" s="179"/>
      <c r="B539" s="272"/>
      <c r="C539" s="282"/>
      <c r="D539" s="273"/>
      <c r="E539" s="66" t="s">
        <v>1911</v>
      </c>
      <c r="F539" s="272"/>
      <c r="G539" s="282"/>
      <c r="H539" s="273"/>
      <c r="I539" s="272"/>
      <c r="J539" s="273"/>
      <c r="K539" s="149"/>
      <c r="L539" s="150"/>
      <c r="M539" s="604">
        <v>230</v>
      </c>
      <c r="N539" s="698"/>
      <c r="O539" s="605"/>
      <c r="P539" s="149"/>
      <c r="Q539" s="150"/>
      <c r="R539" s="387">
        <v>80</v>
      </c>
      <c r="S539" s="388"/>
      <c r="T539" s="149"/>
      <c r="U539" s="150"/>
      <c r="V539" s="171" t="s">
        <v>1368</v>
      </c>
      <c r="W539" s="172"/>
      <c r="X539" s="252">
        <v>380</v>
      </c>
      <c r="Y539" s="253"/>
      <c r="Z539" s="254"/>
      <c r="AA539" s="192" t="s">
        <v>1369</v>
      </c>
      <c r="AB539" s="193"/>
      <c r="AC539" s="155"/>
      <c r="AD539" s="157"/>
      <c r="AE539" s="40"/>
      <c r="AF539" s="272"/>
      <c r="AG539" s="282"/>
      <c r="AH539" s="273"/>
      <c r="AI539" s="167"/>
      <c r="AJ539" s="122"/>
      <c r="AK539" s="122"/>
      <c r="AL539" s="122"/>
    </row>
    <row r="540" spans="1:38" ht="15" x14ac:dyDescent="0.3">
      <c r="A540" s="179"/>
      <c r="B540" s="272"/>
      <c r="C540" s="282"/>
      <c r="D540" s="273"/>
      <c r="E540" s="74"/>
      <c r="F540" s="272"/>
      <c r="G540" s="282"/>
      <c r="H540" s="273"/>
      <c r="I540" s="272"/>
      <c r="J540" s="273"/>
      <c r="K540" s="135"/>
      <c r="L540" s="137"/>
      <c r="M540" s="606"/>
      <c r="N540" s="699"/>
      <c r="O540" s="607"/>
      <c r="P540" s="135"/>
      <c r="Q540" s="137"/>
      <c r="R540" s="506"/>
      <c r="S540" s="507"/>
      <c r="T540" s="135"/>
      <c r="U540" s="137"/>
      <c r="V540" s="162"/>
      <c r="W540" s="163"/>
      <c r="X540" s="311"/>
      <c r="Y540" s="312"/>
      <c r="Z540" s="313"/>
      <c r="AA540" s="272"/>
      <c r="AB540" s="273"/>
      <c r="AC540" s="155"/>
      <c r="AD540" s="157"/>
      <c r="AE540" s="40"/>
      <c r="AF540" s="272"/>
      <c r="AG540" s="282"/>
      <c r="AH540" s="273"/>
      <c r="AI540" s="167"/>
      <c r="AJ540" s="203" t="s">
        <v>809</v>
      </c>
      <c r="AK540" s="203"/>
      <c r="AL540" s="203"/>
    </row>
    <row r="541" spans="1:38" ht="15.5" x14ac:dyDescent="0.35">
      <c r="A541" s="230"/>
      <c r="B541" s="194"/>
      <c r="C541" s="197"/>
      <c r="D541" s="195"/>
      <c r="E541" s="67"/>
      <c r="F541" s="194"/>
      <c r="G541" s="197"/>
      <c r="H541" s="195"/>
      <c r="I541" s="194"/>
      <c r="J541" s="195"/>
      <c r="K541" s="151"/>
      <c r="L541" s="152"/>
      <c r="M541" s="608"/>
      <c r="N541" s="700"/>
      <c r="O541" s="609"/>
      <c r="P541" s="151"/>
      <c r="Q541" s="152"/>
      <c r="R541" s="389"/>
      <c r="S541" s="390"/>
      <c r="T541" s="151"/>
      <c r="U541" s="152"/>
      <c r="V541" s="212"/>
      <c r="W541" s="213"/>
      <c r="X541" s="255"/>
      <c r="Y541" s="256"/>
      <c r="Z541" s="257"/>
      <c r="AA541" s="194"/>
      <c r="AB541" s="195"/>
      <c r="AC541" s="160"/>
      <c r="AD541" s="161"/>
      <c r="AE541" s="40"/>
      <c r="AF541" s="194"/>
      <c r="AG541" s="197"/>
      <c r="AH541" s="195"/>
      <c r="AI541" s="167"/>
      <c r="AJ541" s="122"/>
      <c r="AK541" s="122"/>
      <c r="AL541" s="122"/>
    </row>
    <row r="542" spans="1:38" ht="75" x14ac:dyDescent="0.35">
      <c r="A542" s="178"/>
      <c r="B542" s="192" t="s">
        <v>1912</v>
      </c>
      <c r="C542" s="196"/>
      <c r="D542" s="193"/>
      <c r="E542" s="64" t="s">
        <v>6455</v>
      </c>
      <c r="F542" s="192" t="s">
        <v>1913</v>
      </c>
      <c r="G542" s="196"/>
      <c r="H542" s="193"/>
      <c r="I542" s="387">
        <v>13</v>
      </c>
      <c r="J542" s="388"/>
      <c r="K542" s="149"/>
      <c r="L542" s="150"/>
      <c r="M542" s="204">
        <v>220</v>
      </c>
      <c r="N542" s="250"/>
      <c r="O542" s="205"/>
      <c r="P542" s="149"/>
      <c r="Q542" s="150"/>
      <c r="R542" s="204">
        <v>90</v>
      </c>
      <c r="S542" s="205"/>
      <c r="T542" s="149"/>
      <c r="U542" s="150"/>
      <c r="V542" s="88" t="s">
        <v>1368</v>
      </c>
      <c r="W542" s="89"/>
      <c r="X542" s="241">
        <v>440</v>
      </c>
      <c r="Y542" s="242"/>
      <c r="Z542" s="243"/>
      <c r="AA542" s="143" t="s">
        <v>1023</v>
      </c>
      <c r="AB542" s="145"/>
      <c r="AC542" s="88" t="s">
        <v>675</v>
      </c>
      <c r="AD542" s="89"/>
      <c r="AE542" s="44" t="s">
        <v>1916</v>
      </c>
      <c r="AF542" s="192" t="s">
        <v>683</v>
      </c>
      <c r="AG542" s="196"/>
      <c r="AH542" s="193"/>
      <c r="AI542" s="167"/>
      <c r="AJ542" s="122"/>
      <c r="AK542" s="122"/>
      <c r="AL542" s="122"/>
    </row>
    <row r="543" spans="1:38" ht="45" x14ac:dyDescent="0.3">
      <c r="A543" s="179"/>
      <c r="B543" s="272"/>
      <c r="C543" s="282"/>
      <c r="D543" s="273"/>
      <c r="E543" s="63"/>
      <c r="F543" s="272"/>
      <c r="G543" s="282"/>
      <c r="H543" s="273"/>
      <c r="I543" s="506"/>
      <c r="J543" s="507"/>
      <c r="K543" s="135"/>
      <c r="L543" s="137"/>
      <c r="M543" s="231"/>
      <c r="N543" s="683"/>
      <c r="O543" s="232"/>
      <c r="P543" s="135"/>
      <c r="Q543" s="137"/>
      <c r="R543" s="231"/>
      <c r="S543" s="232"/>
      <c r="T543" s="135"/>
      <c r="U543" s="137"/>
      <c r="V543" s="126"/>
      <c r="W543" s="127"/>
      <c r="X543" s="247"/>
      <c r="Y543" s="248"/>
      <c r="Z543" s="249"/>
      <c r="AA543" s="104"/>
      <c r="AB543" s="105"/>
      <c r="AC543" s="126" t="s">
        <v>1914</v>
      </c>
      <c r="AD543" s="127"/>
      <c r="AE543" s="40" t="s">
        <v>1356</v>
      </c>
      <c r="AF543" s="272"/>
      <c r="AG543" s="282"/>
      <c r="AH543" s="273"/>
      <c r="AI543" s="167"/>
      <c r="AJ543" s="203" t="s">
        <v>1918</v>
      </c>
      <c r="AK543" s="203"/>
      <c r="AL543" s="203"/>
    </row>
    <row r="544" spans="1:38" ht="75" x14ac:dyDescent="0.35">
      <c r="A544" s="179"/>
      <c r="B544" s="272"/>
      <c r="C544" s="282"/>
      <c r="D544" s="273"/>
      <c r="E544" s="65"/>
      <c r="F544" s="272"/>
      <c r="G544" s="282"/>
      <c r="H544" s="273"/>
      <c r="I544" s="506"/>
      <c r="J544" s="507"/>
      <c r="K544" s="151"/>
      <c r="L544" s="152"/>
      <c r="M544" s="206"/>
      <c r="N544" s="251"/>
      <c r="O544" s="207"/>
      <c r="P544" s="151"/>
      <c r="Q544" s="152"/>
      <c r="R544" s="206"/>
      <c r="S544" s="207"/>
      <c r="T544" s="151"/>
      <c r="U544" s="152"/>
      <c r="V544" s="117"/>
      <c r="W544" s="118"/>
      <c r="X544" s="244"/>
      <c r="Y544" s="245"/>
      <c r="Z544" s="246"/>
      <c r="AA544" s="146"/>
      <c r="AB544" s="148"/>
      <c r="AC544" s="126" t="s">
        <v>1915</v>
      </c>
      <c r="AD544" s="127"/>
      <c r="AE544" s="40" t="s">
        <v>1917</v>
      </c>
      <c r="AF544" s="272"/>
      <c r="AG544" s="282"/>
      <c r="AH544" s="273"/>
      <c r="AI544" s="167"/>
      <c r="AJ544" s="122"/>
      <c r="AK544" s="122"/>
      <c r="AL544" s="122"/>
    </row>
    <row r="545" spans="1:38" ht="15.5" x14ac:dyDescent="0.35">
      <c r="A545" s="179"/>
      <c r="B545" s="272"/>
      <c r="C545" s="282"/>
      <c r="D545" s="273"/>
      <c r="E545" s="64" t="s">
        <v>1919</v>
      </c>
      <c r="F545" s="272"/>
      <c r="G545" s="282"/>
      <c r="H545" s="273"/>
      <c r="I545" s="506"/>
      <c r="J545" s="507"/>
      <c r="K545" s="149"/>
      <c r="L545" s="150"/>
      <c r="M545" s="204">
        <v>220</v>
      </c>
      <c r="N545" s="250"/>
      <c r="O545" s="205"/>
      <c r="P545" s="149"/>
      <c r="Q545" s="150"/>
      <c r="R545" s="204">
        <v>90</v>
      </c>
      <c r="S545" s="205"/>
      <c r="T545" s="149"/>
      <c r="U545" s="150"/>
      <c r="V545" s="88" t="s">
        <v>1368</v>
      </c>
      <c r="W545" s="89"/>
      <c r="X545" s="241">
        <v>440</v>
      </c>
      <c r="Y545" s="242"/>
      <c r="Z545" s="243"/>
      <c r="AA545" s="143" t="s">
        <v>1023</v>
      </c>
      <c r="AB545" s="145"/>
      <c r="AC545" s="126"/>
      <c r="AD545" s="127"/>
      <c r="AE545" s="40"/>
      <c r="AF545" s="272"/>
      <c r="AG545" s="282"/>
      <c r="AH545" s="273"/>
      <c r="AI545" s="167"/>
      <c r="AJ545" s="122"/>
      <c r="AK545" s="122"/>
      <c r="AL545" s="122"/>
    </row>
    <row r="546" spans="1:38" ht="15" x14ac:dyDescent="0.3">
      <c r="A546" s="179"/>
      <c r="B546" s="272"/>
      <c r="C546" s="282"/>
      <c r="D546" s="273"/>
      <c r="E546" s="65"/>
      <c r="F546" s="272"/>
      <c r="G546" s="282"/>
      <c r="H546" s="273"/>
      <c r="I546" s="506"/>
      <c r="J546" s="507"/>
      <c r="K546" s="151"/>
      <c r="L546" s="152"/>
      <c r="M546" s="206"/>
      <c r="N546" s="251"/>
      <c r="O546" s="207"/>
      <c r="P546" s="151"/>
      <c r="Q546" s="152"/>
      <c r="R546" s="206"/>
      <c r="S546" s="207"/>
      <c r="T546" s="151"/>
      <c r="U546" s="152"/>
      <c r="V546" s="117"/>
      <c r="W546" s="118"/>
      <c r="X546" s="244"/>
      <c r="Y546" s="245"/>
      <c r="Z546" s="246"/>
      <c r="AA546" s="146"/>
      <c r="AB546" s="148"/>
      <c r="AC546" s="126"/>
      <c r="AD546" s="127"/>
      <c r="AE546" s="40"/>
      <c r="AF546" s="272"/>
      <c r="AG546" s="282"/>
      <c r="AH546" s="273"/>
      <c r="AI546" s="167"/>
      <c r="AJ546" s="203" t="s">
        <v>1918</v>
      </c>
      <c r="AK546" s="203"/>
      <c r="AL546" s="203"/>
    </row>
    <row r="547" spans="1:38" ht="15" x14ac:dyDescent="0.3">
      <c r="A547" s="179"/>
      <c r="B547" s="272"/>
      <c r="C547" s="282"/>
      <c r="D547" s="273"/>
      <c r="E547" s="64" t="s">
        <v>1920</v>
      </c>
      <c r="F547" s="272"/>
      <c r="G547" s="282"/>
      <c r="H547" s="273"/>
      <c r="I547" s="506"/>
      <c r="J547" s="507"/>
      <c r="K547" s="149"/>
      <c r="L547" s="150"/>
      <c r="M547" s="204">
        <v>220</v>
      </c>
      <c r="N547" s="250"/>
      <c r="O547" s="205"/>
      <c r="P547" s="149"/>
      <c r="Q547" s="150"/>
      <c r="R547" s="204">
        <v>90</v>
      </c>
      <c r="S547" s="205"/>
      <c r="T547" s="149"/>
      <c r="U547" s="150"/>
      <c r="V547" s="88" t="s">
        <v>1368</v>
      </c>
      <c r="W547" s="89"/>
      <c r="X547" s="241">
        <v>440</v>
      </c>
      <c r="Y547" s="242"/>
      <c r="Z547" s="243"/>
      <c r="AA547" s="143" t="s">
        <v>1023</v>
      </c>
      <c r="AB547" s="145"/>
      <c r="AC547" s="126"/>
      <c r="AD547" s="127"/>
      <c r="AE547" s="40"/>
      <c r="AF547" s="272"/>
      <c r="AG547" s="282"/>
      <c r="AH547" s="273"/>
      <c r="AI547" s="167"/>
      <c r="AJ547" s="203" t="s">
        <v>1918</v>
      </c>
      <c r="AK547" s="203"/>
      <c r="AL547" s="203"/>
    </row>
    <row r="548" spans="1:38" ht="15.5" x14ac:dyDescent="0.35">
      <c r="A548" s="179"/>
      <c r="B548" s="272"/>
      <c r="C548" s="282"/>
      <c r="D548" s="273"/>
      <c r="E548" s="65"/>
      <c r="F548" s="272"/>
      <c r="G548" s="282"/>
      <c r="H548" s="273"/>
      <c r="I548" s="506"/>
      <c r="J548" s="507"/>
      <c r="K548" s="151"/>
      <c r="L548" s="152"/>
      <c r="M548" s="206"/>
      <c r="N548" s="251"/>
      <c r="O548" s="207"/>
      <c r="P548" s="151"/>
      <c r="Q548" s="152"/>
      <c r="R548" s="206"/>
      <c r="S548" s="207"/>
      <c r="T548" s="151"/>
      <c r="U548" s="152"/>
      <c r="V548" s="117"/>
      <c r="W548" s="118"/>
      <c r="X548" s="244"/>
      <c r="Y548" s="245"/>
      <c r="Z548" s="246"/>
      <c r="AA548" s="146"/>
      <c r="AB548" s="148"/>
      <c r="AC548" s="126"/>
      <c r="AD548" s="127"/>
      <c r="AE548" s="40"/>
      <c r="AF548" s="272"/>
      <c r="AG548" s="282"/>
      <c r="AH548" s="273"/>
      <c r="AI548" s="167"/>
      <c r="AJ548" s="122"/>
      <c r="AK548" s="122"/>
      <c r="AL548" s="122"/>
    </row>
    <row r="549" spans="1:38" ht="15.5" x14ac:dyDescent="0.35">
      <c r="A549" s="179"/>
      <c r="B549" s="272"/>
      <c r="C549" s="282"/>
      <c r="D549" s="273"/>
      <c r="E549" s="64" t="s">
        <v>1921</v>
      </c>
      <c r="F549" s="272"/>
      <c r="G549" s="282"/>
      <c r="H549" s="273"/>
      <c r="I549" s="506"/>
      <c r="J549" s="507"/>
      <c r="K549" s="149"/>
      <c r="L549" s="150"/>
      <c r="M549" s="204">
        <v>220</v>
      </c>
      <c r="N549" s="250"/>
      <c r="O549" s="205"/>
      <c r="P549" s="149"/>
      <c r="Q549" s="150"/>
      <c r="R549" s="204">
        <v>90</v>
      </c>
      <c r="S549" s="205"/>
      <c r="T549" s="149"/>
      <c r="U549" s="150"/>
      <c r="V549" s="88" t="s">
        <v>1368</v>
      </c>
      <c r="W549" s="89"/>
      <c r="X549" s="241">
        <v>440</v>
      </c>
      <c r="Y549" s="242"/>
      <c r="Z549" s="243"/>
      <c r="AA549" s="143" t="s">
        <v>1023</v>
      </c>
      <c r="AB549" s="145"/>
      <c r="AC549" s="126"/>
      <c r="AD549" s="127"/>
      <c r="AE549" s="40"/>
      <c r="AF549" s="272"/>
      <c r="AG549" s="282"/>
      <c r="AH549" s="273"/>
      <c r="AI549" s="167"/>
      <c r="AJ549" s="122"/>
      <c r="AK549" s="122"/>
      <c r="AL549" s="122"/>
    </row>
    <row r="550" spans="1:38" ht="15" x14ac:dyDescent="0.3">
      <c r="A550" s="179"/>
      <c r="B550" s="272"/>
      <c r="C550" s="282"/>
      <c r="D550" s="273"/>
      <c r="E550" s="65"/>
      <c r="F550" s="272"/>
      <c r="G550" s="282"/>
      <c r="H550" s="273"/>
      <c r="I550" s="506"/>
      <c r="J550" s="507"/>
      <c r="K550" s="151"/>
      <c r="L550" s="152"/>
      <c r="M550" s="206"/>
      <c r="N550" s="251"/>
      <c r="O550" s="207"/>
      <c r="P550" s="151"/>
      <c r="Q550" s="152"/>
      <c r="R550" s="206"/>
      <c r="S550" s="207"/>
      <c r="T550" s="151"/>
      <c r="U550" s="152"/>
      <c r="V550" s="117"/>
      <c r="W550" s="118"/>
      <c r="X550" s="244"/>
      <c r="Y550" s="245"/>
      <c r="Z550" s="246"/>
      <c r="AA550" s="146"/>
      <c r="AB550" s="148"/>
      <c r="AC550" s="126"/>
      <c r="AD550" s="127"/>
      <c r="AE550" s="40"/>
      <c r="AF550" s="272"/>
      <c r="AG550" s="282"/>
      <c r="AH550" s="273"/>
      <c r="AI550" s="167"/>
      <c r="AJ550" s="203" t="s">
        <v>1918</v>
      </c>
      <c r="AK550" s="203"/>
      <c r="AL550" s="203"/>
    </row>
    <row r="551" spans="1:38" ht="15" x14ac:dyDescent="0.3">
      <c r="A551" s="179"/>
      <c r="B551" s="272"/>
      <c r="C551" s="282"/>
      <c r="D551" s="273"/>
      <c r="E551" s="64" t="s">
        <v>1922</v>
      </c>
      <c r="F551" s="272"/>
      <c r="G551" s="282"/>
      <c r="H551" s="273"/>
      <c r="I551" s="506"/>
      <c r="J551" s="507"/>
      <c r="K551" s="149"/>
      <c r="L551" s="150"/>
      <c r="M551" s="204">
        <v>220</v>
      </c>
      <c r="N551" s="250"/>
      <c r="O551" s="205"/>
      <c r="P551" s="149"/>
      <c r="Q551" s="150"/>
      <c r="R551" s="204">
        <v>90</v>
      </c>
      <c r="S551" s="205"/>
      <c r="T551" s="149"/>
      <c r="U551" s="150"/>
      <c r="V551" s="88" t="s">
        <v>1368</v>
      </c>
      <c r="W551" s="89"/>
      <c r="X551" s="241">
        <v>440</v>
      </c>
      <c r="Y551" s="242"/>
      <c r="Z551" s="243"/>
      <c r="AA551" s="143" t="s">
        <v>1023</v>
      </c>
      <c r="AB551" s="145"/>
      <c r="AC551" s="126"/>
      <c r="AD551" s="127"/>
      <c r="AE551" s="40"/>
      <c r="AF551" s="272"/>
      <c r="AG551" s="282"/>
      <c r="AH551" s="273"/>
      <c r="AI551" s="167"/>
      <c r="AJ551" s="203" t="s">
        <v>1918</v>
      </c>
      <c r="AK551" s="203"/>
      <c r="AL551" s="203"/>
    </row>
    <row r="552" spans="1:38" ht="15.5" x14ac:dyDescent="0.35">
      <c r="A552" s="179"/>
      <c r="B552" s="272"/>
      <c r="C552" s="282"/>
      <c r="D552" s="273"/>
      <c r="E552" s="65"/>
      <c r="F552" s="272"/>
      <c r="G552" s="282"/>
      <c r="H552" s="273"/>
      <c r="I552" s="506"/>
      <c r="J552" s="507"/>
      <c r="K552" s="151"/>
      <c r="L552" s="152"/>
      <c r="M552" s="206"/>
      <c r="N552" s="251"/>
      <c r="O552" s="207"/>
      <c r="P552" s="151"/>
      <c r="Q552" s="152"/>
      <c r="R552" s="206"/>
      <c r="S552" s="207"/>
      <c r="T552" s="151"/>
      <c r="U552" s="152"/>
      <c r="V552" s="117"/>
      <c r="W552" s="118"/>
      <c r="X552" s="244"/>
      <c r="Y552" s="245"/>
      <c r="Z552" s="246"/>
      <c r="AA552" s="146"/>
      <c r="AB552" s="148"/>
      <c r="AC552" s="126"/>
      <c r="AD552" s="127"/>
      <c r="AE552" s="40"/>
      <c r="AF552" s="272"/>
      <c r="AG552" s="282"/>
      <c r="AH552" s="273"/>
      <c r="AI552" s="167"/>
      <c r="AJ552" s="122"/>
      <c r="AK552" s="122"/>
      <c r="AL552" s="122"/>
    </row>
    <row r="553" spans="1:38" ht="15.5" x14ac:dyDescent="0.35">
      <c r="A553" s="179"/>
      <c r="B553" s="272"/>
      <c r="C553" s="282"/>
      <c r="D553" s="273"/>
      <c r="E553" s="64" t="s">
        <v>1923</v>
      </c>
      <c r="F553" s="272"/>
      <c r="G553" s="282"/>
      <c r="H553" s="273"/>
      <c r="I553" s="506"/>
      <c r="J553" s="507"/>
      <c r="K553" s="149"/>
      <c r="L553" s="150"/>
      <c r="M553" s="204">
        <v>220</v>
      </c>
      <c r="N553" s="250"/>
      <c r="O553" s="205"/>
      <c r="P553" s="149"/>
      <c r="Q553" s="150"/>
      <c r="R553" s="204">
        <v>90</v>
      </c>
      <c r="S553" s="205"/>
      <c r="T553" s="149"/>
      <c r="U553" s="150"/>
      <c r="V553" s="88" t="s">
        <v>1368</v>
      </c>
      <c r="W553" s="89"/>
      <c r="X553" s="241">
        <v>440</v>
      </c>
      <c r="Y553" s="242"/>
      <c r="Z553" s="243"/>
      <c r="AA553" s="143" t="s">
        <v>1023</v>
      </c>
      <c r="AB553" s="145"/>
      <c r="AC553" s="126"/>
      <c r="AD553" s="127"/>
      <c r="AE553" s="40"/>
      <c r="AF553" s="272"/>
      <c r="AG553" s="282"/>
      <c r="AH553" s="273"/>
      <c r="AI553" s="167"/>
      <c r="AJ553" s="122"/>
      <c r="AK553" s="122"/>
      <c r="AL553" s="122"/>
    </row>
    <row r="554" spans="1:38" ht="15" x14ac:dyDescent="0.3">
      <c r="A554" s="179"/>
      <c r="B554" s="272"/>
      <c r="C554" s="282"/>
      <c r="D554" s="273"/>
      <c r="E554" s="63"/>
      <c r="F554" s="272"/>
      <c r="G554" s="282"/>
      <c r="H554" s="273"/>
      <c r="I554" s="506"/>
      <c r="J554" s="507"/>
      <c r="K554" s="135"/>
      <c r="L554" s="137"/>
      <c r="M554" s="231"/>
      <c r="N554" s="683"/>
      <c r="O554" s="232"/>
      <c r="P554" s="135"/>
      <c r="Q554" s="137"/>
      <c r="R554" s="231"/>
      <c r="S554" s="232"/>
      <c r="T554" s="135"/>
      <c r="U554" s="137"/>
      <c r="V554" s="126"/>
      <c r="W554" s="127"/>
      <c r="X554" s="247"/>
      <c r="Y554" s="248"/>
      <c r="Z554" s="249"/>
      <c r="AA554" s="104"/>
      <c r="AB554" s="105"/>
      <c r="AC554" s="126"/>
      <c r="AD554" s="127"/>
      <c r="AE554" s="40"/>
      <c r="AF554" s="272"/>
      <c r="AG554" s="282"/>
      <c r="AH554" s="273"/>
      <c r="AI554" s="167"/>
      <c r="AJ554" s="203" t="s">
        <v>1918</v>
      </c>
      <c r="AK554" s="203"/>
      <c r="AL554" s="203"/>
    </row>
    <row r="555" spans="1:38" ht="15.5" x14ac:dyDescent="0.35">
      <c r="A555" s="179"/>
      <c r="B555" s="272"/>
      <c r="C555" s="282"/>
      <c r="D555" s="273"/>
      <c r="E555" s="65"/>
      <c r="F555" s="272"/>
      <c r="G555" s="282"/>
      <c r="H555" s="273"/>
      <c r="I555" s="506"/>
      <c r="J555" s="507"/>
      <c r="K555" s="151"/>
      <c r="L555" s="152"/>
      <c r="M555" s="206"/>
      <c r="N555" s="251"/>
      <c r="O555" s="207"/>
      <c r="P555" s="151"/>
      <c r="Q555" s="152"/>
      <c r="R555" s="206"/>
      <c r="S555" s="207"/>
      <c r="T555" s="151"/>
      <c r="U555" s="152"/>
      <c r="V555" s="117"/>
      <c r="W555" s="118"/>
      <c r="X555" s="244"/>
      <c r="Y555" s="245"/>
      <c r="Z555" s="246"/>
      <c r="AA555" s="146"/>
      <c r="AB555" s="148"/>
      <c r="AC555" s="126"/>
      <c r="AD555" s="127"/>
      <c r="AE555" s="40"/>
      <c r="AF555" s="272"/>
      <c r="AG555" s="282"/>
      <c r="AH555" s="273"/>
      <c r="AI555" s="167"/>
      <c r="AJ555" s="122"/>
      <c r="AK555" s="122"/>
      <c r="AL555" s="122"/>
    </row>
    <row r="556" spans="1:38" ht="15.5" x14ac:dyDescent="0.35">
      <c r="A556" s="179"/>
      <c r="B556" s="272"/>
      <c r="C556" s="282"/>
      <c r="D556" s="273"/>
      <c r="E556" s="64" t="s">
        <v>1924</v>
      </c>
      <c r="F556" s="272"/>
      <c r="G556" s="282"/>
      <c r="H556" s="273"/>
      <c r="I556" s="506"/>
      <c r="J556" s="507"/>
      <c r="K556" s="149"/>
      <c r="L556" s="150"/>
      <c r="M556" s="204">
        <v>220</v>
      </c>
      <c r="N556" s="250"/>
      <c r="O556" s="205"/>
      <c r="P556" s="149"/>
      <c r="Q556" s="150"/>
      <c r="R556" s="204">
        <v>90</v>
      </c>
      <c r="S556" s="205"/>
      <c r="T556" s="149"/>
      <c r="U556" s="150"/>
      <c r="V556" s="88" t="s">
        <v>1368</v>
      </c>
      <c r="W556" s="89"/>
      <c r="X556" s="241">
        <v>440</v>
      </c>
      <c r="Y556" s="242"/>
      <c r="Z556" s="243"/>
      <c r="AA556" s="143" t="s">
        <v>1023</v>
      </c>
      <c r="AB556" s="145"/>
      <c r="AC556" s="126"/>
      <c r="AD556" s="127"/>
      <c r="AE556" s="40"/>
      <c r="AF556" s="272"/>
      <c r="AG556" s="282"/>
      <c r="AH556" s="273"/>
      <c r="AI556" s="167"/>
      <c r="AJ556" s="122"/>
      <c r="AK556" s="122"/>
      <c r="AL556" s="122"/>
    </row>
    <row r="557" spans="1:38" ht="15" x14ac:dyDescent="0.3">
      <c r="A557" s="179"/>
      <c r="B557" s="272"/>
      <c r="C557" s="282"/>
      <c r="D557" s="273"/>
      <c r="E557" s="63"/>
      <c r="F557" s="272"/>
      <c r="G557" s="282"/>
      <c r="H557" s="273"/>
      <c r="I557" s="506"/>
      <c r="J557" s="507"/>
      <c r="K557" s="135"/>
      <c r="L557" s="137"/>
      <c r="M557" s="231"/>
      <c r="N557" s="683"/>
      <c r="O557" s="232"/>
      <c r="P557" s="135"/>
      <c r="Q557" s="137"/>
      <c r="R557" s="231"/>
      <c r="S557" s="232"/>
      <c r="T557" s="135"/>
      <c r="U557" s="137"/>
      <c r="V557" s="126"/>
      <c r="W557" s="127"/>
      <c r="X557" s="247"/>
      <c r="Y557" s="248"/>
      <c r="Z557" s="249"/>
      <c r="AA557" s="104"/>
      <c r="AB557" s="105"/>
      <c r="AC557" s="126"/>
      <c r="AD557" s="127"/>
      <c r="AE557" s="40"/>
      <c r="AF557" s="272"/>
      <c r="AG557" s="282"/>
      <c r="AH557" s="273"/>
      <c r="AI557" s="167"/>
      <c r="AJ557" s="203" t="s">
        <v>1918</v>
      </c>
      <c r="AK557" s="203"/>
      <c r="AL557" s="203"/>
    </row>
    <row r="558" spans="1:38" ht="15.5" x14ac:dyDescent="0.35">
      <c r="A558" s="230"/>
      <c r="B558" s="194"/>
      <c r="C558" s="197"/>
      <c r="D558" s="195"/>
      <c r="E558" s="65"/>
      <c r="F558" s="194"/>
      <c r="G558" s="197"/>
      <c r="H558" s="195"/>
      <c r="I558" s="389"/>
      <c r="J558" s="390"/>
      <c r="K558" s="151"/>
      <c r="L558" s="152"/>
      <c r="M558" s="206"/>
      <c r="N558" s="251"/>
      <c r="O558" s="207"/>
      <c r="P558" s="151"/>
      <c r="Q558" s="152"/>
      <c r="R558" s="206"/>
      <c r="S558" s="207"/>
      <c r="T558" s="151"/>
      <c r="U558" s="152"/>
      <c r="V558" s="117"/>
      <c r="W558" s="118"/>
      <c r="X558" s="244"/>
      <c r="Y558" s="245"/>
      <c r="Z558" s="246"/>
      <c r="AA558" s="146"/>
      <c r="AB558" s="148"/>
      <c r="AC558" s="117"/>
      <c r="AD558" s="118"/>
      <c r="AE558" s="40"/>
      <c r="AF558" s="194"/>
      <c r="AG558" s="197"/>
      <c r="AH558" s="195"/>
      <c r="AI558" s="167"/>
      <c r="AJ558" s="122"/>
      <c r="AK558" s="122"/>
      <c r="AL558" s="122"/>
    </row>
    <row r="559" spans="1:38" ht="75" x14ac:dyDescent="0.3">
      <c r="A559" s="178"/>
      <c r="B559" s="233" t="s">
        <v>1925</v>
      </c>
      <c r="C559" s="305"/>
      <c r="D559" s="234"/>
      <c r="E559" s="68" t="s">
        <v>1926</v>
      </c>
      <c r="F559" s="233" t="s">
        <v>1927</v>
      </c>
      <c r="G559" s="305"/>
      <c r="H559" s="234"/>
      <c r="I559" s="233" t="s">
        <v>1928</v>
      </c>
      <c r="J559" s="234"/>
      <c r="K559" s="164"/>
      <c r="L559" s="166"/>
      <c r="M559" s="387">
        <v>208</v>
      </c>
      <c r="N559" s="495"/>
      <c r="O559" s="388"/>
      <c r="P559" s="164"/>
      <c r="Q559" s="166"/>
      <c r="R559" s="387">
        <v>60</v>
      </c>
      <c r="S559" s="388"/>
      <c r="T559" s="164"/>
      <c r="U559" s="166"/>
      <c r="V559" s="171" t="s">
        <v>1107</v>
      </c>
      <c r="W559" s="172"/>
      <c r="X559" s="252">
        <v>315</v>
      </c>
      <c r="Y559" s="253"/>
      <c r="Z559" s="254"/>
      <c r="AA559" s="192" t="s">
        <v>1759</v>
      </c>
      <c r="AB559" s="193"/>
      <c r="AC559" s="223" t="s">
        <v>675</v>
      </c>
      <c r="AD559" s="224"/>
      <c r="AE559" s="24" t="s">
        <v>1931</v>
      </c>
      <c r="AF559" s="233" t="s">
        <v>683</v>
      </c>
      <c r="AG559" s="305"/>
      <c r="AH559" s="234"/>
      <c r="AI559" s="167"/>
      <c r="AJ559" s="136"/>
      <c r="AK559" s="136"/>
      <c r="AL559" s="136"/>
    </row>
    <row r="560" spans="1:38" ht="45" x14ac:dyDescent="0.3">
      <c r="A560" s="179"/>
      <c r="B560" s="235"/>
      <c r="C560" s="270"/>
      <c r="D560" s="236"/>
      <c r="E560" s="69"/>
      <c r="F560" s="235"/>
      <c r="G560" s="270"/>
      <c r="H560" s="236"/>
      <c r="I560" s="235"/>
      <c r="J560" s="236"/>
      <c r="K560" s="167"/>
      <c r="L560" s="169"/>
      <c r="M560" s="506"/>
      <c r="N560" s="602"/>
      <c r="O560" s="507"/>
      <c r="P560" s="167"/>
      <c r="Q560" s="169"/>
      <c r="R560" s="506"/>
      <c r="S560" s="507"/>
      <c r="T560" s="167"/>
      <c r="U560" s="169"/>
      <c r="V560" s="162"/>
      <c r="W560" s="163"/>
      <c r="X560" s="311"/>
      <c r="Y560" s="312"/>
      <c r="Z560" s="313"/>
      <c r="AA560" s="272"/>
      <c r="AB560" s="273"/>
      <c r="AC560" s="239" t="s">
        <v>1929</v>
      </c>
      <c r="AD560" s="240"/>
      <c r="AE560" s="31" t="s">
        <v>1356</v>
      </c>
      <c r="AF560" s="235"/>
      <c r="AG560" s="270"/>
      <c r="AH560" s="236"/>
      <c r="AI560" s="167"/>
      <c r="AJ560" s="203" t="s">
        <v>809</v>
      </c>
      <c r="AK560" s="203"/>
      <c r="AL560" s="203"/>
    </row>
    <row r="561" spans="1:38" ht="60" x14ac:dyDescent="0.3">
      <c r="A561" s="179"/>
      <c r="B561" s="235"/>
      <c r="C561" s="270"/>
      <c r="D561" s="236"/>
      <c r="E561" s="70"/>
      <c r="F561" s="235"/>
      <c r="G561" s="270"/>
      <c r="H561" s="236"/>
      <c r="I561" s="235"/>
      <c r="J561" s="236"/>
      <c r="K561" s="214"/>
      <c r="L561" s="216"/>
      <c r="M561" s="389"/>
      <c r="N561" s="496"/>
      <c r="O561" s="390"/>
      <c r="P561" s="214"/>
      <c r="Q561" s="216"/>
      <c r="R561" s="389"/>
      <c r="S561" s="390"/>
      <c r="T561" s="214"/>
      <c r="U561" s="216"/>
      <c r="V561" s="212"/>
      <c r="W561" s="213"/>
      <c r="X561" s="255"/>
      <c r="Y561" s="256"/>
      <c r="Z561" s="257"/>
      <c r="AA561" s="194"/>
      <c r="AB561" s="195"/>
      <c r="AC561" s="239" t="s">
        <v>828</v>
      </c>
      <c r="AD561" s="240"/>
      <c r="AE561" s="31" t="s">
        <v>1932</v>
      </c>
      <c r="AF561" s="235"/>
      <c r="AG561" s="270"/>
      <c r="AH561" s="236"/>
      <c r="AI561" s="167"/>
      <c r="AJ561" s="136"/>
      <c r="AK561" s="136"/>
      <c r="AL561" s="136"/>
    </row>
    <row r="562" spans="1:38" ht="15.5" x14ac:dyDescent="0.3">
      <c r="A562" s="179"/>
      <c r="B562" s="235"/>
      <c r="C562" s="270"/>
      <c r="D562" s="236"/>
      <c r="E562" s="68" t="s">
        <v>1933</v>
      </c>
      <c r="F562" s="235"/>
      <c r="G562" s="270"/>
      <c r="H562" s="236"/>
      <c r="I562" s="235"/>
      <c r="J562" s="236"/>
      <c r="K562" s="164"/>
      <c r="L562" s="166"/>
      <c r="M562" s="387">
        <v>208</v>
      </c>
      <c r="N562" s="495"/>
      <c r="O562" s="388"/>
      <c r="P562" s="164"/>
      <c r="Q562" s="166"/>
      <c r="R562" s="387">
        <v>60</v>
      </c>
      <c r="S562" s="388"/>
      <c r="T562" s="164"/>
      <c r="U562" s="166"/>
      <c r="V562" s="171" t="s">
        <v>1107</v>
      </c>
      <c r="W562" s="172"/>
      <c r="X562" s="252">
        <v>315</v>
      </c>
      <c r="Y562" s="253"/>
      <c r="Z562" s="254"/>
      <c r="AA562" s="192" t="s">
        <v>1759</v>
      </c>
      <c r="AB562" s="193"/>
      <c r="AC562" s="239" t="s">
        <v>677</v>
      </c>
      <c r="AD562" s="240"/>
      <c r="AE562" s="31"/>
      <c r="AF562" s="235"/>
      <c r="AG562" s="270"/>
      <c r="AH562" s="236"/>
      <c r="AI562" s="167"/>
      <c r="AJ562" s="136"/>
      <c r="AK562" s="136"/>
      <c r="AL562" s="136"/>
    </row>
    <row r="563" spans="1:38" ht="15" x14ac:dyDescent="0.3">
      <c r="A563" s="179"/>
      <c r="B563" s="235"/>
      <c r="C563" s="270"/>
      <c r="D563" s="236"/>
      <c r="E563" s="69"/>
      <c r="F563" s="235"/>
      <c r="G563" s="270"/>
      <c r="H563" s="236"/>
      <c r="I563" s="235"/>
      <c r="J563" s="236"/>
      <c r="K563" s="167"/>
      <c r="L563" s="169"/>
      <c r="M563" s="506"/>
      <c r="N563" s="602"/>
      <c r="O563" s="507"/>
      <c r="P563" s="167"/>
      <c r="Q563" s="169"/>
      <c r="R563" s="506"/>
      <c r="S563" s="507"/>
      <c r="T563" s="167"/>
      <c r="U563" s="169"/>
      <c r="V563" s="162"/>
      <c r="W563" s="163"/>
      <c r="X563" s="311"/>
      <c r="Y563" s="312"/>
      <c r="Z563" s="313"/>
      <c r="AA563" s="272"/>
      <c r="AB563" s="273"/>
      <c r="AC563" s="239" t="s">
        <v>678</v>
      </c>
      <c r="AD563" s="240"/>
      <c r="AE563" s="31"/>
      <c r="AF563" s="235"/>
      <c r="AG563" s="270"/>
      <c r="AH563" s="236"/>
      <c r="AI563" s="167"/>
      <c r="AJ563" s="203" t="s">
        <v>809</v>
      </c>
      <c r="AK563" s="203"/>
      <c r="AL563" s="203"/>
    </row>
    <row r="564" spans="1:38" ht="15.5" x14ac:dyDescent="0.3">
      <c r="A564" s="230"/>
      <c r="B564" s="237"/>
      <c r="C564" s="306"/>
      <c r="D564" s="238"/>
      <c r="E564" s="70"/>
      <c r="F564" s="237"/>
      <c r="G564" s="306"/>
      <c r="H564" s="238"/>
      <c r="I564" s="237"/>
      <c r="J564" s="238"/>
      <c r="K564" s="214"/>
      <c r="L564" s="216"/>
      <c r="M564" s="389"/>
      <c r="N564" s="496"/>
      <c r="O564" s="390"/>
      <c r="P564" s="214"/>
      <c r="Q564" s="216"/>
      <c r="R564" s="389"/>
      <c r="S564" s="390"/>
      <c r="T564" s="214"/>
      <c r="U564" s="216"/>
      <c r="V564" s="212"/>
      <c r="W564" s="213"/>
      <c r="X564" s="255"/>
      <c r="Y564" s="256"/>
      <c r="Z564" s="257"/>
      <c r="AA564" s="194"/>
      <c r="AB564" s="195"/>
      <c r="AC564" s="225" t="s">
        <v>1930</v>
      </c>
      <c r="AD564" s="226"/>
      <c r="AE564" s="31"/>
      <c r="AF564" s="237"/>
      <c r="AG564" s="306"/>
      <c r="AH564" s="238"/>
      <c r="AI564" s="167"/>
      <c r="AJ564" s="136"/>
      <c r="AK564" s="136"/>
      <c r="AL564" s="136"/>
    </row>
    <row r="565" spans="1:38" ht="75" x14ac:dyDescent="0.35">
      <c r="A565" s="178"/>
      <c r="B565" s="192" t="s">
        <v>1934</v>
      </c>
      <c r="C565" s="196"/>
      <c r="D565" s="193"/>
      <c r="E565" s="59" t="s">
        <v>1935</v>
      </c>
      <c r="F565" s="192" t="s">
        <v>1936</v>
      </c>
      <c r="G565" s="196"/>
      <c r="H565" s="193"/>
      <c r="I565" s="387">
        <v>14</v>
      </c>
      <c r="J565" s="388"/>
      <c r="K565" s="171" t="s">
        <v>1937</v>
      </c>
      <c r="L565" s="172"/>
      <c r="M565" s="604">
        <v>270</v>
      </c>
      <c r="N565" s="698"/>
      <c r="O565" s="605"/>
      <c r="P565" s="164"/>
      <c r="Q565" s="166"/>
      <c r="R565" s="387">
        <v>60</v>
      </c>
      <c r="S565" s="388"/>
      <c r="T565" s="164"/>
      <c r="U565" s="166"/>
      <c r="V565" s="171" t="s">
        <v>1684</v>
      </c>
      <c r="W565" s="172"/>
      <c r="X565" s="252">
        <v>420</v>
      </c>
      <c r="Y565" s="253"/>
      <c r="Z565" s="254"/>
      <c r="AA565" s="192" t="s">
        <v>1222</v>
      </c>
      <c r="AB565" s="193"/>
      <c r="AC565" s="88" t="s">
        <v>675</v>
      </c>
      <c r="AD565" s="89"/>
      <c r="AE565" s="44" t="s">
        <v>1942</v>
      </c>
      <c r="AF565" s="192" t="s">
        <v>683</v>
      </c>
      <c r="AG565" s="196"/>
      <c r="AH565" s="193"/>
      <c r="AI565" s="167"/>
      <c r="AJ565" s="122"/>
      <c r="AK565" s="122"/>
      <c r="AL565" s="122"/>
    </row>
    <row r="566" spans="1:38" ht="45" x14ac:dyDescent="0.3">
      <c r="A566" s="179"/>
      <c r="B566" s="272"/>
      <c r="C566" s="282"/>
      <c r="D566" s="273"/>
      <c r="E566" s="81"/>
      <c r="F566" s="272"/>
      <c r="G566" s="282"/>
      <c r="H566" s="273"/>
      <c r="I566" s="506"/>
      <c r="J566" s="507"/>
      <c r="K566" s="162"/>
      <c r="L566" s="163"/>
      <c r="M566" s="606"/>
      <c r="N566" s="699"/>
      <c r="O566" s="607"/>
      <c r="P566" s="167"/>
      <c r="Q566" s="169"/>
      <c r="R566" s="506"/>
      <c r="S566" s="507"/>
      <c r="T566" s="167"/>
      <c r="U566" s="169"/>
      <c r="V566" s="162"/>
      <c r="W566" s="163"/>
      <c r="X566" s="311"/>
      <c r="Y566" s="312"/>
      <c r="Z566" s="313"/>
      <c r="AA566" s="272"/>
      <c r="AB566" s="273"/>
      <c r="AC566" s="126" t="s">
        <v>1938</v>
      </c>
      <c r="AD566" s="127"/>
      <c r="AE566" s="40" t="s">
        <v>1356</v>
      </c>
      <c r="AF566" s="272"/>
      <c r="AG566" s="282"/>
      <c r="AH566" s="273"/>
      <c r="AI566" s="167"/>
      <c r="AJ566" s="203" t="s">
        <v>809</v>
      </c>
      <c r="AK566" s="203"/>
      <c r="AL566" s="203"/>
    </row>
    <row r="567" spans="1:38" ht="60" x14ac:dyDescent="0.35">
      <c r="A567" s="179"/>
      <c r="B567" s="272"/>
      <c r="C567" s="282"/>
      <c r="D567" s="273"/>
      <c r="E567" s="60"/>
      <c r="F567" s="272"/>
      <c r="G567" s="282"/>
      <c r="H567" s="273"/>
      <c r="I567" s="506"/>
      <c r="J567" s="507"/>
      <c r="K567" s="162"/>
      <c r="L567" s="163"/>
      <c r="M567" s="606"/>
      <c r="N567" s="699"/>
      <c r="O567" s="607"/>
      <c r="P567" s="167"/>
      <c r="Q567" s="169"/>
      <c r="R567" s="506"/>
      <c r="S567" s="507"/>
      <c r="T567" s="167"/>
      <c r="U567" s="169"/>
      <c r="V567" s="162"/>
      <c r="W567" s="163"/>
      <c r="X567" s="311"/>
      <c r="Y567" s="312"/>
      <c r="Z567" s="313"/>
      <c r="AA567" s="272"/>
      <c r="AB567" s="273"/>
      <c r="AC567" s="126" t="s">
        <v>1939</v>
      </c>
      <c r="AD567" s="127"/>
      <c r="AE567" s="40" t="s">
        <v>1943</v>
      </c>
      <c r="AF567" s="272"/>
      <c r="AG567" s="282"/>
      <c r="AH567" s="273"/>
      <c r="AI567" s="167"/>
      <c r="AJ567" s="122"/>
      <c r="AK567" s="122"/>
      <c r="AL567" s="122"/>
    </row>
    <row r="568" spans="1:38" ht="15.5" x14ac:dyDescent="0.35">
      <c r="A568" s="179"/>
      <c r="B568" s="272"/>
      <c r="C568" s="282"/>
      <c r="D568" s="273"/>
      <c r="E568" s="59" t="s">
        <v>1944</v>
      </c>
      <c r="F568" s="272"/>
      <c r="G568" s="282"/>
      <c r="H568" s="273"/>
      <c r="I568" s="506"/>
      <c r="J568" s="507"/>
      <c r="K568" s="162"/>
      <c r="L568" s="163"/>
      <c r="M568" s="606"/>
      <c r="N568" s="699"/>
      <c r="O568" s="607"/>
      <c r="P568" s="167"/>
      <c r="Q568" s="169"/>
      <c r="R568" s="506"/>
      <c r="S568" s="507"/>
      <c r="T568" s="167"/>
      <c r="U568" s="169"/>
      <c r="V568" s="162"/>
      <c r="W568" s="163"/>
      <c r="X568" s="311"/>
      <c r="Y568" s="312"/>
      <c r="Z568" s="313"/>
      <c r="AA568" s="272"/>
      <c r="AB568" s="273"/>
      <c r="AC568" s="126" t="s">
        <v>1940</v>
      </c>
      <c r="AD568" s="127"/>
      <c r="AE568" s="40"/>
      <c r="AF568" s="272"/>
      <c r="AG568" s="282"/>
      <c r="AH568" s="273"/>
      <c r="AI568" s="167"/>
      <c r="AJ568" s="122"/>
      <c r="AK568" s="122"/>
      <c r="AL568" s="122"/>
    </row>
    <row r="569" spans="1:38" ht="15" x14ac:dyDescent="0.3">
      <c r="A569" s="179"/>
      <c r="B569" s="272"/>
      <c r="C569" s="282"/>
      <c r="D569" s="273"/>
      <c r="E569" s="81"/>
      <c r="F569" s="272"/>
      <c r="G569" s="282"/>
      <c r="H569" s="273"/>
      <c r="I569" s="506"/>
      <c r="J569" s="507"/>
      <c r="K569" s="162"/>
      <c r="L569" s="163"/>
      <c r="M569" s="606"/>
      <c r="N569" s="699"/>
      <c r="O569" s="607"/>
      <c r="P569" s="167"/>
      <c r="Q569" s="169"/>
      <c r="R569" s="506"/>
      <c r="S569" s="507"/>
      <c r="T569" s="167"/>
      <c r="U569" s="169"/>
      <c r="V569" s="162"/>
      <c r="W569" s="163"/>
      <c r="X569" s="311"/>
      <c r="Y569" s="312"/>
      <c r="Z569" s="313"/>
      <c r="AA569" s="272"/>
      <c r="AB569" s="273"/>
      <c r="AC569" s="126" t="s">
        <v>1941</v>
      </c>
      <c r="AD569" s="127"/>
      <c r="AE569" s="40"/>
      <c r="AF569" s="272"/>
      <c r="AG569" s="282"/>
      <c r="AH569" s="273"/>
      <c r="AI569" s="167"/>
      <c r="AJ569" s="203" t="s">
        <v>809</v>
      </c>
      <c r="AK569" s="203"/>
      <c r="AL569" s="203"/>
    </row>
    <row r="570" spans="1:38" ht="15.5" x14ac:dyDescent="0.35">
      <c r="A570" s="179"/>
      <c r="B570" s="272"/>
      <c r="C570" s="282"/>
      <c r="D570" s="273"/>
      <c r="E570" s="60"/>
      <c r="F570" s="272"/>
      <c r="G570" s="282"/>
      <c r="H570" s="273"/>
      <c r="I570" s="506"/>
      <c r="J570" s="507"/>
      <c r="K570" s="162"/>
      <c r="L570" s="163"/>
      <c r="M570" s="606"/>
      <c r="N570" s="699"/>
      <c r="O570" s="607"/>
      <c r="P570" s="167"/>
      <c r="Q570" s="169"/>
      <c r="R570" s="506"/>
      <c r="S570" s="507"/>
      <c r="T570" s="167"/>
      <c r="U570" s="169"/>
      <c r="V570" s="162"/>
      <c r="W570" s="163"/>
      <c r="X570" s="311"/>
      <c r="Y570" s="312"/>
      <c r="Z570" s="313"/>
      <c r="AA570" s="272"/>
      <c r="AB570" s="273"/>
      <c r="AC570" s="126"/>
      <c r="AD570" s="127"/>
      <c r="AE570" s="40"/>
      <c r="AF570" s="272"/>
      <c r="AG570" s="282"/>
      <c r="AH570" s="273"/>
      <c r="AI570" s="167"/>
      <c r="AJ570" s="122"/>
      <c r="AK570" s="122"/>
      <c r="AL570" s="122"/>
    </row>
    <row r="571" spans="1:38" ht="15.5" x14ac:dyDescent="0.35">
      <c r="A571" s="179"/>
      <c r="B571" s="272"/>
      <c r="C571" s="282"/>
      <c r="D571" s="273"/>
      <c r="E571" s="61" t="s">
        <v>1945</v>
      </c>
      <c r="F571" s="272"/>
      <c r="G571" s="282"/>
      <c r="H571" s="273"/>
      <c r="I571" s="506"/>
      <c r="J571" s="507"/>
      <c r="K571" s="162"/>
      <c r="L571" s="163"/>
      <c r="M571" s="606"/>
      <c r="N571" s="699"/>
      <c r="O571" s="607"/>
      <c r="P571" s="167"/>
      <c r="Q571" s="169"/>
      <c r="R571" s="506"/>
      <c r="S571" s="507"/>
      <c r="T571" s="167"/>
      <c r="U571" s="169"/>
      <c r="V571" s="162"/>
      <c r="W571" s="163"/>
      <c r="X571" s="311"/>
      <c r="Y571" s="312"/>
      <c r="Z571" s="313"/>
      <c r="AA571" s="272"/>
      <c r="AB571" s="273"/>
      <c r="AC571" s="126"/>
      <c r="AD571" s="127"/>
      <c r="AE571" s="40"/>
      <c r="AF571" s="272"/>
      <c r="AG571" s="282"/>
      <c r="AH571" s="273"/>
      <c r="AI571" s="167"/>
      <c r="AJ571" s="122"/>
      <c r="AK571" s="122"/>
      <c r="AL571" s="122"/>
    </row>
    <row r="572" spans="1:38" ht="15" x14ac:dyDescent="0.3">
      <c r="A572" s="179"/>
      <c r="B572" s="272"/>
      <c r="C572" s="282"/>
      <c r="D572" s="273"/>
      <c r="E572" s="82"/>
      <c r="F572" s="272"/>
      <c r="G572" s="282"/>
      <c r="H572" s="273"/>
      <c r="I572" s="506"/>
      <c r="J572" s="507"/>
      <c r="K572" s="162"/>
      <c r="L572" s="163"/>
      <c r="M572" s="606"/>
      <c r="N572" s="699"/>
      <c r="O572" s="607"/>
      <c r="P572" s="167"/>
      <c r="Q572" s="169"/>
      <c r="R572" s="506"/>
      <c r="S572" s="507"/>
      <c r="T572" s="167"/>
      <c r="U572" s="169"/>
      <c r="V572" s="162"/>
      <c r="W572" s="163"/>
      <c r="X572" s="311"/>
      <c r="Y572" s="312"/>
      <c r="Z572" s="313"/>
      <c r="AA572" s="272"/>
      <c r="AB572" s="273"/>
      <c r="AC572" s="126"/>
      <c r="AD572" s="127"/>
      <c r="AE572" s="40"/>
      <c r="AF572" s="272"/>
      <c r="AG572" s="282"/>
      <c r="AH572" s="273"/>
      <c r="AI572" s="167"/>
      <c r="AJ572" s="203" t="s">
        <v>809</v>
      </c>
      <c r="AK572" s="203"/>
      <c r="AL572" s="203"/>
    </row>
    <row r="573" spans="1:38" ht="15.5" x14ac:dyDescent="0.35">
      <c r="A573" s="179"/>
      <c r="B573" s="272"/>
      <c r="C573" s="282"/>
      <c r="D573" s="273"/>
      <c r="E573" s="62"/>
      <c r="F573" s="272"/>
      <c r="G573" s="282"/>
      <c r="H573" s="273"/>
      <c r="I573" s="506"/>
      <c r="J573" s="507"/>
      <c r="K573" s="162"/>
      <c r="L573" s="163"/>
      <c r="M573" s="606"/>
      <c r="N573" s="699"/>
      <c r="O573" s="607"/>
      <c r="P573" s="167"/>
      <c r="Q573" s="169"/>
      <c r="R573" s="506"/>
      <c r="S573" s="507"/>
      <c r="T573" s="167"/>
      <c r="U573" s="169"/>
      <c r="V573" s="162"/>
      <c r="W573" s="163"/>
      <c r="X573" s="311"/>
      <c r="Y573" s="312"/>
      <c r="Z573" s="313"/>
      <c r="AA573" s="272"/>
      <c r="AB573" s="273"/>
      <c r="AC573" s="126"/>
      <c r="AD573" s="127"/>
      <c r="AE573" s="40"/>
      <c r="AF573" s="272"/>
      <c r="AG573" s="282"/>
      <c r="AH573" s="273"/>
      <c r="AI573" s="167"/>
      <c r="AJ573" s="122"/>
      <c r="AK573" s="122"/>
      <c r="AL573" s="122"/>
    </row>
    <row r="574" spans="1:38" ht="15.5" x14ac:dyDescent="0.35">
      <c r="A574" s="179"/>
      <c r="B574" s="272"/>
      <c r="C574" s="282"/>
      <c r="D574" s="273"/>
      <c r="E574" s="64" t="s">
        <v>1946</v>
      </c>
      <c r="F574" s="272"/>
      <c r="G574" s="282"/>
      <c r="H574" s="273"/>
      <c r="I574" s="506"/>
      <c r="J574" s="507"/>
      <c r="K574" s="162"/>
      <c r="L574" s="163"/>
      <c r="M574" s="606"/>
      <c r="N574" s="699"/>
      <c r="O574" s="607"/>
      <c r="P574" s="167"/>
      <c r="Q574" s="169"/>
      <c r="R574" s="506"/>
      <c r="S574" s="507"/>
      <c r="T574" s="167"/>
      <c r="U574" s="169"/>
      <c r="V574" s="162"/>
      <c r="W574" s="163"/>
      <c r="X574" s="311"/>
      <c r="Y574" s="312"/>
      <c r="Z574" s="313"/>
      <c r="AA574" s="272"/>
      <c r="AB574" s="273"/>
      <c r="AC574" s="126"/>
      <c r="AD574" s="127"/>
      <c r="AE574" s="40"/>
      <c r="AF574" s="272"/>
      <c r="AG574" s="282"/>
      <c r="AH574" s="273"/>
      <c r="AI574" s="167"/>
      <c r="AJ574" s="122"/>
      <c r="AK574" s="122"/>
      <c r="AL574" s="122"/>
    </row>
    <row r="575" spans="1:38" ht="15" x14ac:dyDescent="0.3">
      <c r="A575" s="179"/>
      <c r="B575" s="272"/>
      <c r="C575" s="282"/>
      <c r="D575" s="273"/>
      <c r="E575" s="63"/>
      <c r="F575" s="272"/>
      <c r="G575" s="282"/>
      <c r="H575" s="273"/>
      <c r="I575" s="506"/>
      <c r="J575" s="507"/>
      <c r="K575" s="162"/>
      <c r="L575" s="163"/>
      <c r="M575" s="606"/>
      <c r="N575" s="699"/>
      <c r="O575" s="607"/>
      <c r="P575" s="167"/>
      <c r="Q575" s="169"/>
      <c r="R575" s="506"/>
      <c r="S575" s="507"/>
      <c r="T575" s="167"/>
      <c r="U575" s="169"/>
      <c r="V575" s="162"/>
      <c r="W575" s="163"/>
      <c r="X575" s="311"/>
      <c r="Y575" s="312"/>
      <c r="Z575" s="313"/>
      <c r="AA575" s="272"/>
      <c r="AB575" s="273"/>
      <c r="AC575" s="126"/>
      <c r="AD575" s="127"/>
      <c r="AE575" s="40"/>
      <c r="AF575" s="272"/>
      <c r="AG575" s="282"/>
      <c r="AH575" s="273"/>
      <c r="AI575" s="167"/>
      <c r="AJ575" s="203" t="s">
        <v>809</v>
      </c>
      <c r="AK575" s="203"/>
      <c r="AL575" s="203"/>
    </row>
    <row r="576" spans="1:38" ht="15.5" x14ac:dyDescent="0.35">
      <c r="A576" s="230"/>
      <c r="B576" s="194"/>
      <c r="C576" s="197"/>
      <c r="D576" s="195"/>
      <c r="E576" s="65"/>
      <c r="F576" s="194"/>
      <c r="G576" s="197"/>
      <c r="H576" s="195"/>
      <c r="I576" s="389"/>
      <c r="J576" s="390"/>
      <c r="K576" s="212"/>
      <c r="L576" s="213"/>
      <c r="M576" s="608"/>
      <c r="N576" s="700"/>
      <c r="O576" s="609"/>
      <c r="P576" s="214"/>
      <c r="Q576" s="216"/>
      <c r="R576" s="389"/>
      <c r="S576" s="390"/>
      <c r="T576" s="214"/>
      <c r="U576" s="216"/>
      <c r="V576" s="212"/>
      <c r="W576" s="213"/>
      <c r="X576" s="255"/>
      <c r="Y576" s="256"/>
      <c r="Z576" s="257"/>
      <c r="AA576" s="194"/>
      <c r="AB576" s="195"/>
      <c r="AC576" s="117"/>
      <c r="AD576" s="118"/>
      <c r="AE576" s="40"/>
      <c r="AF576" s="194"/>
      <c r="AG576" s="197"/>
      <c r="AH576" s="195"/>
      <c r="AI576" s="167"/>
      <c r="AJ576" s="122"/>
      <c r="AK576" s="122"/>
      <c r="AL576" s="122"/>
    </row>
    <row r="577" spans="1:38" ht="90" x14ac:dyDescent="0.35">
      <c r="A577" s="178"/>
      <c r="B577" s="171" t="s">
        <v>1947</v>
      </c>
      <c r="C577" s="407"/>
      <c r="D577" s="172"/>
      <c r="E577" s="68" t="s">
        <v>1948</v>
      </c>
      <c r="F577" s="88" t="s">
        <v>1949</v>
      </c>
      <c r="G577" s="153"/>
      <c r="H577" s="89"/>
      <c r="I577" s="88" t="s">
        <v>1950</v>
      </c>
      <c r="J577" s="89"/>
      <c r="K577" s="149"/>
      <c r="L577" s="150"/>
      <c r="M577" s="387">
        <v>110</v>
      </c>
      <c r="N577" s="495"/>
      <c r="O577" s="388"/>
      <c r="P577" s="149"/>
      <c r="Q577" s="150"/>
      <c r="R577" s="387">
        <v>27</v>
      </c>
      <c r="S577" s="388"/>
      <c r="T577" s="149"/>
      <c r="U577" s="150"/>
      <c r="V577" s="171" t="s">
        <v>1952</v>
      </c>
      <c r="W577" s="172"/>
      <c r="X577" s="252">
        <v>280</v>
      </c>
      <c r="Y577" s="253"/>
      <c r="Z577" s="254"/>
      <c r="AA577" s="192" t="s">
        <v>873</v>
      </c>
      <c r="AB577" s="193"/>
      <c r="AC577" s="223" t="s">
        <v>675</v>
      </c>
      <c r="AD577" s="224"/>
      <c r="AE577" s="24" t="s">
        <v>1955</v>
      </c>
      <c r="AF577" s="192" t="s">
        <v>683</v>
      </c>
      <c r="AG577" s="196"/>
      <c r="AH577" s="193"/>
      <c r="AI577" s="167"/>
      <c r="AJ577" s="122"/>
      <c r="AK577" s="122"/>
      <c r="AL577" s="122"/>
    </row>
    <row r="578" spans="1:38" ht="45" x14ac:dyDescent="0.3">
      <c r="A578" s="179"/>
      <c r="B578" s="162"/>
      <c r="C578" s="170"/>
      <c r="D578" s="163"/>
      <c r="E578" s="69"/>
      <c r="F578" s="126"/>
      <c r="G578" s="203"/>
      <c r="H578" s="127"/>
      <c r="I578" s="126" t="s">
        <v>1951</v>
      </c>
      <c r="J578" s="127"/>
      <c r="K578" s="135"/>
      <c r="L578" s="137"/>
      <c r="M578" s="506"/>
      <c r="N578" s="602"/>
      <c r="O578" s="507"/>
      <c r="P578" s="135"/>
      <c r="Q578" s="137"/>
      <c r="R578" s="506"/>
      <c r="S578" s="507"/>
      <c r="T578" s="135"/>
      <c r="U578" s="137"/>
      <c r="V578" s="162"/>
      <c r="W578" s="163"/>
      <c r="X578" s="311"/>
      <c r="Y578" s="312"/>
      <c r="Z578" s="313"/>
      <c r="AA578" s="272"/>
      <c r="AB578" s="273"/>
      <c r="AC578" s="239" t="s">
        <v>1953</v>
      </c>
      <c r="AD578" s="240"/>
      <c r="AE578" s="31" t="s">
        <v>1356</v>
      </c>
      <c r="AF578" s="272"/>
      <c r="AG578" s="282"/>
      <c r="AH578" s="273"/>
      <c r="AI578" s="167"/>
      <c r="AJ578" s="203" t="s">
        <v>809</v>
      </c>
      <c r="AK578" s="203"/>
      <c r="AL578" s="203"/>
    </row>
    <row r="579" spans="1:38" ht="60" x14ac:dyDescent="0.35">
      <c r="A579" s="179"/>
      <c r="B579" s="162"/>
      <c r="C579" s="170"/>
      <c r="D579" s="163"/>
      <c r="E579" s="70"/>
      <c r="F579" s="117"/>
      <c r="G579" s="154"/>
      <c r="H579" s="118"/>
      <c r="I579" s="117"/>
      <c r="J579" s="118"/>
      <c r="K579" s="151"/>
      <c r="L579" s="152"/>
      <c r="M579" s="389"/>
      <c r="N579" s="496"/>
      <c r="O579" s="390"/>
      <c r="P579" s="151"/>
      <c r="Q579" s="152"/>
      <c r="R579" s="389"/>
      <c r="S579" s="390"/>
      <c r="T579" s="151"/>
      <c r="U579" s="152"/>
      <c r="V579" s="212"/>
      <c r="W579" s="213"/>
      <c r="X579" s="255"/>
      <c r="Y579" s="256"/>
      <c r="Z579" s="257"/>
      <c r="AA579" s="194"/>
      <c r="AB579" s="195"/>
      <c r="AC579" s="239" t="s">
        <v>677</v>
      </c>
      <c r="AD579" s="240"/>
      <c r="AE579" s="31" t="s">
        <v>1956</v>
      </c>
      <c r="AF579" s="272"/>
      <c r="AG579" s="282"/>
      <c r="AH579" s="273"/>
      <c r="AI579" s="167"/>
      <c r="AJ579" s="122"/>
      <c r="AK579" s="122"/>
      <c r="AL579" s="122"/>
    </row>
    <row r="580" spans="1:38" ht="15.5" x14ac:dyDescent="0.35">
      <c r="A580" s="179"/>
      <c r="B580" s="162"/>
      <c r="C580" s="170"/>
      <c r="D580" s="163"/>
      <c r="E580" s="64" t="s">
        <v>1957</v>
      </c>
      <c r="F580" s="192" t="s">
        <v>1958</v>
      </c>
      <c r="G580" s="196"/>
      <c r="H580" s="193"/>
      <c r="I580" s="192" t="s">
        <v>1959</v>
      </c>
      <c r="J580" s="193"/>
      <c r="K580" s="149"/>
      <c r="L580" s="150"/>
      <c r="M580" s="204">
        <v>200</v>
      </c>
      <c r="N580" s="250"/>
      <c r="O580" s="205"/>
      <c r="P580" s="149"/>
      <c r="Q580" s="150"/>
      <c r="R580" s="204">
        <v>70</v>
      </c>
      <c r="S580" s="205"/>
      <c r="T580" s="149"/>
      <c r="U580" s="150"/>
      <c r="V580" s="88" t="s">
        <v>1960</v>
      </c>
      <c r="W580" s="89"/>
      <c r="X580" s="241">
        <v>330</v>
      </c>
      <c r="Y580" s="242"/>
      <c r="Z580" s="243"/>
      <c r="AA580" s="143" t="s">
        <v>1751</v>
      </c>
      <c r="AB580" s="145"/>
      <c r="AC580" s="239" t="s">
        <v>678</v>
      </c>
      <c r="AD580" s="240"/>
      <c r="AE580" s="31"/>
      <c r="AF580" s="272"/>
      <c r="AG580" s="282"/>
      <c r="AH580" s="273"/>
      <c r="AI580" s="167"/>
      <c r="AJ580" s="122"/>
      <c r="AK580" s="122"/>
      <c r="AL580" s="122"/>
    </row>
    <row r="581" spans="1:38" ht="15" x14ac:dyDescent="0.3">
      <c r="A581" s="179"/>
      <c r="B581" s="162"/>
      <c r="C581" s="170"/>
      <c r="D581" s="163"/>
      <c r="E581" s="63"/>
      <c r="F581" s="272"/>
      <c r="G581" s="282"/>
      <c r="H581" s="273"/>
      <c r="I581" s="272"/>
      <c r="J581" s="273"/>
      <c r="K581" s="135"/>
      <c r="L581" s="137"/>
      <c r="M581" s="231"/>
      <c r="N581" s="683"/>
      <c r="O581" s="232"/>
      <c r="P581" s="135"/>
      <c r="Q581" s="137"/>
      <c r="R581" s="231"/>
      <c r="S581" s="232"/>
      <c r="T581" s="135"/>
      <c r="U581" s="137"/>
      <c r="V581" s="126"/>
      <c r="W581" s="127"/>
      <c r="X581" s="247"/>
      <c r="Y581" s="248"/>
      <c r="Z581" s="249"/>
      <c r="AA581" s="104"/>
      <c r="AB581" s="105"/>
      <c r="AC581" s="239" t="s">
        <v>1954</v>
      </c>
      <c r="AD581" s="240"/>
      <c r="AE581" s="31"/>
      <c r="AF581" s="272"/>
      <c r="AG581" s="282"/>
      <c r="AH581" s="273"/>
      <c r="AI581" s="167"/>
      <c r="AJ581" s="203" t="s">
        <v>809</v>
      </c>
      <c r="AK581" s="203"/>
      <c r="AL581" s="203"/>
    </row>
    <row r="582" spans="1:38" ht="15.5" x14ac:dyDescent="0.35">
      <c r="A582" s="179"/>
      <c r="B582" s="162"/>
      <c r="C582" s="170"/>
      <c r="D582" s="163"/>
      <c r="E582" s="65"/>
      <c r="F582" s="272"/>
      <c r="G582" s="282"/>
      <c r="H582" s="273"/>
      <c r="I582" s="272"/>
      <c r="J582" s="273"/>
      <c r="K582" s="151"/>
      <c r="L582" s="152"/>
      <c r="M582" s="206"/>
      <c r="N582" s="251"/>
      <c r="O582" s="207"/>
      <c r="P582" s="151"/>
      <c r="Q582" s="152"/>
      <c r="R582" s="206"/>
      <c r="S582" s="207"/>
      <c r="T582" s="151"/>
      <c r="U582" s="152"/>
      <c r="V582" s="117"/>
      <c r="W582" s="118"/>
      <c r="X582" s="244"/>
      <c r="Y582" s="245"/>
      <c r="Z582" s="246"/>
      <c r="AA582" s="146"/>
      <c r="AB582" s="148"/>
      <c r="AC582" s="239"/>
      <c r="AD582" s="240"/>
      <c r="AE582" s="31"/>
      <c r="AF582" s="272"/>
      <c r="AG582" s="282"/>
      <c r="AH582" s="273"/>
      <c r="AI582" s="167"/>
      <c r="AJ582" s="122"/>
      <c r="AK582" s="122"/>
      <c r="AL582" s="122"/>
    </row>
    <row r="583" spans="1:38" ht="15.5" x14ac:dyDescent="0.35">
      <c r="A583" s="179"/>
      <c r="B583" s="162"/>
      <c r="C583" s="170"/>
      <c r="D583" s="163"/>
      <c r="E583" s="64" t="s">
        <v>1961</v>
      </c>
      <c r="F583" s="272"/>
      <c r="G583" s="282"/>
      <c r="H583" s="273"/>
      <c r="I583" s="272"/>
      <c r="J583" s="273"/>
      <c r="K583" s="149"/>
      <c r="L583" s="150"/>
      <c r="M583" s="204">
        <v>200</v>
      </c>
      <c r="N583" s="250"/>
      <c r="O583" s="205"/>
      <c r="P583" s="149"/>
      <c r="Q583" s="150"/>
      <c r="R583" s="204">
        <v>70</v>
      </c>
      <c r="S583" s="205"/>
      <c r="T583" s="149"/>
      <c r="U583" s="150"/>
      <c r="V583" s="88" t="s">
        <v>1960</v>
      </c>
      <c r="W583" s="89"/>
      <c r="X583" s="241">
        <v>330</v>
      </c>
      <c r="Y583" s="242"/>
      <c r="Z583" s="243"/>
      <c r="AA583" s="143" t="s">
        <v>1751</v>
      </c>
      <c r="AB583" s="145"/>
      <c r="AC583" s="239"/>
      <c r="AD583" s="240"/>
      <c r="AE583" s="31"/>
      <c r="AF583" s="272"/>
      <c r="AG583" s="282"/>
      <c r="AH583" s="273"/>
      <c r="AI583" s="167"/>
      <c r="AJ583" s="122"/>
      <c r="AK583" s="122"/>
      <c r="AL583" s="122"/>
    </row>
    <row r="584" spans="1:38" ht="15" x14ac:dyDescent="0.3">
      <c r="A584" s="179"/>
      <c r="B584" s="162"/>
      <c r="C584" s="170"/>
      <c r="D584" s="163"/>
      <c r="E584" s="63"/>
      <c r="F584" s="272"/>
      <c r="G584" s="282"/>
      <c r="H584" s="273"/>
      <c r="I584" s="272"/>
      <c r="J584" s="273"/>
      <c r="K584" s="135"/>
      <c r="L584" s="137"/>
      <c r="M584" s="231"/>
      <c r="N584" s="683"/>
      <c r="O584" s="232"/>
      <c r="P584" s="135"/>
      <c r="Q584" s="137"/>
      <c r="R584" s="231"/>
      <c r="S584" s="232"/>
      <c r="T584" s="135"/>
      <c r="U584" s="137"/>
      <c r="V584" s="126"/>
      <c r="W584" s="127"/>
      <c r="X584" s="247"/>
      <c r="Y584" s="248"/>
      <c r="Z584" s="249"/>
      <c r="AA584" s="104"/>
      <c r="AB584" s="105"/>
      <c r="AC584" s="239"/>
      <c r="AD584" s="240"/>
      <c r="AE584" s="31"/>
      <c r="AF584" s="272"/>
      <c r="AG584" s="282"/>
      <c r="AH584" s="273"/>
      <c r="AI584" s="167"/>
      <c r="AJ584" s="203" t="s">
        <v>809</v>
      </c>
      <c r="AK584" s="203"/>
      <c r="AL584" s="203"/>
    </row>
    <row r="585" spans="1:38" ht="15.5" x14ac:dyDescent="0.35">
      <c r="A585" s="179"/>
      <c r="B585" s="162"/>
      <c r="C585" s="170"/>
      <c r="D585" s="163"/>
      <c r="E585" s="65"/>
      <c r="F585" s="272"/>
      <c r="G585" s="282"/>
      <c r="H585" s="273"/>
      <c r="I585" s="272"/>
      <c r="J585" s="273"/>
      <c r="K585" s="151"/>
      <c r="L585" s="152"/>
      <c r="M585" s="206"/>
      <c r="N585" s="251"/>
      <c r="O585" s="207"/>
      <c r="P585" s="151"/>
      <c r="Q585" s="152"/>
      <c r="R585" s="206"/>
      <c r="S585" s="207"/>
      <c r="T585" s="151"/>
      <c r="U585" s="152"/>
      <c r="V585" s="117"/>
      <c r="W585" s="118"/>
      <c r="X585" s="244"/>
      <c r="Y585" s="245"/>
      <c r="Z585" s="246"/>
      <c r="AA585" s="146"/>
      <c r="AB585" s="148"/>
      <c r="AC585" s="239"/>
      <c r="AD585" s="240"/>
      <c r="AE585" s="31"/>
      <c r="AF585" s="272"/>
      <c r="AG585" s="282"/>
      <c r="AH585" s="273"/>
      <c r="AI585" s="167"/>
      <c r="AJ585" s="122"/>
      <c r="AK585" s="122"/>
      <c r="AL585" s="122"/>
    </row>
    <row r="586" spans="1:38" ht="15.5" x14ac:dyDescent="0.35">
      <c r="A586" s="179"/>
      <c r="B586" s="162"/>
      <c r="C586" s="170"/>
      <c r="D586" s="163"/>
      <c r="E586" s="64" t="s">
        <v>1962</v>
      </c>
      <c r="F586" s="272"/>
      <c r="G586" s="282"/>
      <c r="H586" s="273"/>
      <c r="I586" s="272"/>
      <c r="J586" s="273"/>
      <c r="K586" s="149"/>
      <c r="L586" s="150"/>
      <c r="M586" s="204">
        <v>200</v>
      </c>
      <c r="N586" s="250"/>
      <c r="O586" s="205"/>
      <c r="P586" s="149"/>
      <c r="Q586" s="150"/>
      <c r="R586" s="204">
        <v>70</v>
      </c>
      <c r="S586" s="205"/>
      <c r="T586" s="149"/>
      <c r="U586" s="150"/>
      <c r="V586" s="88" t="s">
        <v>1960</v>
      </c>
      <c r="W586" s="89"/>
      <c r="X586" s="241">
        <v>330</v>
      </c>
      <c r="Y586" s="242"/>
      <c r="Z586" s="243"/>
      <c r="AA586" s="143" t="s">
        <v>1751</v>
      </c>
      <c r="AB586" s="145"/>
      <c r="AC586" s="239"/>
      <c r="AD586" s="240"/>
      <c r="AE586" s="31"/>
      <c r="AF586" s="272"/>
      <c r="AG586" s="282"/>
      <c r="AH586" s="273"/>
      <c r="AI586" s="167"/>
      <c r="AJ586" s="122"/>
      <c r="AK586" s="122"/>
      <c r="AL586" s="122"/>
    </row>
    <row r="587" spans="1:38" ht="15" x14ac:dyDescent="0.3">
      <c r="A587" s="179"/>
      <c r="B587" s="162"/>
      <c r="C587" s="170"/>
      <c r="D587" s="163"/>
      <c r="E587" s="65"/>
      <c r="F587" s="272"/>
      <c r="G587" s="282"/>
      <c r="H587" s="273"/>
      <c r="I587" s="272"/>
      <c r="J587" s="273"/>
      <c r="K587" s="151"/>
      <c r="L587" s="152"/>
      <c r="M587" s="206"/>
      <c r="N587" s="251"/>
      <c r="O587" s="207"/>
      <c r="P587" s="151"/>
      <c r="Q587" s="152"/>
      <c r="R587" s="206"/>
      <c r="S587" s="207"/>
      <c r="T587" s="151"/>
      <c r="U587" s="152"/>
      <c r="V587" s="117"/>
      <c r="W587" s="118"/>
      <c r="X587" s="244"/>
      <c r="Y587" s="245"/>
      <c r="Z587" s="246"/>
      <c r="AA587" s="146"/>
      <c r="AB587" s="148"/>
      <c r="AC587" s="239"/>
      <c r="AD587" s="240"/>
      <c r="AE587" s="31"/>
      <c r="AF587" s="272"/>
      <c r="AG587" s="282"/>
      <c r="AH587" s="273"/>
      <c r="AI587" s="167"/>
      <c r="AJ587" s="203" t="s">
        <v>809</v>
      </c>
      <c r="AK587" s="203"/>
      <c r="AL587" s="203"/>
    </row>
    <row r="588" spans="1:38" ht="60" x14ac:dyDescent="0.3">
      <c r="A588" s="179"/>
      <c r="B588" s="162"/>
      <c r="C588" s="170"/>
      <c r="D588" s="163"/>
      <c r="E588" s="28" t="s">
        <v>1964</v>
      </c>
      <c r="F588" s="272"/>
      <c r="G588" s="282"/>
      <c r="H588" s="273"/>
      <c r="I588" s="272"/>
      <c r="J588" s="273"/>
      <c r="K588" s="460"/>
      <c r="L588" s="461"/>
      <c r="M588" s="183">
        <v>200</v>
      </c>
      <c r="N588" s="184"/>
      <c r="O588" s="185"/>
      <c r="P588" s="460"/>
      <c r="Q588" s="461"/>
      <c r="R588" s="183">
        <v>70</v>
      </c>
      <c r="S588" s="185"/>
      <c r="T588" s="460"/>
      <c r="U588" s="461"/>
      <c r="V588" s="114" t="s">
        <v>1960</v>
      </c>
      <c r="W588" s="116"/>
      <c r="X588" s="227">
        <v>330</v>
      </c>
      <c r="Y588" s="228"/>
      <c r="Z588" s="229"/>
      <c r="AA588" s="110" t="s">
        <v>1751</v>
      </c>
      <c r="AB588" s="111"/>
      <c r="AC588" s="239"/>
      <c r="AD588" s="240"/>
      <c r="AE588" s="31"/>
      <c r="AF588" s="272"/>
      <c r="AG588" s="282"/>
      <c r="AH588" s="273"/>
      <c r="AI588" s="167"/>
      <c r="AJ588" s="203" t="s">
        <v>809</v>
      </c>
      <c r="AK588" s="203"/>
      <c r="AL588" s="203"/>
    </row>
    <row r="589" spans="1:38" ht="60" x14ac:dyDescent="0.35">
      <c r="A589" s="179"/>
      <c r="B589" s="162"/>
      <c r="C589" s="170"/>
      <c r="D589" s="163"/>
      <c r="E589" s="28" t="s">
        <v>1965</v>
      </c>
      <c r="F589" s="272"/>
      <c r="G589" s="282"/>
      <c r="H589" s="273"/>
      <c r="I589" s="272"/>
      <c r="J589" s="273"/>
      <c r="K589" s="107"/>
      <c r="L589" s="109"/>
      <c r="M589" s="183">
        <v>200</v>
      </c>
      <c r="N589" s="184"/>
      <c r="O589" s="185"/>
      <c r="P589" s="107"/>
      <c r="Q589" s="109"/>
      <c r="R589" s="183">
        <v>70</v>
      </c>
      <c r="S589" s="185"/>
      <c r="T589" s="107"/>
      <c r="U589" s="109"/>
      <c r="V589" s="114" t="s">
        <v>1960</v>
      </c>
      <c r="W589" s="116"/>
      <c r="X589" s="227">
        <v>330</v>
      </c>
      <c r="Y589" s="228"/>
      <c r="Z589" s="229"/>
      <c r="AA589" s="110" t="s">
        <v>1751</v>
      </c>
      <c r="AB589" s="111"/>
      <c r="AC589" s="239"/>
      <c r="AD589" s="240"/>
      <c r="AE589" s="31"/>
      <c r="AF589" s="272"/>
      <c r="AG589" s="282"/>
      <c r="AH589" s="273"/>
      <c r="AI589" s="167"/>
      <c r="AJ589" s="203" t="s">
        <v>1963</v>
      </c>
      <c r="AK589" s="203"/>
      <c r="AL589" s="203"/>
    </row>
    <row r="590" spans="1:38" ht="15" x14ac:dyDescent="0.3">
      <c r="A590" s="179"/>
      <c r="B590" s="162"/>
      <c r="C590" s="170"/>
      <c r="D590" s="163"/>
      <c r="E590" s="64" t="s">
        <v>1966</v>
      </c>
      <c r="F590" s="272"/>
      <c r="G590" s="282"/>
      <c r="H590" s="273"/>
      <c r="I590" s="272"/>
      <c r="J590" s="273"/>
      <c r="K590" s="149"/>
      <c r="L590" s="150"/>
      <c r="M590" s="204">
        <v>200</v>
      </c>
      <c r="N590" s="250"/>
      <c r="O590" s="205"/>
      <c r="P590" s="149"/>
      <c r="Q590" s="150"/>
      <c r="R590" s="204">
        <v>70</v>
      </c>
      <c r="S590" s="205"/>
      <c r="T590" s="149"/>
      <c r="U590" s="150"/>
      <c r="V590" s="88" t="s">
        <v>1960</v>
      </c>
      <c r="W590" s="89"/>
      <c r="X590" s="241">
        <v>330</v>
      </c>
      <c r="Y590" s="242"/>
      <c r="Z590" s="243"/>
      <c r="AA590" s="143" t="s">
        <v>1751</v>
      </c>
      <c r="AB590" s="145"/>
      <c r="AC590" s="239"/>
      <c r="AD590" s="240"/>
      <c r="AE590" s="31"/>
      <c r="AF590" s="272"/>
      <c r="AG590" s="282"/>
      <c r="AH590" s="273"/>
      <c r="AI590" s="167"/>
      <c r="AJ590" s="203"/>
      <c r="AK590" s="203"/>
      <c r="AL590" s="203"/>
    </row>
    <row r="591" spans="1:38" ht="15.5" x14ac:dyDescent="0.35">
      <c r="A591" s="179"/>
      <c r="B591" s="162"/>
      <c r="C591" s="170"/>
      <c r="D591" s="163"/>
      <c r="E591" s="65"/>
      <c r="F591" s="272"/>
      <c r="G591" s="282"/>
      <c r="H591" s="273"/>
      <c r="I591" s="272"/>
      <c r="J591" s="273"/>
      <c r="K591" s="151"/>
      <c r="L591" s="152"/>
      <c r="M591" s="206"/>
      <c r="N591" s="251"/>
      <c r="O591" s="207"/>
      <c r="P591" s="151"/>
      <c r="Q591" s="152"/>
      <c r="R591" s="206"/>
      <c r="S591" s="207"/>
      <c r="T591" s="151"/>
      <c r="U591" s="152"/>
      <c r="V591" s="117"/>
      <c r="W591" s="118"/>
      <c r="X591" s="244"/>
      <c r="Y591" s="245"/>
      <c r="Z591" s="246"/>
      <c r="AA591" s="146"/>
      <c r="AB591" s="148"/>
      <c r="AC591" s="239"/>
      <c r="AD591" s="240"/>
      <c r="AE591" s="31"/>
      <c r="AF591" s="272"/>
      <c r="AG591" s="282"/>
      <c r="AH591" s="273"/>
      <c r="AI591" s="167"/>
      <c r="AJ591" s="122"/>
      <c r="AK591" s="122"/>
      <c r="AL591" s="122"/>
    </row>
    <row r="592" spans="1:38" ht="15.5" x14ac:dyDescent="0.35">
      <c r="A592" s="179"/>
      <c r="B592" s="162"/>
      <c r="C592" s="170"/>
      <c r="D592" s="163"/>
      <c r="E592" s="64" t="s">
        <v>1967</v>
      </c>
      <c r="F592" s="272"/>
      <c r="G592" s="282"/>
      <c r="H592" s="273"/>
      <c r="I592" s="272"/>
      <c r="J592" s="273"/>
      <c r="K592" s="149"/>
      <c r="L592" s="150"/>
      <c r="M592" s="204">
        <v>200</v>
      </c>
      <c r="N592" s="250"/>
      <c r="O592" s="205"/>
      <c r="P592" s="149"/>
      <c r="Q592" s="150"/>
      <c r="R592" s="204">
        <v>70</v>
      </c>
      <c r="S592" s="205"/>
      <c r="T592" s="149"/>
      <c r="U592" s="150"/>
      <c r="V592" s="88" t="s">
        <v>1960</v>
      </c>
      <c r="W592" s="89"/>
      <c r="X592" s="241">
        <v>330</v>
      </c>
      <c r="Y592" s="242"/>
      <c r="Z592" s="243"/>
      <c r="AA592" s="143" t="s">
        <v>1751</v>
      </c>
      <c r="AB592" s="145"/>
      <c r="AC592" s="239"/>
      <c r="AD592" s="240"/>
      <c r="AE592" s="31"/>
      <c r="AF592" s="272"/>
      <c r="AG592" s="282"/>
      <c r="AH592" s="273"/>
      <c r="AI592" s="167"/>
      <c r="AJ592" s="122"/>
      <c r="AK592" s="122"/>
      <c r="AL592" s="122"/>
    </row>
    <row r="593" spans="1:38" ht="15" x14ac:dyDescent="0.3">
      <c r="A593" s="179"/>
      <c r="B593" s="162"/>
      <c r="C593" s="170"/>
      <c r="D593" s="163"/>
      <c r="E593" s="63"/>
      <c r="F593" s="272"/>
      <c r="G593" s="282"/>
      <c r="H593" s="273"/>
      <c r="I593" s="272"/>
      <c r="J593" s="273"/>
      <c r="K593" s="135"/>
      <c r="L593" s="137"/>
      <c r="M593" s="231"/>
      <c r="N593" s="683"/>
      <c r="O593" s="232"/>
      <c r="P593" s="135"/>
      <c r="Q593" s="137"/>
      <c r="R593" s="231"/>
      <c r="S593" s="232"/>
      <c r="T593" s="135"/>
      <c r="U593" s="137"/>
      <c r="V593" s="126"/>
      <c r="W593" s="127"/>
      <c r="X593" s="247"/>
      <c r="Y593" s="248"/>
      <c r="Z593" s="249"/>
      <c r="AA593" s="104"/>
      <c r="AB593" s="105"/>
      <c r="AC593" s="239"/>
      <c r="AD593" s="240"/>
      <c r="AE593" s="31"/>
      <c r="AF593" s="272"/>
      <c r="AG593" s="282"/>
      <c r="AH593" s="273"/>
      <c r="AI593" s="167"/>
      <c r="AJ593" s="203" t="s">
        <v>809</v>
      </c>
      <c r="AK593" s="203"/>
      <c r="AL593" s="203"/>
    </row>
    <row r="594" spans="1:38" ht="15.5" x14ac:dyDescent="0.35">
      <c r="A594" s="179"/>
      <c r="B594" s="162"/>
      <c r="C594" s="170"/>
      <c r="D594" s="163"/>
      <c r="E594" s="65"/>
      <c r="F594" s="272"/>
      <c r="G594" s="282"/>
      <c r="H594" s="273"/>
      <c r="I594" s="272"/>
      <c r="J594" s="273"/>
      <c r="K594" s="151"/>
      <c r="L594" s="152"/>
      <c r="M594" s="206"/>
      <c r="N594" s="251"/>
      <c r="O594" s="207"/>
      <c r="P594" s="151"/>
      <c r="Q594" s="152"/>
      <c r="R594" s="206"/>
      <c r="S594" s="207"/>
      <c r="T594" s="151"/>
      <c r="U594" s="152"/>
      <c r="V594" s="117"/>
      <c r="W594" s="118"/>
      <c r="X594" s="244"/>
      <c r="Y594" s="245"/>
      <c r="Z594" s="246"/>
      <c r="AA594" s="146"/>
      <c r="AB594" s="148"/>
      <c r="AC594" s="239"/>
      <c r="AD594" s="240"/>
      <c r="AE594" s="31"/>
      <c r="AF594" s="272"/>
      <c r="AG594" s="282"/>
      <c r="AH594" s="273"/>
      <c r="AI594" s="167"/>
      <c r="AJ594" s="122"/>
      <c r="AK594" s="122"/>
      <c r="AL594" s="122"/>
    </row>
    <row r="595" spans="1:38" ht="15.5" x14ac:dyDescent="0.35">
      <c r="A595" s="179"/>
      <c r="B595" s="162"/>
      <c r="C595" s="170"/>
      <c r="D595" s="163"/>
      <c r="E595" s="64" t="s">
        <v>1968</v>
      </c>
      <c r="F595" s="272"/>
      <c r="G595" s="282"/>
      <c r="H595" s="273"/>
      <c r="I595" s="272"/>
      <c r="J595" s="273"/>
      <c r="K595" s="149"/>
      <c r="L595" s="150"/>
      <c r="M595" s="204">
        <v>200</v>
      </c>
      <c r="N595" s="250"/>
      <c r="O595" s="205"/>
      <c r="P595" s="149"/>
      <c r="Q595" s="150"/>
      <c r="R595" s="204">
        <v>70</v>
      </c>
      <c r="S595" s="205"/>
      <c r="T595" s="149"/>
      <c r="U595" s="150"/>
      <c r="V595" s="88" t="s">
        <v>1960</v>
      </c>
      <c r="W595" s="89"/>
      <c r="X595" s="241">
        <v>330</v>
      </c>
      <c r="Y595" s="242"/>
      <c r="Z595" s="243"/>
      <c r="AA595" s="143" t="s">
        <v>1751</v>
      </c>
      <c r="AB595" s="145"/>
      <c r="AC595" s="239"/>
      <c r="AD595" s="240"/>
      <c r="AE595" s="31"/>
      <c r="AF595" s="272"/>
      <c r="AG595" s="282"/>
      <c r="AH595" s="273"/>
      <c r="AI595" s="167"/>
      <c r="AJ595" s="122"/>
      <c r="AK595" s="122"/>
      <c r="AL595" s="122"/>
    </row>
    <row r="596" spans="1:38" ht="15" x14ac:dyDescent="0.3">
      <c r="A596" s="179"/>
      <c r="B596" s="162"/>
      <c r="C596" s="170"/>
      <c r="D596" s="163"/>
      <c r="E596" s="63"/>
      <c r="F596" s="272"/>
      <c r="G596" s="282"/>
      <c r="H596" s="273"/>
      <c r="I596" s="272"/>
      <c r="J596" s="273"/>
      <c r="K596" s="135"/>
      <c r="L596" s="137"/>
      <c r="M596" s="231"/>
      <c r="N596" s="683"/>
      <c r="O596" s="232"/>
      <c r="P596" s="135"/>
      <c r="Q596" s="137"/>
      <c r="R596" s="231"/>
      <c r="S596" s="232"/>
      <c r="T596" s="135"/>
      <c r="U596" s="137"/>
      <c r="V596" s="126"/>
      <c r="W596" s="127"/>
      <c r="X596" s="247"/>
      <c r="Y596" s="248"/>
      <c r="Z596" s="249"/>
      <c r="AA596" s="104"/>
      <c r="AB596" s="105"/>
      <c r="AC596" s="239"/>
      <c r="AD596" s="240"/>
      <c r="AE596" s="31"/>
      <c r="AF596" s="272"/>
      <c r="AG596" s="282"/>
      <c r="AH596" s="273"/>
      <c r="AI596" s="167"/>
      <c r="AJ596" s="203" t="s">
        <v>809</v>
      </c>
      <c r="AK596" s="203"/>
      <c r="AL596" s="203"/>
    </row>
    <row r="597" spans="1:38" ht="15.5" x14ac:dyDescent="0.35">
      <c r="A597" s="179"/>
      <c r="B597" s="162"/>
      <c r="C597" s="170"/>
      <c r="D597" s="163"/>
      <c r="E597" s="65"/>
      <c r="F597" s="272"/>
      <c r="G597" s="282"/>
      <c r="H597" s="273"/>
      <c r="I597" s="272"/>
      <c r="J597" s="273"/>
      <c r="K597" s="151"/>
      <c r="L597" s="152"/>
      <c r="M597" s="206"/>
      <c r="N597" s="251"/>
      <c r="O597" s="207"/>
      <c r="P597" s="151"/>
      <c r="Q597" s="152"/>
      <c r="R597" s="206"/>
      <c r="S597" s="207"/>
      <c r="T597" s="151"/>
      <c r="U597" s="152"/>
      <c r="V597" s="117"/>
      <c r="W597" s="118"/>
      <c r="X597" s="244"/>
      <c r="Y597" s="245"/>
      <c r="Z597" s="246"/>
      <c r="AA597" s="146"/>
      <c r="AB597" s="148"/>
      <c r="AC597" s="239"/>
      <c r="AD597" s="240"/>
      <c r="AE597" s="31"/>
      <c r="AF597" s="272"/>
      <c r="AG597" s="282"/>
      <c r="AH597" s="273"/>
      <c r="AI597" s="167"/>
      <c r="AJ597" s="122"/>
      <c r="AK597" s="122"/>
      <c r="AL597" s="122"/>
    </row>
    <row r="598" spans="1:38" ht="15.5" x14ac:dyDescent="0.35">
      <c r="A598" s="179"/>
      <c r="B598" s="162"/>
      <c r="C598" s="170"/>
      <c r="D598" s="163"/>
      <c r="E598" s="61" t="s">
        <v>1969</v>
      </c>
      <c r="F598" s="272"/>
      <c r="G598" s="282"/>
      <c r="H598" s="273"/>
      <c r="I598" s="272"/>
      <c r="J598" s="273"/>
      <c r="K598" s="149"/>
      <c r="L598" s="150"/>
      <c r="M598" s="204">
        <v>200</v>
      </c>
      <c r="N598" s="250"/>
      <c r="O598" s="205"/>
      <c r="P598" s="149"/>
      <c r="Q598" s="150"/>
      <c r="R598" s="204">
        <v>70</v>
      </c>
      <c r="S598" s="205"/>
      <c r="T598" s="149"/>
      <c r="U598" s="150"/>
      <c r="V598" s="88" t="s">
        <v>1960</v>
      </c>
      <c r="W598" s="89"/>
      <c r="X598" s="241">
        <v>330</v>
      </c>
      <c r="Y598" s="242"/>
      <c r="Z598" s="243"/>
      <c r="AA598" s="143" t="s">
        <v>1751</v>
      </c>
      <c r="AB598" s="145"/>
      <c r="AC598" s="239"/>
      <c r="AD598" s="240"/>
      <c r="AE598" s="31"/>
      <c r="AF598" s="272"/>
      <c r="AG598" s="282"/>
      <c r="AH598" s="273"/>
      <c r="AI598" s="167"/>
      <c r="AJ598" s="122"/>
      <c r="AK598" s="122"/>
      <c r="AL598" s="122"/>
    </row>
    <row r="599" spans="1:38" ht="15" x14ac:dyDescent="0.3">
      <c r="A599" s="179"/>
      <c r="B599" s="162"/>
      <c r="C599" s="170"/>
      <c r="D599" s="163"/>
      <c r="E599" s="82"/>
      <c r="F599" s="272"/>
      <c r="G599" s="282"/>
      <c r="H599" s="273"/>
      <c r="I599" s="272"/>
      <c r="J599" s="273"/>
      <c r="K599" s="135"/>
      <c r="L599" s="137"/>
      <c r="M599" s="231"/>
      <c r="N599" s="683"/>
      <c r="O599" s="232"/>
      <c r="P599" s="135"/>
      <c r="Q599" s="137"/>
      <c r="R599" s="231"/>
      <c r="S599" s="232"/>
      <c r="T599" s="135"/>
      <c r="U599" s="137"/>
      <c r="V599" s="126"/>
      <c r="W599" s="127"/>
      <c r="X599" s="247"/>
      <c r="Y599" s="248"/>
      <c r="Z599" s="249"/>
      <c r="AA599" s="104"/>
      <c r="AB599" s="105"/>
      <c r="AC599" s="239"/>
      <c r="AD599" s="240"/>
      <c r="AE599" s="31"/>
      <c r="AF599" s="272"/>
      <c r="AG599" s="282"/>
      <c r="AH599" s="273"/>
      <c r="AI599" s="167"/>
      <c r="AJ599" s="203" t="s">
        <v>809</v>
      </c>
      <c r="AK599" s="203"/>
      <c r="AL599" s="203"/>
    </row>
    <row r="600" spans="1:38" ht="15.5" x14ac:dyDescent="0.35">
      <c r="A600" s="179"/>
      <c r="B600" s="162"/>
      <c r="C600" s="170"/>
      <c r="D600" s="163"/>
      <c r="E600" s="62"/>
      <c r="F600" s="272"/>
      <c r="G600" s="282"/>
      <c r="H600" s="273"/>
      <c r="I600" s="272"/>
      <c r="J600" s="273"/>
      <c r="K600" s="151"/>
      <c r="L600" s="152"/>
      <c r="M600" s="206"/>
      <c r="N600" s="251"/>
      <c r="O600" s="207"/>
      <c r="P600" s="151"/>
      <c r="Q600" s="152"/>
      <c r="R600" s="206"/>
      <c r="S600" s="207"/>
      <c r="T600" s="151"/>
      <c r="U600" s="152"/>
      <c r="V600" s="117"/>
      <c r="W600" s="118"/>
      <c r="X600" s="244"/>
      <c r="Y600" s="245"/>
      <c r="Z600" s="246"/>
      <c r="AA600" s="146"/>
      <c r="AB600" s="148"/>
      <c r="AC600" s="239"/>
      <c r="AD600" s="240"/>
      <c r="AE600" s="31"/>
      <c r="AF600" s="272"/>
      <c r="AG600" s="282"/>
      <c r="AH600" s="273"/>
      <c r="AI600" s="167"/>
      <c r="AJ600" s="122"/>
      <c r="AK600" s="122"/>
      <c r="AL600" s="122"/>
    </row>
    <row r="601" spans="1:38" ht="15.5" x14ac:dyDescent="0.35">
      <c r="A601" s="179"/>
      <c r="B601" s="162"/>
      <c r="C601" s="170"/>
      <c r="D601" s="163"/>
      <c r="E601" s="64" t="s">
        <v>1970</v>
      </c>
      <c r="F601" s="272"/>
      <c r="G601" s="282"/>
      <c r="H601" s="273"/>
      <c r="I601" s="272"/>
      <c r="J601" s="273"/>
      <c r="K601" s="149"/>
      <c r="L601" s="150"/>
      <c r="M601" s="204">
        <v>200</v>
      </c>
      <c r="N601" s="250"/>
      <c r="O601" s="205"/>
      <c r="P601" s="149"/>
      <c r="Q601" s="150"/>
      <c r="R601" s="204">
        <v>70</v>
      </c>
      <c r="S601" s="205"/>
      <c r="T601" s="149"/>
      <c r="U601" s="150"/>
      <c r="V601" s="88" t="s">
        <v>1960</v>
      </c>
      <c r="W601" s="89"/>
      <c r="X601" s="241">
        <v>330</v>
      </c>
      <c r="Y601" s="242"/>
      <c r="Z601" s="243"/>
      <c r="AA601" s="143" t="s">
        <v>1751</v>
      </c>
      <c r="AB601" s="145"/>
      <c r="AC601" s="239"/>
      <c r="AD601" s="240"/>
      <c r="AE601" s="31"/>
      <c r="AF601" s="272"/>
      <c r="AG601" s="282"/>
      <c r="AH601" s="273"/>
      <c r="AI601" s="167"/>
      <c r="AJ601" s="122"/>
      <c r="AK601" s="122"/>
      <c r="AL601" s="122"/>
    </row>
    <row r="602" spans="1:38" ht="15" x14ac:dyDescent="0.3">
      <c r="A602" s="179"/>
      <c r="B602" s="162"/>
      <c r="C602" s="170"/>
      <c r="D602" s="163"/>
      <c r="E602" s="63"/>
      <c r="F602" s="272"/>
      <c r="G602" s="282"/>
      <c r="H602" s="273"/>
      <c r="I602" s="272"/>
      <c r="J602" s="273"/>
      <c r="K602" s="135"/>
      <c r="L602" s="137"/>
      <c r="M602" s="231"/>
      <c r="N602" s="683"/>
      <c r="O602" s="232"/>
      <c r="P602" s="135"/>
      <c r="Q602" s="137"/>
      <c r="R602" s="231"/>
      <c r="S602" s="232"/>
      <c r="T602" s="135"/>
      <c r="U602" s="137"/>
      <c r="V602" s="126"/>
      <c r="W602" s="127"/>
      <c r="X602" s="247"/>
      <c r="Y602" s="248"/>
      <c r="Z602" s="249"/>
      <c r="AA602" s="104"/>
      <c r="AB602" s="105"/>
      <c r="AC602" s="239"/>
      <c r="AD602" s="240"/>
      <c r="AE602" s="31"/>
      <c r="AF602" s="272"/>
      <c r="AG602" s="282"/>
      <c r="AH602" s="273"/>
      <c r="AI602" s="167"/>
      <c r="AJ602" s="203" t="s">
        <v>809</v>
      </c>
      <c r="AK602" s="203"/>
      <c r="AL602" s="203"/>
    </row>
    <row r="603" spans="1:38" ht="15.5" x14ac:dyDescent="0.35">
      <c r="A603" s="179"/>
      <c r="B603" s="162"/>
      <c r="C603" s="170"/>
      <c r="D603" s="163"/>
      <c r="E603" s="65"/>
      <c r="F603" s="272"/>
      <c r="G603" s="282"/>
      <c r="H603" s="273"/>
      <c r="I603" s="272"/>
      <c r="J603" s="273"/>
      <c r="K603" s="151"/>
      <c r="L603" s="152"/>
      <c r="M603" s="206"/>
      <c r="N603" s="251"/>
      <c r="O603" s="207"/>
      <c r="P603" s="151"/>
      <c r="Q603" s="152"/>
      <c r="R603" s="206"/>
      <c r="S603" s="207"/>
      <c r="T603" s="151"/>
      <c r="U603" s="152"/>
      <c r="V603" s="117"/>
      <c r="W603" s="118"/>
      <c r="X603" s="244"/>
      <c r="Y603" s="245"/>
      <c r="Z603" s="246"/>
      <c r="AA603" s="146"/>
      <c r="AB603" s="148"/>
      <c r="AC603" s="239"/>
      <c r="AD603" s="240"/>
      <c r="AE603" s="31"/>
      <c r="AF603" s="272"/>
      <c r="AG603" s="282"/>
      <c r="AH603" s="273"/>
      <c r="AI603" s="167"/>
      <c r="AJ603" s="122"/>
      <c r="AK603" s="122"/>
      <c r="AL603" s="122"/>
    </row>
    <row r="604" spans="1:38" ht="15.5" x14ac:dyDescent="0.35">
      <c r="A604" s="179"/>
      <c r="B604" s="162"/>
      <c r="C604" s="170"/>
      <c r="D604" s="163"/>
      <c r="E604" s="64" t="s">
        <v>1971</v>
      </c>
      <c r="F604" s="272"/>
      <c r="G604" s="282"/>
      <c r="H604" s="273"/>
      <c r="I604" s="272"/>
      <c r="J604" s="273"/>
      <c r="K604" s="88" t="s">
        <v>1972</v>
      </c>
      <c r="L604" s="89"/>
      <c r="M604" s="204">
        <v>200</v>
      </c>
      <c r="N604" s="250"/>
      <c r="O604" s="205"/>
      <c r="P604" s="149"/>
      <c r="Q604" s="150"/>
      <c r="R604" s="204">
        <v>70</v>
      </c>
      <c r="S604" s="205"/>
      <c r="T604" s="149"/>
      <c r="U604" s="150"/>
      <c r="V604" s="88" t="s">
        <v>1960</v>
      </c>
      <c r="W604" s="89"/>
      <c r="X604" s="241">
        <v>330</v>
      </c>
      <c r="Y604" s="242"/>
      <c r="Z604" s="243"/>
      <c r="AA604" s="143" t="s">
        <v>1751</v>
      </c>
      <c r="AB604" s="145"/>
      <c r="AC604" s="239"/>
      <c r="AD604" s="240"/>
      <c r="AE604" s="31"/>
      <c r="AF604" s="272"/>
      <c r="AG604" s="282"/>
      <c r="AH604" s="273"/>
      <c r="AI604" s="167"/>
      <c r="AJ604" s="122"/>
      <c r="AK604" s="122"/>
      <c r="AL604" s="122"/>
    </row>
    <row r="605" spans="1:38" ht="15" x14ac:dyDescent="0.3">
      <c r="A605" s="179"/>
      <c r="B605" s="162"/>
      <c r="C605" s="170"/>
      <c r="D605" s="163"/>
      <c r="E605" s="63"/>
      <c r="F605" s="272"/>
      <c r="G605" s="282"/>
      <c r="H605" s="273"/>
      <c r="I605" s="272"/>
      <c r="J605" s="273"/>
      <c r="K605" s="126"/>
      <c r="L605" s="127"/>
      <c r="M605" s="231"/>
      <c r="N605" s="683"/>
      <c r="O605" s="232"/>
      <c r="P605" s="135"/>
      <c r="Q605" s="137"/>
      <c r="R605" s="231"/>
      <c r="S605" s="232"/>
      <c r="T605" s="135"/>
      <c r="U605" s="137"/>
      <c r="V605" s="126"/>
      <c r="W605" s="127"/>
      <c r="X605" s="247"/>
      <c r="Y605" s="248"/>
      <c r="Z605" s="249"/>
      <c r="AA605" s="104"/>
      <c r="AB605" s="105"/>
      <c r="AC605" s="239"/>
      <c r="AD605" s="240"/>
      <c r="AE605" s="31"/>
      <c r="AF605" s="272"/>
      <c r="AG605" s="282"/>
      <c r="AH605" s="273"/>
      <c r="AI605" s="167"/>
      <c r="AJ605" s="203" t="s">
        <v>809</v>
      </c>
      <c r="AK605" s="203"/>
      <c r="AL605" s="203"/>
    </row>
    <row r="606" spans="1:38" ht="15.5" x14ac:dyDescent="0.35">
      <c r="A606" s="230"/>
      <c r="B606" s="212"/>
      <c r="C606" s="408"/>
      <c r="D606" s="213"/>
      <c r="E606" s="65"/>
      <c r="F606" s="194"/>
      <c r="G606" s="197"/>
      <c r="H606" s="195"/>
      <c r="I606" s="194"/>
      <c r="J606" s="195"/>
      <c r="K606" s="117"/>
      <c r="L606" s="118"/>
      <c r="M606" s="206"/>
      <c r="N606" s="251"/>
      <c r="O606" s="207"/>
      <c r="P606" s="151"/>
      <c r="Q606" s="152"/>
      <c r="R606" s="206"/>
      <c r="S606" s="207"/>
      <c r="T606" s="151"/>
      <c r="U606" s="152"/>
      <c r="V606" s="117"/>
      <c r="W606" s="118"/>
      <c r="X606" s="244"/>
      <c r="Y606" s="245"/>
      <c r="Z606" s="246"/>
      <c r="AA606" s="146"/>
      <c r="AB606" s="148"/>
      <c r="AC606" s="225"/>
      <c r="AD606" s="226"/>
      <c r="AE606" s="31"/>
      <c r="AF606" s="194"/>
      <c r="AG606" s="197"/>
      <c r="AH606" s="195"/>
      <c r="AI606" s="167"/>
      <c r="AJ606" s="122"/>
      <c r="AK606" s="122"/>
      <c r="AL606" s="122"/>
    </row>
    <row r="607" spans="1:38" ht="90" x14ac:dyDescent="0.35">
      <c r="A607" s="178"/>
      <c r="B607" s="171" t="s">
        <v>1973</v>
      </c>
      <c r="C607" s="407"/>
      <c r="D607" s="172"/>
      <c r="E607" s="59" t="s">
        <v>1975</v>
      </c>
      <c r="F607" s="143" t="s">
        <v>1349</v>
      </c>
      <c r="G607" s="144"/>
      <c r="H607" s="145"/>
      <c r="I607" s="204">
        <v>16</v>
      </c>
      <c r="J607" s="205"/>
      <c r="K607" s="88" t="s">
        <v>1976</v>
      </c>
      <c r="L607" s="89"/>
      <c r="M607" s="204">
        <v>170</v>
      </c>
      <c r="N607" s="250"/>
      <c r="O607" s="205"/>
      <c r="P607" s="204">
        <v>12</v>
      </c>
      <c r="Q607" s="205"/>
      <c r="R607" s="204">
        <v>48</v>
      </c>
      <c r="S607" s="205"/>
      <c r="T607" s="204">
        <v>8</v>
      </c>
      <c r="U607" s="205"/>
      <c r="V607" s="88" t="s">
        <v>1977</v>
      </c>
      <c r="W607" s="89"/>
      <c r="X607" s="241">
        <v>280</v>
      </c>
      <c r="Y607" s="242"/>
      <c r="Z607" s="243"/>
      <c r="AA607" s="143" t="s">
        <v>1759</v>
      </c>
      <c r="AB607" s="145"/>
      <c r="AC607" s="112" t="s">
        <v>675</v>
      </c>
      <c r="AD607" s="113"/>
      <c r="AE607" s="44" t="s">
        <v>1355</v>
      </c>
      <c r="AF607" s="171" t="s">
        <v>1980</v>
      </c>
      <c r="AG607" s="407"/>
      <c r="AH607" s="172"/>
      <c r="AI607" s="167"/>
      <c r="AJ607" s="122"/>
      <c r="AK607" s="122"/>
      <c r="AL607" s="122"/>
    </row>
    <row r="608" spans="1:38" ht="45" x14ac:dyDescent="0.3">
      <c r="A608" s="179"/>
      <c r="B608" s="162" t="s">
        <v>1974</v>
      </c>
      <c r="C608" s="170"/>
      <c r="D608" s="163"/>
      <c r="E608" s="81"/>
      <c r="F608" s="104"/>
      <c r="G608" s="202"/>
      <c r="H608" s="105"/>
      <c r="I608" s="231"/>
      <c r="J608" s="232"/>
      <c r="K608" s="126"/>
      <c r="L608" s="127"/>
      <c r="M608" s="231"/>
      <c r="N608" s="683"/>
      <c r="O608" s="232"/>
      <c r="P608" s="231"/>
      <c r="Q608" s="232"/>
      <c r="R608" s="231"/>
      <c r="S608" s="232"/>
      <c r="T608" s="231"/>
      <c r="U608" s="232"/>
      <c r="V608" s="126"/>
      <c r="W608" s="127"/>
      <c r="X608" s="247"/>
      <c r="Y608" s="248"/>
      <c r="Z608" s="249"/>
      <c r="AA608" s="104"/>
      <c r="AB608" s="105"/>
      <c r="AC608" s="155" t="s">
        <v>1978</v>
      </c>
      <c r="AD608" s="157"/>
      <c r="AE608" s="40" t="s">
        <v>1356</v>
      </c>
      <c r="AF608" s="162"/>
      <c r="AG608" s="170"/>
      <c r="AH608" s="163"/>
      <c r="AI608" s="167"/>
      <c r="AJ608" s="203" t="s">
        <v>1827</v>
      </c>
      <c r="AK608" s="203"/>
      <c r="AL608" s="203"/>
    </row>
    <row r="609" spans="1:38" ht="60" x14ac:dyDescent="0.3">
      <c r="A609" s="179"/>
      <c r="B609" s="162"/>
      <c r="C609" s="170"/>
      <c r="D609" s="163"/>
      <c r="E609" s="81"/>
      <c r="F609" s="104"/>
      <c r="G609" s="202"/>
      <c r="H609" s="105"/>
      <c r="I609" s="231"/>
      <c r="J609" s="232"/>
      <c r="K609" s="126"/>
      <c r="L609" s="127"/>
      <c r="M609" s="231"/>
      <c r="N609" s="683"/>
      <c r="O609" s="232"/>
      <c r="P609" s="231"/>
      <c r="Q609" s="232"/>
      <c r="R609" s="231"/>
      <c r="S609" s="232"/>
      <c r="T609" s="231"/>
      <c r="U609" s="232"/>
      <c r="V609" s="126"/>
      <c r="W609" s="127"/>
      <c r="X609" s="247"/>
      <c r="Y609" s="248"/>
      <c r="Z609" s="249"/>
      <c r="AA609" s="104"/>
      <c r="AB609" s="105"/>
      <c r="AC609" s="155" t="s">
        <v>677</v>
      </c>
      <c r="AD609" s="157"/>
      <c r="AE609" s="40" t="s">
        <v>1357</v>
      </c>
      <c r="AF609" s="162"/>
      <c r="AG609" s="170"/>
      <c r="AH609" s="163"/>
      <c r="AI609" s="167"/>
      <c r="AJ609" s="203" t="s">
        <v>1828</v>
      </c>
      <c r="AK609" s="203"/>
      <c r="AL609" s="203"/>
    </row>
    <row r="610" spans="1:38" ht="15.5" x14ac:dyDescent="0.35">
      <c r="A610" s="179"/>
      <c r="B610" s="162"/>
      <c r="C610" s="170"/>
      <c r="D610" s="163"/>
      <c r="E610" s="60"/>
      <c r="F610" s="146"/>
      <c r="G610" s="147"/>
      <c r="H610" s="148"/>
      <c r="I610" s="206"/>
      <c r="J610" s="207"/>
      <c r="K610" s="117"/>
      <c r="L610" s="118"/>
      <c r="M610" s="206"/>
      <c r="N610" s="251"/>
      <c r="O610" s="207"/>
      <c r="P610" s="206"/>
      <c r="Q610" s="207"/>
      <c r="R610" s="206"/>
      <c r="S610" s="207"/>
      <c r="T610" s="206"/>
      <c r="U610" s="207"/>
      <c r="V610" s="117"/>
      <c r="W610" s="118"/>
      <c r="X610" s="244"/>
      <c r="Y610" s="245"/>
      <c r="Z610" s="246"/>
      <c r="AA610" s="146"/>
      <c r="AB610" s="148"/>
      <c r="AC610" s="155" t="s">
        <v>678</v>
      </c>
      <c r="AD610" s="157"/>
      <c r="AE610" s="40"/>
      <c r="AF610" s="162"/>
      <c r="AG610" s="170"/>
      <c r="AH610" s="163"/>
      <c r="AI610" s="167"/>
      <c r="AJ610" s="122"/>
      <c r="AK610" s="122"/>
      <c r="AL610" s="122"/>
    </row>
    <row r="611" spans="1:38" ht="15.5" x14ac:dyDescent="0.35">
      <c r="A611" s="179"/>
      <c r="B611" s="162"/>
      <c r="C611" s="170"/>
      <c r="D611" s="163"/>
      <c r="E611" s="64" t="s">
        <v>1981</v>
      </c>
      <c r="F611" s="143" t="s">
        <v>1349</v>
      </c>
      <c r="G611" s="144"/>
      <c r="H611" s="145"/>
      <c r="I611" s="204">
        <v>16</v>
      </c>
      <c r="J611" s="205"/>
      <c r="K611" s="88" t="s">
        <v>1976</v>
      </c>
      <c r="L611" s="89"/>
      <c r="M611" s="204">
        <v>172</v>
      </c>
      <c r="N611" s="250"/>
      <c r="O611" s="205"/>
      <c r="P611" s="204">
        <v>12</v>
      </c>
      <c r="Q611" s="205"/>
      <c r="R611" s="204">
        <v>48</v>
      </c>
      <c r="S611" s="205"/>
      <c r="T611" s="204">
        <v>8</v>
      </c>
      <c r="U611" s="205"/>
      <c r="V611" s="88" t="s">
        <v>1982</v>
      </c>
      <c r="W611" s="89"/>
      <c r="X611" s="241">
        <v>280</v>
      </c>
      <c r="Y611" s="242"/>
      <c r="Z611" s="243"/>
      <c r="AA611" s="143" t="s">
        <v>1764</v>
      </c>
      <c r="AB611" s="145"/>
      <c r="AC611" s="155" t="s">
        <v>1979</v>
      </c>
      <c r="AD611" s="157"/>
      <c r="AE611" s="40"/>
      <c r="AF611" s="162"/>
      <c r="AG611" s="170"/>
      <c r="AH611" s="163"/>
      <c r="AI611" s="167"/>
      <c r="AJ611" s="122"/>
      <c r="AK611" s="122"/>
      <c r="AL611" s="122"/>
    </row>
    <row r="612" spans="1:38" ht="15" x14ac:dyDescent="0.3">
      <c r="A612" s="179"/>
      <c r="B612" s="162"/>
      <c r="C612" s="170"/>
      <c r="D612" s="163"/>
      <c r="E612" s="63"/>
      <c r="F612" s="104"/>
      <c r="G612" s="202"/>
      <c r="H612" s="105"/>
      <c r="I612" s="231"/>
      <c r="J612" s="232"/>
      <c r="K612" s="126"/>
      <c r="L612" s="127"/>
      <c r="M612" s="231"/>
      <c r="N612" s="683"/>
      <c r="O612" s="232"/>
      <c r="P612" s="231"/>
      <c r="Q612" s="232"/>
      <c r="R612" s="231"/>
      <c r="S612" s="232"/>
      <c r="T612" s="231"/>
      <c r="U612" s="232"/>
      <c r="V612" s="126"/>
      <c r="W612" s="127"/>
      <c r="X612" s="247"/>
      <c r="Y612" s="248"/>
      <c r="Z612" s="249"/>
      <c r="AA612" s="104"/>
      <c r="AB612" s="105"/>
      <c r="AC612" s="155"/>
      <c r="AD612" s="157"/>
      <c r="AE612" s="40"/>
      <c r="AF612" s="162"/>
      <c r="AG612" s="170"/>
      <c r="AH612" s="163"/>
      <c r="AI612" s="167"/>
      <c r="AJ612" s="203" t="s">
        <v>1827</v>
      </c>
      <c r="AK612" s="203"/>
      <c r="AL612" s="203"/>
    </row>
    <row r="613" spans="1:38" ht="15" x14ac:dyDescent="0.3">
      <c r="A613" s="179"/>
      <c r="B613" s="162"/>
      <c r="C613" s="170"/>
      <c r="D613" s="163"/>
      <c r="E613" s="63"/>
      <c r="F613" s="104"/>
      <c r="G613" s="202"/>
      <c r="H613" s="105"/>
      <c r="I613" s="231"/>
      <c r="J613" s="232"/>
      <c r="K613" s="126"/>
      <c r="L613" s="127"/>
      <c r="M613" s="231"/>
      <c r="N613" s="683"/>
      <c r="O613" s="232"/>
      <c r="P613" s="231"/>
      <c r="Q613" s="232"/>
      <c r="R613" s="231"/>
      <c r="S613" s="232"/>
      <c r="T613" s="231"/>
      <c r="U613" s="232"/>
      <c r="V613" s="126"/>
      <c r="W613" s="127"/>
      <c r="X613" s="247"/>
      <c r="Y613" s="248"/>
      <c r="Z613" s="249"/>
      <c r="AA613" s="104"/>
      <c r="AB613" s="105"/>
      <c r="AC613" s="155"/>
      <c r="AD613" s="157"/>
      <c r="AE613" s="40"/>
      <c r="AF613" s="162"/>
      <c r="AG613" s="170"/>
      <c r="AH613" s="163"/>
      <c r="AI613" s="167"/>
      <c r="AJ613" s="203" t="s">
        <v>1828</v>
      </c>
      <c r="AK613" s="203"/>
      <c r="AL613" s="203"/>
    </row>
    <row r="614" spans="1:38" ht="15.5" x14ac:dyDescent="0.35">
      <c r="A614" s="179"/>
      <c r="B614" s="162"/>
      <c r="C614" s="170"/>
      <c r="D614" s="163"/>
      <c r="E614" s="65"/>
      <c r="F614" s="146"/>
      <c r="G614" s="147"/>
      <c r="H614" s="148"/>
      <c r="I614" s="206"/>
      <c r="J614" s="207"/>
      <c r="K614" s="117"/>
      <c r="L614" s="118"/>
      <c r="M614" s="206"/>
      <c r="N614" s="251"/>
      <c r="O614" s="207"/>
      <c r="P614" s="206"/>
      <c r="Q614" s="207"/>
      <c r="R614" s="206"/>
      <c r="S614" s="207"/>
      <c r="T614" s="206"/>
      <c r="U614" s="207"/>
      <c r="V614" s="117"/>
      <c r="W614" s="118"/>
      <c r="X614" s="244"/>
      <c r="Y614" s="245"/>
      <c r="Z614" s="246"/>
      <c r="AA614" s="146"/>
      <c r="AB614" s="148"/>
      <c r="AC614" s="155"/>
      <c r="AD614" s="157"/>
      <c r="AE614" s="40"/>
      <c r="AF614" s="162"/>
      <c r="AG614" s="170"/>
      <c r="AH614" s="163"/>
      <c r="AI614" s="167"/>
      <c r="AJ614" s="122"/>
      <c r="AK614" s="122"/>
      <c r="AL614" s="122"/>
    </row>
    <row r="615" spans="1:38" ht="15.5" x14ac:dyDescent="0.35">
      <c r="A615" s="179"/>
      <c r="B615" s="162"/>
      <c r="C615" s="170"/>
      <c r="D615" s="163"/>
      <c r="E615" s="59" t="s">
        <v>1983</v>
      </c>
      <c r="F615" s="143" t="s">
        <v>1361</v>
      </c>
      <c r="G615" s="144"/>
      <c r="H615" s="145"/>
      <c r="I615" s="204">
        <v>24</v>
      </c>
      <c r="J615" s="205"/>
      <c r="K615" s="88" t="s">
        <v>1984</v>
      </c>
      <c r="L615" s="89"/>
      <c r="M615" s="204">
        <v>255</v>
      </c>
      <c r="N615" s="250"/>
      <c r="O615" s="205"/>
      <c r="P615" s="204">
        <v>17</v>
      </c>
      <c r="Q615" s="205"/>
      <c r="R615" s="204">
        <v>64</v>
      </c>
      <c r="S615" s="205"/>
      <c r="T615" s="204">
        <v>10</v>
      </c>
      <c r="U615" s="205"/>
      <c r="V615" s="88" t="s">
        <v>693</v>
      </c>
      <c r="W615" s="89"/>
      <c r="X615" s="241">
        <v>420</v>
      </c>
      <c r="Y615" s="242"/>
      <c r="Z615" s="243"/>
      <c r="AA615" s="143" t="s">
        <v>1985</v>
      </c>
      <c r="AB615" s="145"/>
      <c r="AC615" s="155"/>
      <c r="AD615" s="157"/>
      <c r="AE615" s="40"/>
      <c r="AF615" s="162"/>
      <c r="AG615" s="170"/>
      <c r="AH615" s="163"/>
      <c r="AI615" s="167"/>
      <c r="AJ615" s="122"/>
      <c r="AK615" s="122"/>
      <c r="AL615" s="122"/>
    </row>
    <row r="616" spans="1:38" ht="15" x14ac:dyDescent="0.3">
      <c r="A616" s="179"/>
      <c r="B616" s="162"/>
      <c r="C616" s="170"/>
      <c r="D616" s="163"/>
      <c r="E616" s="81"/>
      <c r="F616" s="104"/>
      <c r="G616" s="202"/>
      <c r="H616" s="105"/>
      <c r="I616" s="231"/>
      <c r="J616" s="232"/>
      <c r="K616" s="126"/>
      <c r="L616" s="127"/>
      <c r="M616" s="231"/>
      <c r="N616" s="683"/>
      <c r="O616" s="232"/>
      <c r="P616" s="231"/>
      <c r="Q616" s="232"/>
      <c r="R616" s="231"/>
      <c r="S616" s="232"/>
      <c r="T616" s="231"/>
      <c r="U616" s="232"/>
      <c r="V616" s="126"/>
      <c r="W616" s="127"/>
      <c r="X616" s="247"/>
      <c r="Y616" s="248"/>
      <c r="Z616" s="249"/>
      <c r="AA616" s="104"/>
      <c r="AB616" s="105"/>
      <c r="AC616" s="155"/>
      <c r="AD616" s="157"/>
      <c r="AE616" s="40"/>
      <c r="AF616" s="162"/>
      <c r="AG616" s="170"/>
      <c r="AH616" s="163"/>
      <c r="AI616" s="167"/>
      <c r="AJ616" s="203" t="s">
        <v>1827</v>
      </c>
      <c r="AK616" s="203"/>
      <c r="AL616" s="203"/>
    </row>
    <row r="617" spans="1:38" ht="15" x14ac:dyDescent="0.3">
      <c r="A617" s="179"/>
      <c r="B617" s="162"/>
      <c r="C617" s="170"/>
      <c r="D617" s="163"/>
      <c r="E617" s="81"/>
      <c r="F617" s="104"/>
      <c r="G617" s="202"/>
      <c r="H617" s="105"/>
      <c r="I617" s="231"/>
      <c r="J617" s="232"/>
      <c r="K617" s="126"/>
      <c r="L617" s="127"/>
      <c r="M617" s="231"/>
      <c r="N617" s="683"/>
      <c r="O617" s="232"/>
      <c r="P617" s="231"/>
      <c r="Q617" s="232"/>
      <c r="R617" s="231"/>
      <c r="S617" s="232"/>
      <c r="T617" s="231"/>
      <c r="U617" s="232"/>
      <c r="V617" s="126"/>
      <c r="W617" s="127"/>
      <c r="X617" s="247"/>
      <c r="Y617" s="248"/>
      <c r="Z617" s="249"/>
      <c r="AA617" s="104"/>
      <c r="AB617" s="105"/>
      <c r="AC617" s="155"/>
      <c r="AD617" s="157"/>
      <c r="AE617" s="40"/>
      <c r="AF617" s="162"/>
      <c r="AG617" s="170"/>
      <c r="AH617" s="163"/>
      <c r="AI617" s="167"/>
      <c r="AJ617" s="203" t="s">
        <v>1828</v>
      </c>
      <c r="AK617" s="203"/>
      <c r="AL617" s="203"/>
    </row>
    <row r="618" spans="1:38" ht="15.5" x14ac:dyDescent="0.35">
      <c r="A618" s="179"/>
      <c r="B618" s="162"/>
      <c r="C618" s="170"/>
      <c r="D618" s="163"/>
      <c r="E618" s="60"/>
      <c r="F618" s="146"/>
      <c r="G618" s="147"/>
      <c r="H618" s="148"/>
      <c r="I618" s="206"/>
      <c r="J618" s="207"/>
      <c r="K618" s="117"/>
      <c r="L618" s="118"/>
      <c r="M618" s="206"/>
      <c r="N618" s="251"/>
      <c r="O618" s="207"/>
      <c r="P618" s="206"/>
      <c r="Q618" s="207"/>
      <c r="R618" s="206"/>
      <c r="S618" s="207"/>
      <c r="T618" s="206"/>
      <c r="U618" s="207"/>
      <c r="V618" s="117"/>
      <c r="W618" s="118"/>
      <c r="X618" s="244"/>
      <c r="Y618" s="245"/>
      <c r="Z618" s="246"/>
      <c r="AA618" s="146"/>
      <c r="AB618" s="148"/>
      <c r="AC618" s="155"/>
      <c r="AD618" s="157"/>
      <c r="AE618" s="40"/>
      <c r="AF618" s="162"/>
      <c r="AG618" s="170"/>
      <c r="AH618" s="163"/>
      <c r="AI618" s="167"/>
      <c r="AJ618" s="122"/>
      <c r="AK618" s="122"/>
      <c r="AL618" s="122"/>
    </row>
    <row r="619" spans="1:38" ht="15.5" x14ac:dyDescent="0.35">
      <c r="A619" s="179"/>
      <c r="B619" s="162"/>
      <c r="C619" s="170"/>
      <c r="D619" s="163"/>
      <c r="E619" s="59" t="s">
        <v>1986</v>
      </c>
      <c r="F619" s="143" t="s">
        <v>1361</v>
      </c>
      <c r="G619" s="144"/>
      <c r="H619" s="145"/>
      <c r="I619" s="204">
        <v>24</v>
      </c>
      <c r="J619" s="205"/>
      <c r="K619" s="88" t="s">
        <v>1984</v>
      </c>
      <c r="L619" s="89"/>
      <c r="M619" s="204">
        <v>260</v>
      </c>
      <c r="N619" s="250"/>
      <c r="O619" s="205"/>
      <c r="P619" s="204">
        <v>17</v>
      </c>
      <c r="Q619" s="205"/>
      <c r="R619" s="204">
        <v>64</v>
      </c>
      <c r="S619" s="205"/>
      <c r="T619" s="204">
        <v>10</v>
      </c>
      <c r="U619" s="205"/>
      <c r="V619" s="88" t="s">
        <v>1725</v>
      </c>
      <c r="W619" s="89"/>
      <c r="X619" s="241">
        <v>420</v>
      </c>
      <c r="Y619" s="242"/>
      <c r="Z619" s="243"/>
      <c r="AA619" s="143" t="s">
        <v>1311</v>
      </c>
      <c r="AB619" s="145"/>
      <c r="AC619" s="155"/>
      <c r="AD619" s="157"/>
      <c r="AE619" s="40"/>
      <c r="AF619" s="162"/>
      <c r="AG619" s="170"/>
      <c r="AH619" s="163"/>
      <c r="AI619" s="167"/>
      <c r="AJ619" s="122"/>
      <c r="AK619" s="122"/>
      <c r="AL619" s="122"/>
    </row>
    <row r="620" spans="1:38" ht="15" x14ac:dyDescent="0.3">
      <c r="A620" s="179"/>
      <c r="B620" s="162"/>
      <c r="C620" s="170"/>
      <c r="D620" s="163"/>
      <c r="E620" s="81"/>
      <c r="F620" s="104"/>
      <c r="G620" s="202"/>
      <c r="H620" s="105"/>
      <c r="I620" s="231"/>
      <c r="J620" s="232"/>
      <c r="K620" s="126"/>
      <c r="L620" s="127"/>
      <c r="M620" s="231"/>
      <c r="N620" s="683"/>
      <c r="O620" s="232"/>
      <c r="P620" s="231"/>
      <c r="Q620" s="232"/>
      <c r="R620" s="231"/>
      <c r="S620" s="232"/>
      <c r="T620" s="231"/>
      <c r="U620" s="232"/>
      <c r="V620" s="126"/>
      <c r="W620" s="127"/>
      <c r="X620" s="247"/>
      <c r="Y620" s="248"/>
      <c r="Z620" s="249"/>
      <c r="AA620" s="104"/>
      <c r="AB620" s="105"/>
      <c r="AC620" s="155"/>
      <c r="AD620" s="157"/>
      <c r="AE620" s="40"/>
      <c r="AF620" s="162"/>
      <c r="AG620" s="170"/>
      <c r="AH620" s="163"/>
      <c r="AI620" s="167"/>
      <c r="AJ620" s="203" t="s">
        <v>1827</v>
      </c>
      <c r="AK620" s="203"/>
      <c r="AL620" s="203"/>
    </row>
    <row r="621" spans="1:38" ht="15" x14ac:dyDescent="0.3">
      <c r="A621" s="230"/>
      <c r="B621" s="212"/>
      <c r="C621" s="408"/>
      <c r="D621" s="213"/>
      <c r="E621" s="60"/>
      <c r="F621" s="146"/>
      <c r="G621" s="147"/>
      <c r="H621" s="148"/>
      <c r="I621" s="206"/>
      <c r="J621" s="207"/>
      <c r="K621" s="117"/>
      <c r="L621" s="118"/>
      <c r="M621" s="206"/>
      <c r="N621" s="251"/>
      <c r="O621" s="207"/>
      <c r="P621" s="206"/>
      <c r="Q621" s="207"/>
      <c r="R621" s="206"/>
      <c r="S621" s="207"/>
      <c r="T621" s="206"/>
      <c r="U621" s="207"/>
      <c r="V621" s="117"/>
      <c r="W621" s="118"/>
      <c r="X621" s="244"/>
      <c r="Y621" s="245"/>
      <c r="Z621" s="246"/>
      <c r="AA621" s="146"/>
      <c r="AB621" s="148"/>
      <c r="AC621" s="160"/>
      <c r="AD621" s="161"/>
      <c r="AE621" s="40"/>
      <c r="AF621" s="212"/>
      <c r="AG621" s="408"/>
      <c r="AH621" s="213"/>
      <c r="AI621" s="167"/>
      <c r="AJ621" s="203" t="s">
        <v>1828</v>
      </c>
      <c r="AK621" s="203"/>
      <c r="AL621" s="203"/>
    </row>
    <row r="622" spans="1:38" ht="90" x14ac:dyDescent="0.35">
      <c r="A622" s="178"/>
      <c r="B622" s="303" t="s">
        <v>1987</v>
      </c>
      <c r="C622" s="344"/>
      <c r="D622" s="304"/>
      <c r="E622" s="28" t="s">
        <v>1989</v>
      </c>
      <c r="F622" s="124" t="s">
        <v>1990</v>
      </c>
      <c r="G622" s="182"/>
      <c r="H622" s="125"/>
      <c r="I622" s="110" t="s">
        <v>1991</v>
      </c>
      <c r="J622" s="111"/>
      <c r="K622" s="110" t="s">
        <v>1992</v>
      </c>
      <c r="L622" s="111"/>
      <c r="M622" s="114" t="s">
        <v>1993</v>
      </c>
      <c r="N622" s="115"/>
      <c r="O622" s="116"/>
      <c r="P622" s="183">
        <v>8</v>
      </c>
      <c r="Q622" s="185"/>
      <c r="R622" s="183">
        <v>23</v>
      </c>
      <c r="S622" s="185"/>
      <c r="T622" s="183">
        <v>6</v>
      </c>
      <c r="U622" s="185"/>
      <c r="V622" s="114" t="s">
        <v>1994</v>
      </c>
      <c r="W622" s="116"/>
      <c r="X622" s="227">
        <v>190</v>
      </c>
      <c r="Y622" s="228"/>
      <c r="Z622" s="229"/>
      <c r="AA622" s="110" t="s">
        <v>1452</v>
      </c>
      <c r="AB622" s="111"/>
      <c r="AC622" s="223" t="s">
        <v>675</v>
      </c>
      <c r="AD622" s="224"/>
      <c r="AE622" s="24" t="s">
        <v>1997</v>
      </c>
      <c r="AF622" s="303" t="s">
        <v>1999</v>
      </c>
      <c r="AG622" s="344"/>
      <c r="AH622" s="304"/>
      <c r="AI622" s="167"/>
      <c r="AJ622" s="122"/>
      <c r="AK622" s="122"/>
      <c r="AL622" s="122"/>
    </row>
    <row r="623" spans="1:38" ht="120" x14ac:dyDescent="0.35">
      <c r="A623" s="179"/>
      <c r="B623" s="292" t="s">
        <v>1988</v>
      </c>
      <c r="C623" s="314"/>
      <c r="D623" s="293"/>
      <c r="E623" s="28" t="s">
        <v>2000</v>
      </c>
      <c r="F623" s="124" t="s">
        <v>1990</v>
      </c>
      <c r="G623" s="182"/>
      <c r="H623" s="125"/>
      <c r="I623" s="110" t="s">
        <v>2001</v>
      </c>
      <c r="J623" s="111"/>
      <c r="K623" s="110" t="s">
        <v>1992</v>
      </c>
      <c r="L623" s="111"/>
      <c r="M623" s="114" t="s">
        <v>2002</v>
      </c>
      <c r="N623" s="115"/>
      <c r="O623" s="116"/>
      <c r="P623" s="183">
        <v>8</v>
      </c>
      <c r="Q623" s="185"/>
      <c r="R623" s="183">
        <v>23</v>
      </c>
      <c r="S623" s="185"/>
      <c r="T623" s="183">
        <v>6</v>
      </c>
      <c r="U623" s="185"/>
      <c r="V623" s="114" t="s">
        <v>2003</v>
      </c>
      <c r="W623" s="116"/>
      <c r="X623" s="227">
        <v>210</v>
      </c>
      <c r="Y623" s="228"/>
      <c r="Z623" s="229"/>
      <c r="AA623" s="110" t="s">
        <v>1452</v>
      </c>
      <c r="AB623" s="111"/>
      <c r="AC623" s="239" t="s">
        <v>1995</v>
      </c>
      <c r="AD623" s="240"/>
      <c r="AE623" s="31" t="s">
        <v>1998</v>
      </c>
      <c r="AF623" s="292"/>
      <c r="AG623" s="314"/>
      <c r="AH623" s="293"/>
      <c r="AI623" s="167"/>
      <c r="AJ623" s="122"/>
      <c r="AK623" s="122"/>
      <c r="AL623" s="122"/>
    </row>
    <row r="624" spans="1:38" ht="105" x14ac:dyDescent="0.35">
      <c r="A624" s="179"/>
      <c r="B624" s="292"/>
      <c r="C624" s="314"/>
      <c r="D624" s="293"/>
      <c r="E624" s="28" t="s">
        <v>2004</v>
      </c>
      <c r="F624" s="124" t="s">
        <v>1990</v>
      </c>
      <c r="G624" s="182"/>
      <c r="H624" s="125"/>
      <c r="I624" s="110" t="s">
        <v>2001</v>
      </c>
      <c r="J624" s="111"/>
      <c r="K624" s="110" t="s">
        <v>1992</v>
      </c>
      <c r="L624" s="111"/>
      <c r="M624" s="114" t="s">
        <v>2002</v>
      </c>
      <c r="N624" s="115"/>
      <c r="O624" s="116"/>
      <c r="P624" s="183">
        <v>8</v>
      </c>
      <c r="Q624" s="185"/>
      <c r="R624" s="183">
        <v>23</v>
      </c>
      <c r="S624" s="185"/>
      <c r="T624" s="183">
        <v>6</v>
      </c>
      <c r="U624" s="185"/>
      <c r="V624" s="114" t="s">
        <v>2003</v>
      </c>
      <c r="W624" s="116"/>
      <c r="X624" s="227">
        <v>210</v>
      </c>
      <c r="Y624" s="228"/>
      <c r="Z624" s="229"/>
      <c r="AA624" s="110" t="s">
        <v>1452</v>
      </c>
      <c r="AB624" s="111"/>
      <c r="AC624" s="239" t="s">
        <v>677</v>
      </c>
      <c r="AD624" s="240"/>
      <c r="AE624" s="31"/>
      <c r="AF624" s="292"/>
      <c r="AG624" s="314"/>
      <c r="AH624" s="293"/>
      <c r="AI624" s="167"/>
      <c r="AJ624" s="122"/>
      <c r="AK624" s="122"/>
      <c r="AL624" s="122"/>
    </row>
    <row r="625" spans="1:38" ht="105" x14ac:dyDescent="0.35">
      <c r="A625" s="179"/>
      <c r="B625" s="292"/>
      <c r="C625" s="314"/>
      <c r="D625" s="293"/>
      <c r="E625" s="28" t="s">
        <v>2005</v>
      </c>
      <c r="F625" s="124" t="s">
        <v>1990</v>
      </c>
      <c r="G625" s="182"/>
      <c r="H625" s="125"/>
      <c r="I625" s="110" t="s">
        <v>1991</v>
      </c>
      <c r="J625" s="111"/>
      <c r="K625" s="110" t="s">
        <v>1992</v>
      </c>
      <c r="L625" s="111"/>
      <c r="M625" s="695">
        <v>116</v>
      </c>
      <c r="N625" s="696"/>
      <c r="O625" s="697"/>
      <c r="P625" s="183">
        <v>8</v>
      </c>
      <c r="Q625" s="185"/>
      <c r="R625" s="183">
        <v>23</v>
      </c>
      <c r="S625" s="185"/>
      <c r="T625" s="183">
        <v>6</v>
      </c>
      <c r="U625" s="185"/>
      <c r="V625" s="114" t="s">
        <v>2006</v>
      </c>
      <c r="W625" s="116"/>
      <c r="X625" s="227">
        <v>210</v>
      </c>
      <c r="Y625" s="228"/>
      <c r="Z625" s="229"/>
      <c r="AA625" s="110" t="s">
        <v>1338</v>
      </c>
      <c r="AB625" s="111"/>
      <c r="AC625" s="239" t="s">
        <v>678</v>
      </c>
      <c r="AD625" s="240"/>
      <c r="AE625" s="31"/>
      <c r="AF625" s="292"/>
      <c r="AG625" s="314"/>
      <c r="AH625" s="293"/>
      <c r="AI625" s="167"/>
      <c r="AJ625" s="122"/>
      <c r="AK625" s="122"/>
      <c r="AL625" s="122"/>
    </row>
    <row r="626" spans="1:38" ht="15" x14ac:dyDescent="0.25">
      <c r="A626" s="179"/>
      <c r="B626" s="292"/>
      <c r="C626" s="314"/>
      <c r="D626" s="293"/>
      <c r="E626" s="64" t="s">
        <v>2007</v>
      </c>
      <c r="F626" s="112" t="s">
        <v>1990</v>
      </c>
      <c r="G626" s="572"/>
      <c r="H626" s="113"/>
      <c r="I626" s="143" t="s">
        <v>2008</v>
      </c>
      <c r="J626" s="145"/>
      <c r="K626" s="143" t="s">
        <v>1992</v>
      </c>
      <c r="L626" s="145"/>
      <c r="M626" s="204">
        <v>150</v>
      </c>
      <c r="N626" s="250"/>
      <c r="O626" s="205"/>
      <c r="P626" s="204">
        <v>8</v>
      </c>
      <c r="Q626" s="205"/>
      <c r="R626" s="204">
        <v>23</v>
      </c>
      <c r="S626" s="205"/>
      <c r="T626" s="204">
        <v>6</v>
      </c>
      <c r="U626" s="205"/>
      <c r="V626" s="88" t="s">
        <v>2009</v>
      </c>
      <c r="W626" s="89"/>
      <c r="X626" s="241">
        <v>279</v>
      </c>
      <c r="Y626" s="242"/>
      <c r="Z626" s="243"/>
      <c r="AA626" s="143" t="s">
        <v>1452</v>
      </c>
      <c r="AB626" s="145"/>
      <c r="AC626" s="239" t="s">
        <v>1996</v>
      </c>
      <c r="AD626" s="240"/>
      <c r="AE626" s="31"/>
      <c r="AF626" s="292"/>
      <c r="AG626" s="314"/>
      <c r="AH626" s="293"/>
      <c r="AI626" s="167"/>
      <c r="AJ626" s="156" t="s">
        <v>2010</v>
      </c>
      <c r="AK626" s="156"/>
      <c r="AL626" s="156"/>
    </row>
    <row r="627" spans="1:38" ht="15" x14ac:dyDescent="0.25">
      <c r="A627" s="179"/>
      <c r="B627" s="292"/>
      <c r="C627" s="314"/>
      <c r="D627" s="293"/>
      <c r="E627" s="65"/>
      <c r="F627" s="160"/>
      <c r="G627" s="573"/>
      <c r="H627" s="161"/>
      <c r="I627" s="146"/>
      <c r="J627" s="148"/>
      <c r="K627" s="146"/>
      <c r="L627" s="148"/>
      <c r="M627" s="206"/>
      <c r="N627" s="251"/>
      <c r="O627" s="207"/>
      <c r="P627" s="206"/>
      <c r="Q627" s="207"/>
      <c r="R627" s="206"/>
      <c r="S627" s="207"/>
      <c r="T627" s="206"/>
      <c r="U627" s="207"/>
      <c r="V627" s="117"/>
      <c r="W627" s="118"/>
      <c r="X627" s="244"/>
      <c r="Y627" s="245"/>
      <c r="Z627" s="246"/>
      <c r="AA627" s="146"/>
      <c r="AB627" s="148"/>
      <c r="AC627" s="239"/>
      <c r="AD627" s="240"/>
      <c r="AE627" s="31"/>
      <c r="AF627" s="292"/>
      <c r="AG627" s="314"/>
      <c r="AH627" s="293"/>
      <c r="AI627" s="167"/>
      <c r="AJ627" s="156" t="s">
        <v>2011</v>
      </c>
      <c r="AK627" s="156"/>
      <c r="AL627" s="156"/>
    </row>
    <row r="628" spans="1:38" ht="90" x14ac:dyDescent="0.25">
      <c r="A628" s="179"/>
      <c r="B628" s="292"/>
      <c r="C628" s="314"/>
      <c r="D628" s="293"/>
      <c r="E628" s="28" t="s">
        <v>2013</v>
      </c>
      <c r="F628" s="124" t="s">
        <v>2014</v>
      </c>
      <c r="G628" s="182"/>
      <c r="H628" s="125"/>
      <c r="I628" s="110" t="s">
        <v>2015</v>
      </c>
      <c r="J628" s="111"/>
      <c r="K628" s="114" t="s">
        <v>2016</v>
      </c>
      <c r="L628" s="116"/>
      <c r="M628" s="114" t="s">
        <v>2017</v>
      </c>
      <c r="N628" s="115"/>
      <c r="O628" s="116"/>
      <c r="P628" s="183">
        <v>10</v>
      </c>
      <c r="Q628" s="185"/>
      <c r="R628" s="183">
        <v>27</v>
      </c>
      <c r="S628" s="185"/>
      <c r="T628" s="183">
        <v>7</v>
      </c>
      <c r="U628" s="185"/>
      <c r="V628" s="114" t="s">
        <v>2018</v>
      </c>
      <c r="W628" s="116"/>
      <c r="X628" s="227">
        <v>225</v>
      </c>
      <c r="Y628" s="228"/>
      <c r="Z628" s="229"/>
      <c r="AA628" s="110" t="s">
        <v>1452</v>
      </c>
      <c r="AB628" s="111"/>
      <c r="AC628" s="239"/>
      <c r="AD628" s="240"/>
      <c r="AE628" s="31"/>
      <c r="AF628" s="292"/>
      <c r="AG628" s="314"/>
      <c r="AH628" s="293"/>
      <c r="AI628" s="167"/>
      <c r="AJ628" s="156" t="s">
        <v>2012</v>
      </c>
      <c r="AK628" s="156"/>
      <c r="AL628" s="156"/>
    </row>
    <row r="629" spans="1:38" ht="105" x14ac:dyDescent="0.35">
      <c r="A629" s="179"/>
      <c r="B629" s="292"/>
      <c r="C629" s="314"/>
      <c r="D629" s="293"/>
      <c r="E629" s="28" t="s">
        <v>2019</v>
      </c>
      <c r="F629" s="124" t="s">
        <v>2014</v>
      </c>
      <c r="G629" s="182"/>
      <c r="H629" s="125"/>
      <c r="I629" s="183">
        <v>23</v>
      </c>
      <c r="J629" s="185"/>
      <c r="K629" s="114" t="s">
        <v>2016</v>
      </c>
      <c r="L629" s="116"/>
      <c r="M629" s="114" t="s">
        <v>2020</v>
      </c>
      <c r="N629" s="115"/>
      <c r="O629" s="116"/>
      <c r="P629" s="183">
        <v>10</v>
      </c>
      <c r="Q629" s="185"/>
      <c r="R629" s="183">
        <v>27</v>
      </c>
      <c r="S629" s="185"/>
      <c r="T629" s="183">
        <v>7</v>
      </c>
      <c r="U629" s="185"/>
      <c r="V629" s="114" t="s">
        <v>2021</v>
      </c>
      <c r="W629" s="116"/>
      <c r="X629" s="227">
        <v>258</v>
      </c>
      <c r="Y629" s="228"/>
      <c r="Z629" s="229"/>
      <c r="AA629" s="110" t="s">
        <v>758</v>
      </c>
      <c r="AB629" s="111"/>
      <c r="AC629" s="239"/>
      <c r="AD629" s="240"/>
      <c r="AE629" s="31"/>
      <c r="AF629" s="292"/>
      <c r="AG629" s="314"/>
      <c r="AH629" s="293"/>
      <c r="AI629" s="167"/>
      <c r="AJ629" s="122"/>
      <c r="AK629" s="122"/>
      <c r="AL629" s="122"/>
    </row>
    <row r="630" spans="1:38" ht="105" x14ac:dyDescent="0.35">
      <c r="A630" s="179"/>
      <c r="B630" s="292"/>
      <c r="C630" s="314"/>
      <c r="D630" s="293"/>
      <c r="E630" s="28" t="s">
        <v>2022</v>
      </c>
      <c r="F630" s="124" t="s">
        <v>2014</v>
      </c>
      <c r="G630" s="182"/>
      <c r="H630" s="125"/>
      <c r="I630" s="110" t="s">
        <v>2015</v>
      </c>
      <c r="J630" s="111"/>
      <c r="K630" s="114" t="s">
        <v>2016</v>
      </c>
      <c r="L630" s="116"/>
      <c r="M630" s="114" t="s">
        <v>2020</v>
      </c>
      <c r="N630" s="115"/>
      <c r="O630" s="116"/>
      <c r="P630" s="183">
        <v>10</v>
      </c>
      <c r="Q630" s="185"/>
      <c r="R630" s="183">
        <v>27</v>
      </c>
      <c r="S630" s="185"/>
      <c r="T630" s="183">
        <v>7</v>
      </c>
      <c r="U630" s="185"/>
      <c r="V630" s="114" t="s">
        <v>2021</v>
      </c>
      <c r="W630" s="116"/>
      <c r="X630" s="227">
        <v>258</v>
      </c>
      <c r="Y630" s="228"/>
      <c r="Z630" s="229"/>
      <c r="AA630" s="110" t="s">
        <v>758</v>
      </c>
      <c r="AB630" s="111"/>
      <c r="AC630" s="239"/>
      <c r="AD630" s="240"/>
      <c r="AE630" s="31"/>
      <c r="AF630" s="292"/>
      <c r="AG630" s="314"/>
      <c r="AH630" s="293"/>
      <c r="AI630" s="167"/>
      <c r="AJ630" s="122"/>
      <c r="AK630" s="122"/>
      <c r="AL630" s="122"/>
    </row>
    <row r="631" spans="1:38" ht="105" x14ac:dyDescent="0.35">
      <c r="A631" s="179"/>
      <c r="B631" s="292"/>
      <c r="C631" s="314"/>
      <c r="D631" s="293"/>
      <c r="E631" s="28" t="s">
        <v>2023</v>
      </c>
      <c r="F631" s="124" t="s">
        <v>2014</v>
      </c>
      <c r="G631" s="182"/>
      <c r="H631" s="125"/>
      <c r="I631" s="110" t="s">
        <v>977</v>
      </c>
      <c r="J631" s="111"/>
      <c r="K631" s="114" t="s">
        <v>2016</v>
      </c>
      <c r="L631" s="116"/>
      <c r="M631" s="695">
        <v>142</v>
      </c>
      <c r="N631" s="696"/>
      <c r="O631" s="697"/>
      <c r="P631" s="183">
        <v>10</v>
      </c>
      <c r="Q631" s="185"/>
      <c r="R631" s="183">
        <v>27</v>
      </c>
      <c r="S631" s="185"/>
      <c r="T631" s="183">
        <v>7</v>
      </c>
      <c r="U631" s="185"/>
      <c r="V631" s="114" t="s">
        <v>2024</v>
      </c>
      <c r="W631" s="116"/>
      <c r="X631" s="227">
        <v>258</v>
      </c>
      <c r="Y631" s="228"/>
      <c r="Z631" s="229"/>
      <c r="AA631" s="110" t="s">
        <v>989</v>
      </c>
      <c r="AB631" s="111"/>
      <c r="AC631" s="239"/>
      <c r="AD631" s="240"/>
      <c r="AE631" s="31"/>
      <c r="AF631" s="292"/>
      <c r="AG631" s="314"/>
      <c r="AH631" s="293"/>
      <c r="AI631" s="167"/>
      <c r="AJ631" s="122"/>
      <c r="AK631" s="122"/>
      <c r="AL631" s="122"/>
    </row>
    <row r="632" spans="1:38" ht="105" x14ac:dyDescent="0.35">
      <c r="A632" s="230"/>
      <c r="B632" s="290"/>
      <c r="C632" s="345"/>
      <c r="D632" s="291"/>
      <c r="E632" s="28" t="s">
        <v>2025</v>
      </c>
      <c r="F632" s="124" t="s">
        <v>2014</v>
      </c>
      <c r="G632" s="182"/>
      <c r="H632" s="125"/>
      <c r="I632" s="110" t="s">
        <v>2015</v>
      </c>
      <c r="J632" s="111"/>
      <c r="K632" s="114" t="s">
        <v>2016</v>
      </c>
      <c r="L632" s="116"/>
      <c r="M632" s="183">
        <v>189</v>
      </c>
      <c r="N632" s="184"/>
      <c r="O632" s="185"/>
      <c r="P632" s="183">
        <v>10</v>
      </c>
      <c r="Q632" s="185"/>
      <c r="R632" s="183">
        <v>27</v>
      </c>
      <c r="S632" s="185"/>
      <c r="T632" s="183">
        <v>7</v>
      </c>
      <c r="U632" s="185"/>
      <c r="V632" s="114" t="s">
        <v>2026</v>
      </c>
      <c r="W632" s="116"/>
      <c r="X632" s="227">
        <v>349</v>
      </c>
      <c r="Y632" s="228"/>
      <c r="Z632" s="229"/>
      <c r="AA632" s="110" t="s">
        <v>1452</v>
      </c>
      <c r="AB632" s="111"/>
      <c r="AC632" s="225"/>
      <c r="AD632" s="226"/>
      <c r="AE632" s="31"/>
      <c r="AF632" s="290"/>
      <c r="AG632" s="345"/>
      <c r="AH632" s="291"/>
      <c r="AI632" s="167"/>
      <c r="AJ632" s="122"/>
      <c r="AK632" s="122"/>
      <c r="AL632" s="122"/>
    </row>
    <row r="633" spans="1:38" ht="75" x14ac:dyDescent="0.35">
      <c r="A633" s="178"/>
      <c r="B633" s="164"/>
      <c r="C633" s="165"/>
      <c r="D633" s="166"/>
      <c r="E633" s="28" t="s">
        <v>2027</v>
      </c>
      <c r="F633" s="124" t="s">
        <v>2028</v>
      </c>
      <c r="G633" s="182"/>
      <c r="H633" s="125"/>
      <c r="I633" s="183">
        <v>12</v>
      </c>
      <c r="J633" s="185"/>
      <c r="K633" s="110" t="s">
        <v>2029</v>
      </c>
      <c r="L633" s="111"/>
      <c r="M633" s="114" t="s">
        <v>2030</v>
      </c>
      <c r="N633" s="115"/>
      <c r="O633" s="116"/>
      <c r="P633" s="183">
        <v>6</v>
      </c>
      <c r="Q633" s="185"/>
      <c r="R633" s="183">
        <v>22</v>
      </c>
      <c r="S633" s="185"/>
      <c r="T633" s="183">
        <v>5</v>
      </c>
      <c r="U633" s="185"/>
      <c r="V633" s="114" t="s">
        <v>2031</v>
      </c>
      <c r="W633" s="116"/>
      <c r="X633" s="227">
        <v>165</v>
      </c>
      <c r="Y633" s="228"/>
      <c r="Z633" s="229"/>
      <c r="AA633" s="110" t="s">
        <v>717</v>
      </c>
      <c r="AB633" s="111"/>
      <c r="AC633" s="164"/>
      <c r="AD633" s="166"/>
      <c r="AE633" s="178"/>
      <c r="AF633" s="164"/>
      <c r="AG633" s="165"/>
      <c r="AH633" s="166"/>
      <c r="AI633" s="167"/>
      <c r="AJ633" s="122"/>
      <c r="AK633" s="122"/>
      <c r="AL633" s="122"/>
    </row>
    <row r="634" spans="1:38" ht="75" x14ac:dyDescent="0.35">
      <c r="A634" s="179"/>
      <c r="B634" s="167"/>
      <c r="C634" s="168"/>
      <c r="D634" s="169"/>
      <c r="E634" s="28" t="s">
        <v>2032</v>
      </c>
      <c r="F634" s="124" t="s">
        <v>2028</v>
      </c>
      <c r="G634" s="182"/>
      <c r="H634" s="125"/>
      <c r="I634" s="183">
        <v>12</v>
      </c>
      <c r="J634" s="185"/>
      <c r="K634" s="110" t="s">
        <v>2029</v>
      </c>
      <c r="L634" s="111"/>
      <c r="M634" s="114" t="s">
        <v>2033</v>
      </c>
      <c r="N634" s="115"/>
      <c r="O634" s="116"/>
      <c r="P634" s="183">
        <v>6</v>
      </c>
      <c r="Q634" s="185"/>
      <c r="R634" s="183">
        <v>22</v>
      </c>
      <c r="S634" s="185"/>
      <c r="T634" s="183">
        <v>5</v>
      </c>
      <c r="U634" s="185"/>
      <c r="V634" s="114" t="s">
        <v>2034</v>
      </c>
      <c r="W634" s="116"/>
      <c r="X634" s="227">
        <v>165</v>
      </c>
      <c r="Y634" s="228"/>
      <c r="Z634" s="229"/>
      <c r="AA634" s="110" t="s">
        <v>1452</v>
      </c>
      <c r="AB634" s="111"/>
      <c r="AC634" s="167"/>
      <c r="AD634" s="169"/>
      <c r="AE634" s="179"/>
      <c r="AF634" s="167"/>
      <c r="AG634" s="168"/>
      <c r="AH634" s="169"/>
      <c r="AI634" s="167"/>
      <c r="AJ634" s="122"/>
      <c r="AK634" s="122"/>
      <c r="AL634" s="122"/>
    </row>
    <row r="635" spans="1:38" ht="90" x14ac:dyDescent="0.35">
      <c r="A635" s="179"/>
      <c r="B635" s="167"/>
      <c r="C635" s="168"/>
      <c r="D635" s="169"/>
      <c r="E635" s="28" t="s">
        <v>2035</v>
      </c>
      <c r="F635" s="124" t="s">
        <v>2028</v>
      </c>
      <c r="G635" s="182"/>
      <c r="H635" s="125"/>
      <c r="I635" s="183">
        <v>12</v>
      </c>
      <c r="J635" s="185"/>
      <c r="K635" s="110" t="s">
        <v>2029</v>
      </c>
      <c r="L635" s="111"/>
      <c r="M635" s="114" t="s">
        <v>2036</v>
      </c>
      <c r="N635" s="115"/>
      <c r="O635" s="116"/>
      <c r="P635" s="183">
        <v>6</v>
      </c>
      <c r="Q635" s="185"/>
      <c r="R635" s="183">
        <v>22</v>
      </c>
      <c r="S635" s="185"/>
      <c r="T635" s="183">
        <v>5</v>
      </c>
      <c r="U635" s="185"/>
      <c r="V635" s="114" t="s">
        <v>2037</v>
      </c>
      <c r="W635" s="116"/>
      <c r="X635" s="227">
        <v>179</v>
      </c>
      <c r="Y635" s="228"/>
      <c r="Z635" s="229"/>
      <c r="AA635" s="110" t="s">
        <v>758</v>
      </c>
      <c r="AB635" s="111"/>
      <c r="AC635" s="167"/>
      <c r="AD635" s="169"/>
      <c r="AE635" s="179"/>
      <c r="AF635" s="167"/>
      <c r="AG635" s="168"/>
      <c r="AH635" s="169"/>
      <c r="AI635" s="167"/>
      <c r="AJ635" s="122"/>
      <c r="AK635" s="122"/>
      <c r="AL635" s="122"/>
    </row>
    <row r="636" spans="1:38" ht="90" x14ac:dyDescent="0.35">
      <c r="A636" s="179"/>
      <c r="B636" s="167"/>
      <c r="C636" s="168"/>
      <c r="D636" s="169"/>
      <c r="E636" s="28" t="s">
        <v>2038</v>
      </c>
      <c r="F636" s="124" t="s">
        <v>2028</v>
      </c>
      <c r="G636" s="182"/>
      <c r="H636" s="125"/>
      <c r="I636" s="183">
        <v>12</v>
      </c>
      <c r="J636" s="185"/>
      <c r="K636" s="110" t="s">
        <v>2029</v>
      </c>
      <c r="L636" s="111"/>
      <c r="M636" s="114" t="s">
        <v>2036</v>
      </c>
      <c r="N636" s="115"/>
      <c r="O636" s="116"/>
      <c r="P636" s="183">
        <v>6</v>
      </c>
      <c r="Q636" s="185"/>
      <c r="R636" s="183">
        <v>22</v>
      </c>
      <c r="S636" s="185"/>
      <c r="T636" s="183">
        <v>5</v>
      </c>
      <c r="U636" s="185"/>
      <c r="V636" s="114" t="s">
        <v>2037</v>
      </c>
      <c r="W636" s="116"/>
      <c r="X636" s="227">
        <v>179</v>
      </c>
      <c r="Y636" s="228"/>
      <c r="Z636" s="229"/>
      <c r="AA636" s="110" t="s">
        <v>758</v>
      </c>
      <c r="AB636" s="111"/>
      <c r="AC636" s="167"/>
      <c r="AD636" s="169"/>
      <c r="AE636" s="179"/>
      <c r="AF636" s="167"/>
      <c r="AG636" s="168"/>
      <c r="AH636" s="169"/>
      <c r="AI636" s="167"/>
      <c r="AJ636" s="122"/>
      <c r="AK636" s="122"/>
      <c r="AL636" s="122"/>
    </row>
    <row r="637" spans="1:38" ht="90" x14ac:dyDescent="0.35">
      <c r="A637" s="179"/>
      <c r="B637" s="162" t="s">
        <v>2039</v>
      </c>
      <c r="C637" s="170"/>
      <c r="D637" s="163"/>
      <c r="E637" s="28" t="s">
        <v>2040</v>
      </c>
      <c r="F637" s="124" t="s">
        <v>2028</v>
      </c>
      <c r="G637" s="182"/>
      <c r="H637" s="125"/>
      <c r="I637" s="183">
        <v>12</v>
      </c>
      <c r="J637" s="185"/>
      <c r="K637" s="110" t="s">
        <v>2029</v>
      </c>
      <c r="L637" s="111"/>
      <c r="M637" s="695">
        <v>93</v>
      </c>
      <c r="N637" s="696"/>
      <c r="O637" s="697"/>
      <c r="P637" s="183">
        <v>6</v>
      </c>
      <c r="Q637" s="185"/>
      <c r="R637" s="183">
        <v>22</v>
      </c>
      <c r="S637" s="185"/>
      <c r="T637" s="183">
        <v>5</v>
      </c>
      <c r="U637" s="185"/>
      <c r="V637" s="114" t="s">
        <v>2041</v>
      </c>
      <c r="W637" s="116"/>
      <c r="X637" s="227">
        <v>179</v>
      </c>
      <c r="Y637" s="228"/>
      <c r="Z637" s="229"/>
      <c r="AA637" s="110" t="s">
        <v>1023</v>
      </c>
      <c r="AB637" s="111"/>
      <c r="AC637" s="239" t="s">
        <v>675</v>
      </c>
      <c r="AD637" s="240"/>
      <c r="AE637" s="31" t="s">
        <v>2044</v>
      </c>
      <c r="AF637" s="162" t="s">
        <v>2046</v>
      </c>
      <c r="AG637" s="170"/>
      <c r="AH637" s="170"/>
      <c r="AI637" s="39"/>
      <c r="AJ637" s="122"/>
      <c r="AK637" s="122"/>
      <c r="AL637" s="122"/>
    </row>
    <row r="638" spans="1:38" ht="90" x14ac:dyDescent="0.35">
      <c r="A638" s="179"/>
      <c r="B638" s="162" t="s">
        <v>1988</v>
      </c>
      <c r="C638" s="170"/>
      <c r="D638" s="163"/>
      <c r="E638" s="28" t="s">
        <v>2047</v>
      </c>
      <c r="F638" s="124" t="s">
        <v>2028</v>
      </c>
      <c r="G638" s="182"/>
      <c r="H638" s="125"/>
      <c r="I638" s="110" t="s">
        <v>1462</v>
      </c>
      <c r="J638" s="111"/>
      <c r="K638" s="110" t="s">
        <v>2029</v>
      </c>
      <c r="L638" s="111"/>
      <c r="M638" s="114" t="s">
        <v>2048</v>
      </c>
      <c r="N638" s="115"/>
      <c r="O638" s="116"/>
      <c r="P638" s="183">
        <v>6</v>
      </c>
      <c r="Q638" s="185"/>
      <c r="R638" s="183">
        <v>22</v>
      </c>
      <c r="S638" s="185"/>
      <c r="T638" s="183">
        <v>5</v>
      </c>
      <c r="U638" s="185"/>
      <c r="V638" s="114" t="s">
        <v>2049</v>
      </c>
      <c r="W638" s="116"/>
      <c r="X638" s="227">
        <v>219</v>
      </c>
      <c r="Y638" s="228"/>
      <c r="Z638" s="229"/>
      <c r="AA638" s="110" t="s">
        <v>826</v>
      </c>
      <c r="AB638" s="111"/>
      <c r="AC638" s="239" t="s">
        <v>2042</v>
      </c>
      <c r="AD638" s="240"/>
      <c r="AE638" s="31" t="s">
        <v>681</v>
      </c>
      <c r="AF638" s="162"/>
      <c r="AG638" s="170"/>
      <c r="AH638" s="170"/>
      <c r="AI638" s="39"/>
      <c r="AJ638" s="122"/>
      <c r="AK638" s="122"/>
      <c r="AL638" s="122"/>
    </row>
    <row r="639" spans="1:38" ht="75" x14ac:dyDescent="0.35">
      <c r="A639" s="179"/>
      <c r="B639" s="162"/>
      <c r="C639" s="170"/>
      <c r="D639" s="163"/>
      <c r="E639" s="28" t="s">
        <v>2050</v>
      </c>
      <c r="F639" s="124" t="s">
        <v>2051</v>
      </c>
      <c r="G639" s="182"/>
      <c r="H639" s="125"/>
      <c r="I639" s="183">
        <v>15</v>
      </c>
      <c r="J639" s="185"/>
      <c r="K639" s="110" t="s">
        <v>2052</v>
      </c>
      <c r="L639" s="111"/>
      <c r="M639" s="114" t="s">
        <v>2053</v>
      </c>
      <c r="N639" s="115"/>
      <c r="O639" s="116"/>
      <c r="P639" s="183">
        <v>7</v>
      </c>
      <c r="Q639" s="185"/>
      <c r="R639" s="183">
        <v>22</v>
      </c>
      <c r="S639" s="185"/>
      <c r="T639" s="183">
        <v>6</v>
      </c>
      <c r="U639" s="185"/>
      <c r="V639" s="114" t="s">
        <v>2054</v>
      </c>
      <c r="W639" s="116"/>
      <c r="X639" s="227">
        <v>180</v>
      </c>
      <c r="Y639" s="228"/>
      <c r="Z639" s="229"/>
      <c r="AA639" s="110" t="s">
        <v>758</v>
      </c>
      <c r="AB639" s="111"/>
      <c r="AC639" s="239" t="s">
        <v>677</v>
      </c>
      <c r="AD639" s="240"/>
      <c r="AE639" s="31" t="s">
        <v>2045</v>
      </c>
      <c r="AF639" s="162"/>
      <c r="AG639" s="170"/>
      <c r="AH639" s="170"/>
      <c r="AI639" s="39"/>
      <c r="AJ639" s="122"/>
      <c r="AK639" s="122"/>
      <c r="AL639" s="122"/>
    </row>
    <row r="640" spans="1:38" ht="75" x14ac:dyDescent="0.35">
      <c r="A640" s="179"/>
      <c r="B640" s="162"/>
      <c r="C640" s="170"/>
      <c r="D640" s="163"/>
      <c r="E640" s="28" t="s">
        <v>2055</v>
      </c>
      <c r="F640" s="124" t="s">
        <v>2051</v>
      </c>
      <c r="G640" s="182"/>
      <c r="H640" s="125"/>
      <c r="I640" s="183">
        <v>15</v>
      </c>
      <c r="J640" s="185"/>
      <c r="K640" s="110" t="s">
        <v>2052</v>
      </c>
      <c r="L640" s="111"/>
      <c r="M640" s="183">
        <v>90</v>
      </c>
      <c r="N640" s="184"/>
      <c r="O640" s="185"/>
      <c r="P640" s="183">
        <v>7</v>
      </c>
      <c r="Q640" s="185"/>
      <c r="R640" s="183">
        <v>22</v>
      </c>
      <c r="S640" s="185"/>
      <c r="T640" s="183">
        <v>6</v>
      </c>
      <c r="U640" s="185"/>
      <c r="V640" s="114" t="s">
        <v>2056</v>
      </c>
      <c r="W640" s="116"/>
      <c r="X640" s="227">
        <v>180</v>
      </c>
      <c r="Y640" s="228"/>
      <c r="Z640" s="229"/>
      <c r="AA640" s="110" t="s">
        <v>1090</v>
      </c>
      <c r="AB640" s="111"/>
      <c r="AC640" s="239" t="s">
        <v>678</v>
      </c>
      <c r="AD640" s="240"/>
      <c r="AE640" s="31"/>
      <c r="AF640" s="162"/>
      <c r="AG640" s="170"/>
      <c r="AH640" s="170"/>
      <c r="AI640" s="39"/>
      <c r="AJ640" s="122"/>
      <c r="AK640" s="122"/>
      <c r="AL640" s="122"/>
    </row>
    <row r="641" spans="1:38" ht="15" x14ac:dyDescent="0.3">
      <c r="A641" s="179"/>
      <c r="B641" s="162"/>
      <c r="C641" s="170"/>
      <c r="D641" s="163"/>
      <c r="E641" s="64" t="s">
        <v>2057</v>
      </c>
      <c r="F641" s="112" t="s">
        <v>2051</v>
      </c>
      <c r="G641" s="572"/>
      <c r="H641" s="113"/>
      <c r="I641" s="204">
        <v>15</v>
      </c>
      <c r="J641" s="205"/>
      <c r="K641" s="143" t="s">
        <v>2052</v>
      </c>
      <c r="L641" s="145"/>
      <c r="M641" s="88" t="s">
        <v>2058</v>
      </c>
      <c r="N641" s="153"/>
      <c r="O641" s="89"/>
      <c r="P641" s="204">
        <v>7</v>
      </c>
      <c r="Q641" s="205"/>
      <c r="R641" s="204">
        <v>22</v>
      </c>
      <c r="S641" s="205"/>
      <c r="T641" s="204">
        <v>6</v>
      </c>
      <c r="U641" s="205"/>
      <c r="V641" s="88" t="s">
        <v>2059</v>
      </c>
      <c r="W641" s="89"/>
      <c r="X641" s="241">
        <v>198</v>
      </c>
      <c r="Y641" s="242"/>
      <c r="Z641" s="243"/>
      <c r="AA641" s="143" t="s">
        <v>1452</v>
      </c>
      <c r="AB641" s="145"/>
      <c r="AC641" s="239" t="s">
        <v>2043</v>
      </c>
      <c r="AD641" s="240"/>
      <c r="AE641" s="31"/>
      <c r="AF641" s="162"/>
      <c r="AG641" s="170"/>
      <c r="AH641" s="170"/>
      <c r="AI641" s="122"/>
      <c r="AJ641" s="156" t="s">
        <v>2010</v>
      </c>
      <c r="AK641" s="156"/>
      <c r="AL641" s="156"/>
    </row>
    <row r="642" spans="1:38" ht="15" x14ac:dyDescent="0.3">
      <c r="A642" s="179"/>
      <c r="B642" s="162"/>
      <c r="C642" s="170"/>
      <c r="D642" s="163"/>
      <c r="E642" s="65"/>
      <c r="F642" s="160"/>
      <c r="G642" s="573"/>
      <c r="H642" s="161"/>
      <c r="I642" s="206"/>
      <c r="J642" s="207"/>
      <c r="K642" s="146"/>
      <c r="L642" s="148"/>
      <c r="M642" s="117"/>
      <c r="N642" s="154"/>
      <c r="O642" s="118"/>
      <c r="P642" s="206"/>
      <c r="Q642" s="207"/>
      <c r="R642" s="206"/>
      <c r="S642" s="207"/>
      <c r="T642" s="206"/>
      <c r="U642" s="207"/>
      <c r="V642" s="117"/>
      <c r="W642" s="118"/>
      <c r="X642" s="244"/>
      <c r="Y642" s="245"/>
      <c r="Z642" s="246"/>
      <c r="AA642" s="146"/>
      <c r="AB642" s="148"/>
      <c r="AC642" s="239"/>
      <c r="AD642" s="240"/>
      <c r="AE642" s="31"/>
      <c r="AF642" s="162"/>
      <c r="AG642" s="170"/>
      <c r="AH642" s="170"/>
      <c r="AI642" s="122"/>
      <c r="AJ642" s="156" t="s">
        <v>2060</v>
      </c>
      <c r="AK642" s="156"/>
      <c r="AL642" s="156"/>
    </row>
    <row r="643" spans="1:38" ht="90" x14ac:dyDescent="0.35">
      <c r="A643" s="179"/>
      <c r="B643" s="162"/>
      <c r="C643" s="170"/>
      <c r="D643" s="163"/>
      <c r="E643" s="28" t="s">
        <v>2062</v>
      </c>
      <c r="F643" s="124" t="s">
        <v>2051</v>
      </c>
      <c r="G643" s="182"/>
      <c r="H643" s="125"/>
      <c r="I643" s="183">
        <v>15</v>
      </c>
      <c r="J643" s="185"/>
      <c r="K643" s="110" t="s">
        <v>2052</v>
      </c>
      <c r="L643" s="111"/>
      <c r="M643" s="114" t="s">
        <v>2058</v>
      </c>
      <c r="N643" s="115"/>
      <c r="O643" s="116"/>
      <c r="P643" s="183">
        <v>7</v>
      </c>
      <c r="Q643" s="185"/>
      <c r="R643" s="183">
        <v>22</v>
      </c>
      <c r="S643" s="185"/>
      <c r="T643" s="183">
        <v>6</v>
      </c>
      <c r="U643" s="185"/>
      <c r="V643" s="114" t="s">
        <v>2059</v>
      </c>
      <c r="W643" s="116"/>
      <c r="X643" s="227">
        <v>198</v>
      </c>
      <c r="Y643" s="228"/>
      <c r="Z643" s="229"/>
      <c r="AA643" s="110" t="s">
        <v>1452</v>
      </c>
      <c r="AB643" s="111"/>
      <c r="AC643" s="239"/>
      <c r="AD643" s="240"/>
      <c r="AE643" s="31"/>
      <c r="AF643" s="162"/>
      <c r="AG643" s="170"/>
      <c r="AH643" s="170"/>
      <c r="AI643" s="39"/>
      <c r="AJ643" s="156" t="s">
        <v>2061</v>
      </c>
      <c r="AK643" s="156"/>
      <c r="AL643" s="156"/>
    </row>
    <row r="644" spans="1:38" ht="90" x14ac:dyDescent="0.35">
      <c r="A644" s="179"/>
      <c r="B644" s="162"/>
      <c r="C644" s="170"/>
      <c r="D644" s="163"/>
      <c r="E644" s="28" t="s">
        <v>2063</v>
      </c>
      <c r="F644" s="124" t="s">
        <v>2051</v>
      </c>
      <c r="G644" s="182"/>
      <c r="H644" s="125"/>
      <c r="I644" s="183">
        <v>15</v>
      </c>
      <c r="J644" s="185"/>
      <c r="K644" s="110" t="s">
        <v>2052</v>
      </c>
      <c r="L644" s="111"/>
      <c r="M644" s="695">
        <v>108</v>
      </c>
      <c r="N644" s="696"/>
      <c r="O644" s="697"/>
      <c r="P644" s="183">
        <v>7</v>
      </c>
      <c r="Q644" s="185"/>
      <c r="R644" s="183">
        <v>22</v>
      </c>
      <c r="S644" s="185"/>
      <c r="T644" s="183">
        <v>6</v>
      </c>
      <c r="U644" s="185"/>
      <c r="V644" s="114" t="s">
        <v>2064</v>
      </c>
      <c r="W644" s="116"/>
      <c r="X644" s="227">
        <v>198</v>
      </c>
      <c r="Y644" s="228"/>
      <c r="Z644" s="229"/>
      <c r="AA644" s="110" t="s">
        <v>989</v>
      </c>
      <c r="AB644" s="111"/>
      <c r="AC644" s="239"/>
      <c r="AD644" s="240"/>
      <c r="AE644" s="31"/>
      <c r="AF644" s="162"/>
      <c r="AG644" s="170"/>
      <c r="AH644" s="170"/>
      <c r="AI644" s="39"/>
      <c r="AJ644" s="122"/>
      <c r="AK644" s="122"/>
      <c r="AL644" s="122"/>
    </row>
    <row r="645" spans="1:38" ht="90" x14ac:dyDescent="0.35">
      <c r="A645" s="179"/>
      <c r="B645" s="162"/>
      <c r="C645" s="170"/>
      <c r="D645" s="163"/>
      <c r="E645" s="28" t="s">
        <v>2065</v>
      </c>
      <c r="F645" s="124" t="s">
        <v>2051</v>
      </c>
      <c r="G645" s="182"/>
      <c r="H645" s="125"/>
      <c r="I645" s="183">
        <v>15</v>
      </c>
      <c r="J645" s="185"/>
      <c r="K645" s="110" t="s">
        <v>2052</v>
      </c>
      <c r="L645" s="111"/>
      <c r="M645" s="183">
        <v>138</v>
      </c>
      <c r="N645" s="184"/>
      <c r="O645" s="185"/>
      <c r="P645" s="183">
        <v>7</v>
      </c>
      <c r="Q645" s="185"/>
      <c r="R645" s="183">
        <v>22</v>
      </c>
      <c r="S645" s="185"/>
      <c r="T645" s="183">
        <v>6</v>
      </c>
      <c r="U645" s="185"/>
      <c r="V645" s="114" t="s">
        <v>2066</v>
      </c>
      <c r="W645" s="116"/>
      <c r="X645" s="227">
        <v>259</v>
      </c>
      <c r="Y645" s="228"/>
      <c r="Z645" s="229"/>
      <c r="AA645" s="110" t="s">
        <v>1452</v>
      </c>
      <c r="AB645" s="111"/>
      <c r="AC645" s="239"/>
      <c r="AD645" s="240"/>
      <c r="AE645" s="31"/>
      <c r="AF645" s="162"/>
      <c r="AG645" s="170"/>
      <c r="AH645" s="170"/>
      <c r="AI645" s="39"/>
      <c r="AJ645" s="122"/>
      <c r="AK645" s="122"/>
      <c r="AL645" s="122"/>
    </row>
    <row r="646" spans="1:38" ht="75" x14ac:dyDescent="0.35">
      <c r="A646" s="179"/>
      <c r="B646" s="162"/>
      <c r="C646" s="170"/>
      <c r="D646" s="163"/>
      <c r="E646" s="28" t="s">
        <v>2067</v>
      </c>
      <c r="F646" s="124" t="s">
        <v>2068</v>
      </c>
      <c r="G646" s="182"/>
      <c r="H646" s="125"/>
      <c r="I646" s="183">
        <v>21</v>
      </c>
      <c r="J646" s="185"/>
      <c r="K646" s="114" t="s">
        <v>2069</v>
      </c>
      <c r="L646" s="116"/>
      <c r="M646" s="114" t="s">
        <v>2070</v>
      </c>
      <c r="N646" s="115"/>
      <c r="O646" s="116"/>
      <c r="P646" s="183">
        <v>9</v>
      </c>
      <c r="Q646" s="185"/>
      <c r="R646" s="183">
        <v>25</v>
      </c>
      <c r="S646" s="185"/>
      <c r="T646" s="183">
        <v>7</v>
      </c>
      <c r="U646" s="185"/>
      <c r="V646" s="114" t="s">
        <v>2071</v>
      </c>
      <c r="W646" s="116"/>
      <c r="X646" s="227">
        <v>198</v>
      </c>
      <c r="Y646" s="228"/>
      <c r="Z646" s="229"/>
      <c r="AA646" s="110" t="s">
        <v>842</v>
      </c>
      <c r="AB646" s="111"/>
      <c r="AC646" s="239"/>
      <c r="AD646" s="240"/>
      <c r="AE646" s="31"/>
      <c r="AF646" s="162"/>
      <c r="AG646" s="170"/>
      <c r="AH646" s="170"/>
      <c r="AI646" s="39"/>
      <c r="AJ646" s="122"/>
      <c r="AK646" s="122"/>
      <c r="AL646" s="122"/>
    </row>
    <row r="647" spans="1:38" ht="75" x14ac:dyDescent="0.35">
      <c r="A647" s="179"/>
      <c r="B647" s="162"/>
      <c r="C647" s="170"/>
      <c r="D647" s="163"/>
      <c r="E647" s="28" t="s">
        <v>2072</v>
      </c>
      <c r="F647" s="124" t="s">
        <v>2068</v>
      </c>
      <c r="G647" s="182"/>
      <c r="H647" s="125"/>
      <c r="I647" s="110" t="s">
        <v>2073</v>
      </c>
      <c r="J647" s="111"/>
      <c r="K647" s="114" t="s">
        <v>2069</v>
      </c>
      <c r="L647" s="116"/>
      <c r="M647" s="114" t="s">
        <v>2074</v>
      </c>
      <c r="N647" s="115"/>
      <c r="O647" s="116"/>
      <c r="P647" s="183">
        <v>9</v>
      </c>
      <c r="Q647" s="185"/>
      <c r="R647" s="183">
        <v>25</v>
      </c>
      <c r="S647" s="185"/>
      <c r="T647" s="183">
        <v>7</v>
      </c>
      <c r="U647" s="185"/>
      <c r="V647" s="114" t="s">
        <v>2075</v>
      </c>
      <c r="W647" s="116"/>
      <c r="X647" s="227">
        <v>198</v>
      </c>
      <c r="Y647" s="228"/>
      <c r="Z647" s="229"/>
      <c r="AA647" s="110" t="s">
        <v>1023</v>
      </c>
      <c r="AB647" s="111"/>
      <c r="AC647" s="239"/>
      <c r="AD647" s="240"/>
      <c r="AE647" s="31"/>
      <c r="AF647" s="162"/>
      <c r="AG647" s="170"/>
      <c r="AH647" s="170"/>
      <c r="AI647" s="39"/>
      <c r="AJ647" s="122"/>
      <c r="AK647" s="122"/>
      <c r="AL647" s="122"/>
    </row>
    <row r="648" spans="1:38" ht="90" x14ac:dyDescent="0.35">
      <c r="A648" s="179"/>
      <c r="B648" s="162"/>
      <c r="C648" s="170"/>
      <c r="D648" s="163"/>
      <c r="E648" s="28" t="s">
        <v>2076</v>
      </c>
      <c r="F648" s="124" t="s">
        <v>2068</v>
      </c>
      <c r="G648" s="182"/>
      <c r="H648" s="125"/>
      <c r="I648" s="183">
        <v>20</v>
      </c>
      <c r="J648" s="185"/>
      <c r="K648" s="114" t="s">
        <v>2069</v>
      </c>
      <c r="L648" s="116"/>
      <c r="M648" s="114" t="s">
        <v>2077</v>
      </c>
      <c r="N648" s="115"/>
      <c r="O648" s="116"/>
      <c r="P648" s="183">
        <v>9</v>
      </c>
      <c r="Q648" s="185"/>
      <c r="R648" s="183">
        <v>25</v>
      </c>
      <c r="S648" s="185"/>
      <c r="T648" s="183">
        <v>7</v>
      </c>
      <c r="U648" s="185"/>
      <c r="V648" s="114" t="s">
        <v>2078</v>
      </c>
      <c r="W648" s="116"/>
      <c r="X648" s="227">
        <v>218</v>
      </c>
      <c r="Y648" s="228"/>
      <c r="Z648" s="229"/>
      <c r="AA648" s="110" t="s">
        <v>1090</v>
      </c>
      <c r="AB648" s="111"/>
      <c r="AC648" s="239"/>
      <c r="AD648" s="240"/>
      <c r="AE648" s="31"/>
      <c r="AF648" s="162"/>
      <c r="AG648" s="170"/>
      <c r="AH648" s="170"/>
      <c r="AI648" s="39"/>
      <c r="AJ648" s="122"/>
      <c r="AK648" s="122"/>
      <c r="AL648" s="122"/>
    </row>
    <row r="649" spans="1:38" ht="90" x14ac:dyDescent="0.35">
      <c r="A649" s="179"/>
      <c r="B649" s="162"/>
      <c r="C649" s="170"/>
      <c r="D649" s="163"/>
      <c r="E649" s="28" t="s">
        <v>2079</v>
      </c>
      <c r="F649" s="124" t="s">
        <v>2068</v>
      </c>
      <c r="G649" s="182"/>
      <c r="H649" s="125"/>
      <c r="I649" s="183">
        <v>20</v>
      </c>
      <c r="J649" s="185"/>
      <c r="K649" s="114" t="s">
        <v>2069</v>
      </c>
      <c r="L649" s="116"/>
      <c r="M649" s="114" t="s">
        <v>2077</v>
      </c>
      <c r="N649" s="115"/>
      <c r="O649" s="116"/>
      <c r="P649" s="183">
        <v>9</v>
      </c>
      <c r="Q649" s="185"/>
      <c r="R649" s="183">
        <v>25</v>
      </c>
      <c r="S649" s="185"/>
      <c r="T649" s="183">
        <v>7</v>
      </c>
      <c r="U649" s="185"/>
      <c r="V649" s="114" t="s">
        <v>2078</v>
      </c>
      <c r="W649" s="116"/>
      <c r="X649" s="227">
        <v>218</v>
      </c>
      <c r="Y649" s="228"/>
      <c r="Z649" s="229"/>
      <c r="AA649" s="110" t="s">
        <v>1090</v>
      </c>
      <c r="AB649" s="111"/>
      <c r="AC649" s="239"/>
      <c r="AD649" s="240"/>
      <c r="AE649" s="31"/>
      <c r="AF649" s="162"/>
      <c r="AG649" s="170"/>
      <c r="AH649" s="170"/>
      <c r="AI649" s="39"/>
      <c r="AJ649" s="122"/>
      <c r="AK649" s="122"/>
      <c r="AL649" s="122"/>
    </row>
    <row r="650" spans="1:38" ht="90" x14ac:dyDescent="0.35">
      <c r="A650" s="179"/>
      <c r="B650" s="162"/>
      <c r="C650" s="170"/>
      <c r="D650" s="163"/>
      <c r="E650" s="28" t="s">
        <v>2080</v>
      </c>
      <c r="F650" s="124" t="s">
        <v>2068</v>
      </c>
      <c r="G650" s="182"/>
      <c r="H650" s="125"/>
      <c r="I650" s="183">
        <v>20</v>
      </c>
      <c r="J650" s="185"/>
      <c r="K650" s="114" t="s">
        <v>2069</v>
      </c>
      <c r="L650" s="116"/>
      <c r="M650" s="695">
        <v>125</v>
      </c>
      <c r="N650" s="696"/>
      <c r="O650" s="697"/>
      <c r="P650" s="183">
        <v>9</v>
      </c>
      <c r="Q650" s="185"/>
      <c r="R650" s="183">
        <v>25</v>
      </c>
      <c r="S650" s="185"/>
      <c r="T650" s="183">
        <v>7</v>
      </c>
      <c r="U650" s="185"/>
      <c r="V650" s="114" t="s">
        <v>2081</v>
      </c>
      <c r="W650" s="116"/>
      <c r="X650" s="227">
        <v>218</v>
      </c>
      <c r="Y650" s="228"/>
      <c r="Z650" s="229"/>
      <c r="AA650" s="110" t="s">
        <v>1854</v>
      </c>
      <c r="AB650" s="111"/>
      <c r="AC650" s="239"/>
      <c r="AD650" s="240"/>
      <c r="AE650" s="31"/>
      <c r="AF650" s="162"/>
      <c r="AG650" s="170"/>
      <c r="AH650" s="170"/>
      <c r="AI650" s="39"/>
      <c r="AJ650" s="122"/>
      <c r="AK650" s="122"/>
      <c r="AL650" s="122"/>
    </row>
    <row r="651" spans="1:38" ht="90" x14ac:dyDescent="0.35">
      <c r="A651" s="230"/>
      <c r="B651" s="212"/>
      <c r="C651" s="408"/>
      <c r="D651" s="213"/>
      <c r="E651" s="28" t="s">
        <v>2082</v>
      </c>
      <c r="F651" s="124" t="s">
        <v>2068</v>
      </c>
      <c r="G651" s="182"/>
      <c r="H651" s="125"/>
      <c r="I651" s="183">
        <v>20</v>
      </c>
      <c r="J651" s="185"/>
      <c r="K651" s="114" t="s">
        <v>2069</v>
      </c>
      <c r="L651" s="116"/>
      <c r="M651" s="114" t="s">
        <v>2083</v>
      </c>
      <c r="N651" s="115"/>
      <c r="O651" s="116"/>
      <c r="P651" s="183">
        <v>9</v>
      </c>
      <c r="Q651" s="185"/>
      <c r="R651" s="183">
        <v>25</v>
      </c>
      <c r="S651" s="185"/>
      <c r="T651" s="183">
        <v>7</v>
      </c>
      <c r="U651" s="185"/>
      <c r="V651" s="114" t="s">
        <v>2084</v>
      </c>
      <c r="W651" s="116"/>
      <c r="X651" s="227">
        <v>309</v>
      </c>
      <c r="Y651" s="228"/>
      <c r="Z651" s="229"/>
      <c r="AA651" s="110" t="s">
        <v>1452</v>
      </c>
      <c r="AB651" s="111"/>
      <c r="AC651" s="225"/>
      <c r="AD651" s="226"/>
      <c r="AE651" s="31"/>
      <c r="AF651" s="212"/>
      <c r="AG651" s="408"/>
      <c r="AH651" s="408"/>
      <c r="AI651" s="39"/>
      <c r="AJ651" s="122"/>
      <c r="AK651" s="122"/>
      <c r="AL651" s="122"/>
    </row>
    <row r="652" spans="1:38" ht="91" x14ac:dyDescent="0.35">
      <c r="A652" s="178"/>
      <c r="B652" s="303" t="s">
        <v>2085</v>
      </c>
      <c r="C652" s="344"/>
      <c r="D652" s="304"/>
      <c r="E652" s="28" t="s">
        <v>2086</v>
      </c>
      <c r="F652" s="124" t="s">
        <v>2087</v>
      </c>
      <c r="G652" s="182"/>
      <c r="H652" s="125"/>
      <c r="I652" s="110" t="s">
        <v>2088</v>
      </c>
      <c r="J652" s="111"/>
      <c r="K652" s="110" t="s">
        <v>2089</v>
      </c>
      <c r="L652" s="111"/>
      <c r="M652" s="114" t="s">
        <v>2090</v>
      </c>
      <c r="N652" s="115"/>
      <c r="O652" s="116"/>
      <c r="P652" s="183">
        <v>6</v>
      </c>
      <c r="Q652" s="185"/>
      <c r="R652" s="183">
        <v>20</v>
      </c>
      <c r="S652" s="185"/>
      <c r="T652" s="183">
        <v>5</v>
      </c>
      <c r="U652" s="185"/>
      <c r="V652" s="114" t="s">
        <v>2091</v>
      </c>
      <c r="W652" s="116"/>
      <c r="X652" s="227">
        <v>106</v>
      </c>
      <c r="Y652" s="228"/>
      <c r="Z652" s="229"/>
      <c r="AA652" s="110" t="s">
        <v>2092</v>
      </c>
      <c r="AB652" s="111"/>
      <c r="AC652" s="409" t="s">
        <v>675</v>
      </c>
      <c r="AD652" s="411"/>
      <c r="AE652" s="35" t="s">
        <v>2095</v>
      </c>
      <c r="AF652" s="303" t="s">
        <v>2097</v>
      </c>
      <c r="AG652" s="344"/>
      <c r="AH652" s="344"/>
      <c r="AI652" s="39"/>
      <c r="AJ652" s="122"/>
      <c r="AK652" s="122"/>
      <c r="AL652" s="122"/>
    </row>
    <row r="653" spans="1:38" ht="90" x14ac:dyDescent="0.35">
      <c r="A653" s="179"/>
      <c r="B653" s="292" t="s">
        <v>1988</v>
      </c>
      <c r="C653" s="314"/>
      <c r="D653" s="293"/>
      <c r="E653" s="28" t="s">
        <v>2098</v>
      </c>
      <c r="F653" s="124" t="s">
        <v>2087</v>
      </c>
      <c r="G653" s="182"/>
      <c r="H653" s="125"/>
      <c r="I653" s="110" t="s">
        <v>2099</v>
      </c>
      <c r="J653" s="111"/>
      <c r="K653" s="110" t="s">
        <v>2089</v>
      </c>
      <c r="L653" s="111"/>
      <c r="M653" s="114" t="s">
        <v>2100</v>
      </c>
      <c r="N653" s="115"/>
      <c r="O653" s="116"/>
      <c r="P653" s="183">
        <v>6</v>
      </c>
      <c r="Q653" s="185"/>
      <c r="R653" s="183">
        <v>20</v>
      </c>
      <c r="S653" s="185"/>
      <c r="T653" s="183">
        <v>5</v>
      </c>
      <c r="U653" s="185"/>
      <c r="V653" s="114" t="s">
        <v>1147</v>
      </c>
      <c r="W653" s="116"/>
      <c r="X653" s="227">
        <v>106</v>
      </c>
      <c r="Y653" s="228"/>
      <c r="Z653" s="229"/>
      <c r="AA653" s="110" t="s">
        <v>2101</v>
      </c>
      <c r="AB653" s="111"/>
      <c r="AC653" s="401" t="s">
        <v>2093</v>
      </c>
      <c r="AD653" s="403"/>
      <c r="AE653" s="36" t="s">
        <v>681</v>
      </c>
      <c r="AF653" s="292"/>
      <c r="AG653" s="314"/>
      <c r="AH653" s="314"/>
      <c r="AI653" s="39"/>
      <c r="AJ653" s="122"/>
      <c r="AK653" s="122"/>
      <c r="AL653" s="122"/>
    </row>
    <row r="654" spans="1:38" ht="90" x14ac:dyDescent="0.35">
      <c r="A654" s="179"/>
      <c r="B654" s="292"/>
      <c r="C654" s="314"/>
      <c r="D654" s="293"/>
      <c r="E654" s="28" t="s">
        <v>2102</v>
      </c>
      <c r="F654" s="124" t="s">
        <v>2087</v>
      </c>
      <c r="G654" s="182"/>
      <c r="H654" s="125"/>
      <c r="I654" s="110" t="s">
        <v>2099</v>
      </c>
      <c r="J654" s="111"/>
      <c r="K654" s="110" t="s">
        <v>2089</v>
      </c>
      <c r="L654" s="111"/>
      <c r="M654" s="114" t="s">
        <v>2103</v>
      </c>
      <c r="N654" s="115"/>
      <c r="O654" s="116"/>
      <c r="P654" s="183">
        <v>6</v>
      </c>
      <c r="Q654" s="185"/>
      <c r="R654" s="183">
        <v>20</v>
      </c>
      <c r="S654" s="185"/>
      <c r="T654" s="183">
        <v>5</v>
      </c>
      <c r="U654" s="185"/>
      <c r="V654" s="114" t="s">
        <v>2104</v>
      </c>
      <c r="W654" s="116"/>
      <c r="X654" s="227">
        <v>142</v>
      </c>
      <c r="Y654" s="228"/>
      <c r="Z654" s="229"/>
      <c r="AA654" s="110" t="s">
        <v>1338</v>
      </c>
      <c r="AB654" s="111"/>
      <c r="AC654" s="401" t="s">
        <v>677</v>
      </c>
      <c r="AD654" s="403"/>
      <c r="AE654" s="36" t="s">
        <v>2096</v>
      </c>
      <c r="AF654" s="292"/>
      <c r="AG654" s="314"/>
      <c r="AH654" s="314"/>
      <c r="AI654" s="39"/>
      <c r="AJ654" s="122"/>
      <c r="AK654" s="122"/>
      <c r="AL654" s="122"/>
    </row>
    <row r="655" spans="1:38" ht="90" x14ac:dyDescent="0.35">
      <c r="A655" s="179"/>
      <c r="B655" s="292"/>
      <c r="C655" s="314"/>
      <c r="D655" s="293"/>
      <c r="E655" s="28" t="s">
        <v>2105</v>
      </c>
      <c r="F655" s="124" t="s">
        <v>2087</v>
      </c>
      <c r="G655" s="182"/>
      <c r="H655" s="125"/>
      <c r="I655" s="110" t="s">
        <v>2099</v>
      </c>
      <c r="J655" s="111"/>
      <c r="K655" s="110" t="s">
        <v>2089</v>
      </c>
      <c r="L655" s="111"/>
      <c r="M655" s="114" t="s">
        <v>2103</v>
      </c>
      <c r="N655" s="115"/>
      <c r="O655" s="116"/>
      <c r="P655" s="183">
        <v>6</v>
      </c>
      <c r="Q655" s="185"/>
      <c r="R655" s="183">
        <v>20</v>
      </c>
      <c r="S655" s="185"/>
      <c r="T655" s="183">
        <v>5</v>
      </c>
      <c r="U655" s="185"/>
      <c r="V655" s="114" t="s">
        <v>2104</v>
      </c>
      <c r="W655" s="116"/>
      <c r="X655" s="227">
        <v>142</v>
      </c>
      <c r="Y655" s="228"/>
      <c r="Z655" s="229"/>
      <c r="AA655" s="110" t="s">
        <v>1338</v>
      </c>
      <c r="AB655" s="111"/>
      <c r="AC655" s="401" t="s">
        <v>678</v>
      </c>
      <c r="AD655" s="403"/>
      <c r="AE655" s="36"/>
      <c r="AF655" s="292"/>
      <c r="AG655" s="314"/>
      <c r="AH655" s="314"/>
      <c r="AI655" s="39"/>
      <c r="AJ655" s="122"/>
      <c r="AK655" s="122"/>
      <c r="AL655" s="122"/>
    </row>
    <row r="656" spans="1:38" ht="90" x14ac:dyDescent="0.35">
      <c r="A656" s="179"/>
      <c r="B656" s="292"/>
      <c r="C656" s="314"/>
      <c r="D656" s="293"/>
      <c r="E656" s="28" t="s">
        <v>2106</v>
      </c>
      <c r="F656" s="124" t="s">
        <v>2087</v>
      </c>
      <c r="G656" s="182"/>
      <c r="H656" s="125"/>
      <c r="I656" s="110" t="s">
        <v>2099</v>
      </c>
      <c r="J656" s="111"/>
      <c r="K656" s="110" t="s">
        <v>2089</v>
      </c>
      <c r="L656" s="111"/>
      <c r="M656" s="692" t="s">
        <v>2107</v>
      </c>
      <c r="N656" s="693"/>
      <c r="O656" s="694"/>
      <c r="P656" s="183">
        <v>6</v>
      </c>
      <c r="Q656" s="185"/>
      <c r="R656" s="183">
        <v>20</v>
      </c>
      <c r="S656" s="185"/>
      <c r="T656" s="183">
        <v>5</v>
      </c>
      <c r="U656" s="185"/>
      <c r="V656" s="114" t="s">
        <v>2108</v>
      </c>
      <c r="W656" s="116"/>
      <c r="X656" s="227">
        <v>142</v>
      </c>
      <c r="Y656" s="228"/>
      <c r="Z656" s="229"/>
      <c r="AA656" s="110" t="s">
        <v>901</v>
      </c>
      <c r="AB656" s="111"/>
      <c r="AC656" s="401" t="s">
        <v>2094</v>
      </c>
      <c r="AD656" s="403"/>
      <c r="AE656" s="36"/>
      <c r="AF656" s="292"/>
      <c r="AG656" s="314"/>
      <c r="AH656" s="314"/>
      <c r="AI656" s="39"/>
      <c r="AJ656" s="122"/>
      <c r="AK656" s="122"/>
      <c r="AL656" s="122"/>
    </row>
    <row r="657" spans="1:38" ht="90" x14ac:dyDescent="0.35">
      <c r="A657" s="179"/>
      <c r="B657" s="292"/>
      <c r="C657" s="314"/>
      <c r="D657" s="293"/>
      <c r="E657" s="28" t="s">
        <v>2109</v>
      </c>
      <c r="F657" s="124" t="s">
        <v>2087</v>
      </c>
      <c r="G657" s="182"/>
      <c r="H657" s="125"/>
      <c r="I657" s="110" t="s">
        <v>2099</v>
      </c>
      <c r="J657" s="111"/>
      <c r="K657" s="110" t="s">
        <v>2089</v>
      </c>
      <c r="L657" s="111"/>
      <c r="M657" s="183">
        <v>105</v>
      </c>
      <c r="N657" s="184"/>
      <c r="O657" s="185"/>
      <c r="P657" s="183">
        <v>6</v>
      </c>
      <c r="Q657" s="185"/>
      <c r="R657" s="183">
        <v>20</v>
      </c>
      <c r="S657" s="185"/>
      <c r="T657" s="183">
        <v>5</v>
      </c>
      <c r="U657" s="185"/>
      <c r="V657" s="114" t="s">
        <v>2110</v>
      </c>
      <c r="W657" s="116"/>
      <c r="X657" s="227">
        <v>199</v>
      </c>
      <c r="Y657" s="228"/>
      <c r="Z657" s="229"/>
      <c r="AA657" s="110" t="s">
        <v>842</v>
      </c>
      <c r="AB657" s="111"/>
      <c r="AC657" s="401"/>
      <c r="AD657" s="403"/>
      <c r="AE657" s="36"/>
      <c r="AF657" s="292"/>
      <c r="AG657" s="314"/>
      <c r="AH657" s="314"/>
      <c r="AI657" s="39"/>
      <c r="AJ657" s="122"/>
      <c r="AK657" s="122"/>
      <c r="AL657" s="122"/>
    </row>
    <row r="658" spans="1:38" ht="90" x14ac:dyDescent="0.35">
      <c r="A658" s="179"/>
      <c r="B658" s="292"/>
      <c r="C658" s="314"/>
      <c r="D658" s="293"/>
      <c r="E658" s="28" t="s">
        <v>2111</v>
      </c>
      <c r="F658" s="124" t="s">
        <v>2112</v>
      </c>
      <c r="G658" s="182"/>
      <c r="H658" s="125"/>
      <c r="I658" s="110" t="s">
        <v>2113</v>
      </c>
      <c r="J658" s="111"/>
      <c r="K658" s="110" t="s">
        <v>2114</v>
      </c>
      <c r="L658" s="111"/>
      <c r="M658" s="114" t="s">
        <v>2115</v>
      </c>
      <c r="N658" s="115"/>
      <c r="O658" s="116"/>
      <c r="P658" s="183">
        <v>7</v>
      </c>
      <c r="Q658" s="185"/>
      <c r="R658" s="183">
        <v>22</v>
      </c>
      <c r="S658" s="185"/>
      <c r="T658" s="183">
        <v>6</v>
      </c>
      <c r="U658" s="185"/>
      <c r="V658" s="114" t="s">
        <v>2116</v>
      </c>
      <c r="W658" s="116"/>
      <c r="X658" s="227">
        <v>115</v>
      </c>
      <c r="Y658" s="228"/>
      <c r="Z658" s="229"/>
      <c r="AA658" s="110" t="s">
        <v>756</v>
      </c>
      <c r="AB658" s="111"/>
      <c r="AC658" s="401"/>
      <c r="AD658" s="403"/>
      <c r="AE658" s="36"/>
      <c r="AF658" s="292"/>
      <c r="AG658" s="314"/>
      <c r="AH658" s="314"/>
      <c r="AI658" s="39"/>
      <c r="AJ658" s="122"/>
      <c r="AK658" s="122"/>
      <c r="AL658" s="122"/>
    </row>
    <row r="659" spans="1:38" ht="90" x14ac:dyDescent="0.35">
      <c r="A659" s="179"/>
      <c r="B659" s="292"/>
      <c r="C659" s="314"/>
      <c r="D659" s="293"/>
      <c r="E659" s="28" t="s">
        <v>2117</v>
      </c>
      <c r="F659" s="124" t="s">
        <v>2112</v>
      </c>
      <c r="G659" s="182"/>
      <c r="H659" s="125"/>
      <c r="I659" s="110" t="s">
        <v>2118</v>
      </c>
      <c r="J659" s="111"/>
      <c r="K659" s="110" t="s">
        <v>2114</v>
      </c>
      <c r="L659" s="111"/>
      <c r="M659" s="114" t="s">
        <v>2119</v>
      </c>
      <c r="N659" s="115"/>
      <c r="O659" s="116"/>
      <c r="P659" s="183">
        <v>7</v>
      </c>
      <c r="Q659" s="185"/>
      <c r="R659" s="183">
        <v>22</v>
      </c>
      <c r="S659" s="185"/>
      <c r="T659" s="183">
        <v>6</v>
      </c>
      <c r="U659" s="185"/>
      <c r="V659" s="114" t="s">
        <v>2120</v>
      </c>
      <c r="W659" s="116"/>
      <c r="X659" s="227">
        <v>115</v>
      </c>
      <c r="Y659" s="228"/>
      <c r="Z659" s="229"/>
      <c r="AA659" s="110" t="s">
        <v>2121</v>
      </c>
      <c r="AB659" s="111"/>
      <c r="AC659" s="401"/>
      <c r="AD659" s="403"/>
      <c r="AE659" s="36"/>
      <c r="AF659" s="292"/>
      <c r="AG659" s="314"/>
      <c r="AH659" s="314"/>
      <c r="AI659" s="39"/>
      <c r="AJ659" s="122"/>
      <c r="AK659" s="122"/>
      <c r="AL659" s="122"/>
    </row>
    <row r="660" spans="1:38" ht="15" x14ac:dyDescent="0.25">
      <c r="A660" s="179"/>
      <c r="B660" s="292"/>
      <c r="C660" s="314"/>
      <c r="D660" s="293"/>
      <c r="E660" s="64" t="s">
        <v>2122</v>
      </c>
      <c r="F660" s="112" t="s">
        <v>2112</v>
      </c>
      <c r="G660" s="572"/>
      <c r="H660" s="113"/>
      <c r="I660" s="143" t="s">
        <v>2123</v>
      </c>
      <c r="J660" s="145"/>
      <c r="K660" s="143" t="s">
        <v>2114</v>
      </c>
      <c r="L660" s="145"/>
      <c r="M660" s="88" t="s">
        <v>2124</v>
      </c>
      <c r="N660" s="153"/>
      <c r="O660" s="89"/>
      <c r="P660" s="204">
        <v>7</v>
      </c>
      <c r="Q660" s="205"/>
      <c r="R660" s="204">
        <v>22</v>
      </c>
      <c r="S660" s="205"/>
      <c r="T660" s="204">
        <v>6</v>
      </c>
      <c r="U660" s="205"/>
      <c r="V660" s="88" t="s">
        <v>2125</v>
      </c>
      <c r="W660" s="89"/>
      <c r="X660" s="241">
        <v>180</v>
      </c>
      <c r="Y660" s="242"/>
      <c r="Z660" s="243"/>
      <c r="AA660" s="143" t="s">
        <v>1452</v>
      </c>
      <c r="AB660" s="145"/>
      <c r="AC660" s="401"/>
      <c r="AD660" s="403"/>
      <c r="AE660" s="36"/>
      <c r="AF660" s="292"/>
      <c r="AG660" s="314"/>
      <c r="AH660" s="314"/>
      <c r="AI660" s="122"/>
      <c r="AJ660" s="156" t="s">
        <v>2010</v>
      </c>
      <c r="AK660" s="156"/>
      <c r="AL660" s="156"/>
    </row>
    <row r="661" spans="1:38" ht="15" x14ac:dyDescent="0.25">
      <c r="A661" s="179"/>
      <c r="B661" s="292"/>
      <c r="C661" s="314"/>
      <c r="D661" s="293"/>
      <c r="E661" s="65"/>
      <c r="F661" s="160"/>
      <c r="G661" s="573"/>
      <c r="H661" s="161"/>
      <c r="I661" s="146"/>
      <c r="J661" s="148"/>
      <c r="K661" s="146"/>
      <c r="L661" s="148"/>
      <c r="M661" s="117"/>
      <c r="N661" s="154"/>
      <c r="O661" s="118"/>
      <c r="P661" s="206"/>
      <c r="Q661" s="207"/>
      <c r="R661" s="206"/>
      <c r="S661" s="207"/>
      <c r="T661" s="206"/>
      <c r="U661" s="207"/>
      <c r="V661" s="117"/>
      <c r="W661" s="118"/>
      <c r="X661" s="244"/>
      <c r="Y661" s="245"/>
      <c r="Z661" s="246"/>
      <c r="AA661" s="146"/>
      <c r="AB661" s="148"/>
      <c r="AC661" s="401"/>
      <c r="AD661" s="403"/>
      <c r="AE661" s="36"/>
      <c r="AF661" s="292"/>
      <c r="AG661" s="314"/>
      <c r="AH661" s="314"/>
      <c r="AI661" s="122"/>
      <c r="AJ661" s="156" t="s">
        <v>2060</v>
      </c>
      <c r="AK661" s="156"/>
      <c r="AL661" s="156"/>
    </row>
    <row r="662" spans="1:38" ht="90" x14ac:dyDescent="0.35">
      <c r="A662" s="179"/>
      <c r="B662" s="292"/>
      <c r="C662" s="314"/>
      <c r="D662" s="293"/>
      <c r="E662" s="28" t="s">
        <v>2126</v>
      </c>
      <c r="F662" s="124" t="s">
        <v>2112</v>
      </c>
      <c r="G662" s="182"/>
      <c r="H662" s="125"/>
      <c r="I662" s="110" t="s">
        <v>2123</v>
      </c>
      <c r="J662" s="111"/>
      <c r="K662" s="110" t="s">
        <v>2114</v>
      </c>
      <c r="L662" s="111"/>
      <c r="M662" s="114" t="s">
        <v>2124</v>
      </c>
      <c r="N662" s="115"/>
      <c r="O662" s="116"/>
      <c r="P662" s="183">
        <v>7</v>
      </c>
      <c r="Q662" s="185"/>
      <c r="R662" s="183">
        <v>22</v>
      </c>
      <c r="S662" s="185"/>
      <c r="T662" s="183">
        <v>6</v>
      </c>
      <c r="U662" s="185"/>
      <c r="V662" s="114" t="s">
        <v>2125</v>
      </c>
      <c r="W662" s="116"/>
      <c r="X662" s="227">
        <v>180</v>
      </c>
      <c r="Y662" s="228"/>
      <c r="Z662" s="229"/>
      <c r="AA662" s="110" t="s">
        <v>1452</v>
      </c>
      <c r="AB662" s="111"/>
      <c r="AC662" s="401"/>
      <c r="AD662" s="403"/>
      <c r="AE662" s="36"/>
      <c r="AF662" s="292"/>
      <c r="AG662" s="314"/>
      <c r="AH662" s="314"/>
      <c r="AI662" s="39"/>
      <c r="AJ662" s="156" t="s">
        <v>2061</v>
      </c>
      <c r="AK662" s="156"/>
      <c r="AL662" s="156"/>
    </row>
    <row r="663" spans="1:38" ht="90" x14ac:dyDescent="0.35">
      <c r="A663" s="179"/>
      <c r="B663" s="292"/>
      <c r="C663" s="314"/>
      <c r="D663" s="293"/>
      <c r="E663" s="28" t="s">
        <v>2127</v>
      </c>
      <c r="F663" s="124" t="s">
        <v>2112</v>
      </c>
      <c r="G663" s="182"/>
      <c r="H663" s="125"/>
      <c r="I663" s="110" t="s">
        <v>2113</v>
      </c>
      <c r="J663" s="111"/>
      <c r="K663" s="110" t="s">
        <v>2114</v>
      </c>
      <c r="L663" s="111"/>
      <c r="M663" s="692" t="s">
        <v>2128</v>
      </c>
      <c r="N663" s="693"/>
      <c r="O663" s="694"/>
      <c r="P663" s="183">
        <v>7</v>
      </c>
      <c r="Q663" s="185"/>
      <c r="R663" s="183">
        <v>22</v>
      </c>
      <c r="S663" s="185"/>
      <c r="T663" s="183">
        <v>6</v>
      </c>
      <c r="U663" s="185"/>
      <c r="V663" s="114" t="s">
        <v>2129</v>
      </c>
      <c r="W663" s="116"/>
      <c r="X663" s="227">
        <v>180</v>
      </c>
      <c r="Y663" s="228"/>
      <c r="Z663" s="229"/>
      <c r="AA663" s="110" t="s">
        <v>1338</v>
      </c>
      <c r="AB663" s="111"/>
      <c r="AC663" s="401"/>
      <c r="AD663" s="403"/>
      <c r="AE663" s="36"/>
      <c r="AF663" s="292"/>
      <c r="AG663" s="314"/>
      <c r="AH663" s="314"/>
      <c r="AI663" s="39"/>
      <c r="AJ663" s="122"/>
      <c r="AK663" s="122"/>
      <c r="AL663" s="122"/>
    </row>
    <row r="664" spans="1:38" ht="90" x14ac:dyDescent="0.35">
      <c r="A664" s="179"/>
      <c r="B664" s="292"/>
      <c r="C664" s="314"/>
      <c r="D664" s="293"/>
      <c r="E664" s="28" t="s">
        <v>2130</v>
      </c>
      <c r="F664" s="124" t="s">
        <v>2112</v>
      </c>
      <c r="G664" s="182"/>
      <c r="H664" s="125"/>
      <c r="I664" s="110" t="s">
        <v>2113</v>
      </c>
      <c r="J664" s="111"/>
      <c r="K664" s="110" t="s">
        <v>2114</v>
      </c>
      <c r="L664" s="111"/>
      <c r="M664" s="183">
        <v>127</v>
      </c>
      <c r="N664" s="184"/>
      <c r="O664" s="185"/>
      <c r="P664" s="183">
        <v>7</v>
      </c>
      <c r="Q664" s="185"/>
      <c r="R664" s="183">
        <v>22</v>
      </c>
      <c r="S664" s="185"/>
      <c r="T664" s="183">
        <v>6</v>
      </c>
      <c r="U664" s="185"/>
      <c r="V664" s="114" t="s">
        <v>2131</v>
      </c>
      <c r="W664" s="116"/>
      <c r="X664" s="227">
        <v>239</v>
      </c>
      <c r="Y664" s="228"/>
      <c r="Z664" s="229"/>
      <c r="AA664" s="110" t="s">
        <v>826</v>
      </c>
      <c r="AB664" s="111"/>
      <c r="AC664" s="401"/>
      <c r="AD664" s="403"/>
      <c r="AE664" s="36"/>
      <c r="AF664" s="292"/>
      <c r="AG664" s="314"/>
      <c r="AH664" s="314"/>
      <c r="AI664" s="39"/>
      <c r="AJ664" s="122"/>
      <c r="AK664" s="122"/>
      <c r="AL664" s="122"/>
    </row>
    <row r="665" spans="1:38" ht="90" x14ac:dyDescent="0.35">
      <c r="A665" s="179"/>
      <c r="B665" s="292"/>
      <c r="C665" s="314"/>
      <c r="D665" s="293"/>
      <c r="E665" s="28" t="s">
        <v>2132</v>
      </c>
      <c r="F665" s="124" t="s">
        <v>2133</v>
      </c>
      <c r="G665" s="182"/>
      <c r="H665" s="125"/>
      <c r="I665" s="183">
        <v>17</v>
      </c>
      <c r="J665" s="185"/>
      <c r="K665" s="110" t="s">
        <v>2134</v>
      </c>
      <c r="L665" s="111"/>
      <c r="M665" s="114" t="s">
        <v>2036</v>
      </c>
      <c r="N665" s="115"/>
      <c r="O665" s="116"/>
      <c r="P665" s="183">
        <v>9</v>
      </c>
      <c r="Q665" s="185"/>
      <c r="R665" s="183">
        <v>23</v>
      </c>
      <c r="S665" s="185"/>
      <c r="T665" s="183">
        <v>7</v>
      </c>
      <c r="U665" s="185"/>
      <c r="V665" s="114" t="s">
        <v>2135</v>
      </c>
      <c r="W665" s="116"/>
      <c r="X665" s="227">
        <v>147</v>
      </c>
      <c r="Y665" s="228"/>
      <c r="Z665" s="229"/>
      <c r="AA665" s="110" t="s">
        <v>1114</v>
      </c>
      <c r="AB665" s="111"/>
      <c r="AC665" s="401"/>
      <c r="AD665" s="403"/>
      <c r="AE665" s="36"/>
      <c r="AF665" s="292"/>
      <c r="AG665" s="314"/>
      <c r="AH665" s="314"/>
      <c r="AI665" s="39"/>
      <c r="AJ665" s="122"/>
      <c r="AK665" s="122"/>
      <c r="AL665" s="122"/>
    </row>
    <row r="666" spans="1:38" ht="90" x14ac:dyDescent="0.35">
      <c r="A666" s="179"/>
      <c r="B666" s="292"/>
      <c r="C666" s="314"/>
      <c r="D666" s="293"/>
      <c r="E666" s="28" t="s">
        <v>2136</v>
      </c>
      <c r="F666" s="124" t="s">
        <v>2133</v>
      </c>
      <c r="G666" s="182"/>
      <c r="H666" s="125"/>
      <c r="I666" s="183">
        <v>17</v>
      </c>
      <c r="J666" s="185"/>
      <c r="K666" s="110" t="s">
        <v>2134</v>
      </c>
      <c r="L666" s="111"/>
      <c r="M666" s="114" t="s">
        <v>2137</v>
      </c>
      <c r="N666" s="115"/>
      <c r="O666" s="116"/>
      <c r="P666" s="183">
        <v>9</v>
      </c>
      <c r="Q666" s="185"/>
      <c r="R666" s="183">
        <v>23</v>
      </c>
      <c r="S666" s="185"/>
      <c r="T666" s="183">
        <v>7</v>
      </c>
      <c r="U666" s="185"/>
      <c r="V666" s="114" t="s">
        <v>2138</v>
      </c>
      <c r="W666" s="116"/>
      <c r="X666" s="227">
        <v>147</v>
      </c>
      <c r="Y666" s="228"/>
      <c r="Z666" s="229"/>
      <c r="AA666" s="110" t="s">
        <v>1124</v>
      </c>
      <c r="AB666" s="111"/>
      <c r="AC666" s="401"/>
      <c r="AD666" s="403"/>
      <c r="AE666" s="36"/>
      <c r="AF666" s="292"/>
      <c r="AG666" s="314"/>
      <c r="AH666" s="314"/>
      <c r="AI666" s="39"/>
      <c r="AJ666" s="122"/>
      <c r="AK666" s="122"/>
      <c r="AL666" s="122"/>
    </row>
    <row r="667" spans="1:38" ht="90" x14ac:dyDescent="0.35">
      <c r="A667" s="179"/>
      <c r="B667" s="292"/>
      <c r="C667" s="314"/>
      <c r="D667" s="293"/>
      <c r="E667" s="28" t="s">
        <v>2139</v>
      </c>
      <c r="F667" s="124" t="s">
        <v>2133</v>
      </c>
      <c r="G667" s="182"/>
      <c r="H667" s="125"/>
      <c r="I667" s="110" t="s">
        <v>2140</v>
      </c>
      <c r="J667" s="111"/>
      <c r="K667" s="110" t="s">
        <v>2134</v>
      </c>
      <c r="L667" s="111"/>
      <c r="M667" s="114" t="s">
        <v>2141</v>
      </c>
      <c r="N667" s="115"/>
      <c r="O667" s="116"/>
      <c r="P667" s="183">
        <v>9</v>
      </c>
      <c r="Q667" s="185"/>
      <c r="R667" s="183">
        <v>23</v>
      </c>
      <c r="S667" s="185"/>
      <c r="T667" s="183">
        <v>7</v>
      </c>
      <c r="U667" s="185"/>
      <c r="V667" s="114" t="s">
        <v>2142</v>
      </c>
      <c r="W667" s="116"/>
      <c r="X667" s="227">
        <v>195</v>
      </c>
      <c r="Y667" s="228"/>
      <c r="Z667" s="229"/>
      <c r="AA667" s="110" t="s">
        <v>1342</v>
      </c>
      <c r="AB667" s="111"/>
      <c r="AC667" s="401"/>
      <c r="AD667" s="403"/>
      <c r="AE667" s="36"/>
      <c r="AF667" s="292"/>
      <c r="AG667" s="314"/>
      <c r="AH667" s="314"/>
      <c r="AI667" s="39"/>
      <c r="AJ667" s="122"/>
      <c r="AK667" s="122"/>
      <c r="AL667" s="122"/>
    </row>
    <row r="668" spans="1:38" ht="90" x14ac:dyDescent="0.35">
      <c r="A668" s="179"/>
      <c r="B668" s="292"/>
      <c r="C668" s="314"/>
      <c r="D668" s="293"/>
      <c r="E668" s="28" t="s">
        <v>2143</v>
      </c>
      <c r="F668" s="124" t="s">
        <v>2133</v>
      </c>
      <c r="G668" s="182"/>
      <c r="H668" s="125"/>
      <c r="I668" s="110" t="s">
        <v>2140</v>
      </c>
      <c r="J668" s="111"/>
      <c r="K668" s="110" t="s">
        <v>2134</v>
      </c>
      <c r="L668" s="111"/>
      <c r="M668" s="114" t="s">
        <v>2141</v>
      </c>
      <c r="N668" s="115"/>
      <c r="O668" s="116"/>
      <c r="P668" s="183">
        <v>9</v>
      </c>
      <c r="Q668" s="185"/>
      <c r="R668" s="183">
        <v>23</v>
      </c>
      <c r="S668" s="185"/>
      <c r="T668" s="183">
        <v>7</v>
      </c>
      <c r="U668" s="185"/>
      <c r="V668" s="114" t="s">
        <v>2142</v>
      </c>
      <c r="W668" s="116"/>
      <c r="X668" s="227">
        <v>195</v>
      </c>
      <c r="Y668" s="228"/>
      <c r="Z668" s="229"/>
      <c r="AA668" s="110" t="s">
        <v>1342</v>
      </c>
      <c r="AB668" s="111"/>
      <c r="AC668" s="401"/>
      <c r="AD668" s="403"/>
      <c r="AE668" s="36"/>
      <c r="AF668" s="292"/>
      <c r="AG668" s="314"/>
      <c r="AH668" s="314"/>
      <c r="AI668" s="39"/>
      <c r="AJ668" s="122"/>
      <c r="AK668" s="122"/>
      <c r="AL668" s="122"/>
    </row>
    <row r="669" spans="1:38" ht="90" x14ac:dyDescent="0.35">
      <c r="A669" s="179"/>
      <c r="B669" s="292"/>
      <c r="C669" s="314"/>
      <c r="D669" s="293"/>
      <c r="E669" s="28" t="s">
        <v>2144</v>
      </c>
      <c r="F669" s="124" t="s">
        <v>2133</v>
      </c>
      <c r="G669" s="182"/>
      <c r="H669" s="125"/>
      <c r="I669" s="183">
        <v>17</v>
      </c>
      <c r="J669" s="185"/>
      <c r="K669" s="110" t="s">
        <v>2134</v>
      </c>
      <c r="L669" s="111"/>
      <c r="M669" s="692" t="s">
        <v>2145</v>
      </c>
      <c r="N669" s="693"/>
      <c r="O669" s="694"/>
      <c r="P669" s="183">
        <v>9</v>
      </c>
      <c r="Q669" s="185"/>
      <c r="R669" s="183">
        <v>23</v>
      </c>
      <c r="S669" s="185"/>
      <c r="T669" s="183">
        <v>7</v>
      </c>
      <c r="U669" s="185"/>
      <c r="V669" s="114" t="s">
        <v>2146</v>
      </c>
      <c r="W669" s="116"/>
      <c r="X669" s="227">
        <v>195</v>
      </c>
      <c r="Y669" s="228"/>
      <c r="Z669" s="229"/>
      <c r="AA669" s="110" t="s">
        <v>975</v>
      </c>
      <c r="AB669" s="111"/>
      <c r="AC669" s="401"/>
      <c r="AD669" s="403"/>
      <c r="AE669" s="36"/>
      <c r="AF669" s="292"/>
      <c r="AG669" s="314"/>
      <c r="AH669" s="314"/>
      <c r="AI669" s="39"/>
      <c r="AJ669" s="122"/>
      <c r="AK669" s="122"/>
      <c r="AL669" s="122"/>
    </row>
    <row r="670" spans="1:38" ht="90" x14ac:dyDescent="0.35">
      <c r="A670" s="230"/>
      <c r="B670" s="290"/>
      <c r="C670" s="345"/>
      <c r="D670" s="291"/>
      <c r="E670" s="28" t="s">
        <v>2147</v>
      </c>
      <c r="F670" s="124" t="s">
        <v>2133</v>
      </c>
      <c r="G670" s="182"/>
      <c r="H670" s="125"/>
      <c r="I670" s="110" t="s">
        <v>2140</v>
      </c>
      <c r="J670" s="111"/>
      <c r="K670" s="110" t="s">
        <v>2134</v>
      </c>
      <c r="L670" s="111"/>
      <c r="M670" s="114" t="s">
        <v>2146</v>
      </c>
      <c r="N670" s="115"/>
      <c r="O670" s="116"/>
      <c r="P670" s="183">
        <v>9</v>
      </c>
      <c r="Q670" s="185"/>
      <c r="R670" s="183">
        <v>23</v>
      </c>
      <c r="S670" s="185"/>
      <c r="T670" s="183">
        <v>7</v>
      </c>
      <c r="U670" s="185"/>
      <c r="V670" s="114" t="s">
        <v>2148</v>
      </c>
      <c r="W670" s="116"/>
      <c r="X670" s="227">
        <v>289</v>
      </c>
      <c r="Y670" s="228"/>
      <c r="Z670" s="229"/>
      <c r="AA670" s="110" t="s">
        <v>1452</v>
      </c>
      <c r="AB670" s="111"/>
      <c r="AC670" s="404"/>
      <c r="AD670" s="406"/>
      <c r="AE670" s="36"/>
      <c r="AF670" s="290"/>
      <c r="AG670" s="345"/>
      <c r="AH670" s="345"/>
      <c r="AI670" s="39"/>
      <c r="AJ670" s="122"/>
      <c r="AK670" s="122"/>
      <c r="AL670" s="122"/>
    </row>
    <row r="671" spans="1:38" ht="90" x14ac:dyDescent="0.35">
      <c r="A671" s="178"/>
      <c r="B671" s="303" t="s">
        <v>2149</v>
      </c>
      <c r="C671" s="344"/>
      <c r="D671" s="304"/>
      <c r="E671" s="28" t="s">
        <v>2150</v>
      </c>
      <c r="F671" s="124" t="s">
        <v>2151</v>
      </c>
      <c r="G671" s="182"/>
      <c r="H671" s="125"/>
      <c r="I671" s="110" t="s">
        <v>1448</v>
      </c>
      <c r="J671" s="111"/>
      <c r="K671" s="110" t="s">
        <v>2152</v>
      </c>
      <c r="L671" s="111"/>
      <c r="M671" s="114" t="s">
        <v>2153</v>
      </c>
      <c r="N671" s="115"/>
      <c r="O671" s="116"/>
      <c r="P671" s="183">
        <v>6</v>
      </c>
      <c r="Q671" s="185"/>
      <c r="R671" s="183">
        <v>19</v>
      </c>
      <c r="S671" s="185"/>
      <c r="T671" s="183">
        <v>5</v>
      </c>
      <c r="U671" s="185"/>
      <c r="V671" s="114" t="s">
        <v>2154</v>
      </c>
      <c r="W671" s="116"/>
      <c r="X671" s="227">
        <v>130</v>
      </c>
      <c r="Y671" s="228"/>
      <c r="Z671" s="229"/>
      <c r="AA671" s="110" t="s">
        <v>1023</v>
      </c>
      <c r="AB671" s="111"/>
      <c r="AC671" s="171" t="s">
        <v>675</v>
      </c>
      <c r="AD671" s="172"/>
      <c r="AE671" s="24" t="s">
        <v>2157</v>
      </c>
      <c r="AF671" s="303" t="s">
        <v>2159</v>
      </c>
      <c r="AG671" s="344"/>
      <c r="AH671" s="344"/>
      <c r="AI671" s="39"/>
      <c r="AJ671" s="122"/>
      <c r="AK671" s="122"/>
      <c r="AL671" s="122"/>
    </row>
    <row r="672" spans="1:38" ht="90" x14ac:dyDescent="0.35">
      <c r="A672" s="179"/>
      <c r="B672" s="292" t="s">
        <v>1988</v>
      </c>
      <c r="C672" s="314"/>
      <c r="D672" s="293"/>
      <c r="E672" s="28" t="s">
        <v>2161</v>
      </c>
      <c r="F672" s="124" t="s">
        <v>2151</v>
      </c>
      <c r="G672" s="182"/>
      <c r="H672" s="125"/>
      <c r="I672" s="110" t="s">
        <v>2162</v>
      </c>
      <c r="J672" s="111"/>
      <c r="K672" s="110" t="s">
        <v>2152</v>
      </c>
      <c r="L672" s="111"/>
      <c r="M672" s="114" t="s">
        <v>2163</v>
      </c>
      <c r="N672" s="115"/>
      <c r="O672" s="116"/>
      <c r="P672" s="183">
        <v>6</v>
      </c>
      <c r="Q672" s="185"/>
      <c r="R672" s="183">
        <v>19</v>
      </c>
      <c r="S672" s="185"/>
      <c r="T672" s="183">
        <v>5</v>
      </c>
      <c r="U672" s="185"/>
      <c r="V672" s="114" t="s">
        <v>2164</v>
      </c>
      <c r="W672" s="116"/>
      <c r="X672" s="227">
        <v>142</v>
      </c>
      <c r="Y672" s="228"/>
      <c r="Z672" s="229"/>
      <c r="AA672" s="110" t="s">
        <v>1342</v>
      </c>
      <c r="AB672" s="111"/>
      <c r="AC672" s="162" t="s">
        <v>2155</v>
      </c>
      <c r="AD672" s="163"/>
      <c r="AE672" s="31" t="s">
        <v>848</v>
      </c>
      <c r="AF672" s="292" t="s">
        <v>2160</v>
      </c>
      <c r="AG672" s="314"/>
      <c r="AH672" s="314"/>
      <c r="AI672" s="39"/>
      <c r="AJ672" s="122"/>
      <c r="AK672" s="122"/>
      <c r="AL672" s="122"/>
    </row>
    <row r="673" spans="1:38" ht="105" x14ac:dyDescent="0.35">
      <c r="A673" s="179"/>
      <c r="B673" s="292"/>
      <c r="C673" s="314"/>
      <c r="D673" s="293"/>
      <c r="E673" s="28" t="s">
        <v>2165</v>
      </c>
      <c r="F673" s="124" t="s">
        <v>2151</v>
      </c>
      <c r="G673" s="182"/>
      <c r="H673" s="125"/>
      <c r="I673" s="110" t="s">
        <v>2162</v>
      </c>
      <c r="J673" s="111"/>
      <c r="K673" s="110" t="s">
        <v>2152</v>
      </c>
      <c r="L673" s="111"/>
      <c r="M673" s="114" t="s">
        <v>2163</v>
      </c>
      <c r="N673" s="115"/>
      <c r="O673" s="116"/>
      <c r="P673" s="183">
        <v>6</v>
      </c>
      <c r="Q673" s="185"/>
      <c r="R673" s="183">
        <v>19</v>
      </c>
      <c r="S673" s="185"/>
      <c r="T673" s="183">
        <v>5</v>
      </c>
      <c r="U673" s="185"/>
      <c r="V673" s="114" t="s">
        <v>2164</v>
      </c>
      <c r="W673" s="116"/>
      <c r="X673" s="227">
        <v>142</v>
      </c>
      <c r="Y673" s="228"/>
      <c r="Z673" s="229"/>
      <c r="AA673" s="110" t="s">
        <v>1342</v>
      </c>
      <c r="AB673" s="111"/>
      <c r="AC673" s="162" t="s">
        <v>678</v>
      </c>
      <c r="AD673" s="163"/>
      <c r="AE673" s="31" t="s">
        <v>2158</v>
      </c>
      <c r="AF673" s="292"/>
      <c r="AG673" s="314"/>
      <c r="AH673" s="314"/>
      <c r="AI673" s="39"/>
      <c r="AJ673" s="122"/>
      <c r="AK673" s="122"/>
      <c r="AL673" s="122"/>
    </row>
    <row r="674" spans="1:38" ht="90" x14ac:dyDescent="0.35">
      <c r="A674" s="179"/>
      <c r="B674" s="292"/>
      <c r="C674" s="314"/>
      <c r="D674" s="293"/>
      <c r="E674" s="28" t="s">
        <v>2166</v>
      </c>
      <c r="F674" s="124" t="s">
        <v>2151</v>
      </c>
      <c r="G674" s="182"/>
      <c r="H674" s="125"/>
      <c r="I674" s="110" t="s">
        <v>1428</v>
      </c>
      <c r="J674" s="111"/>
      <c r="K674" s="110" t="s">
        <v>2152</v>
      </c>
      <c r="L674" s="111"/>
      <c r="M674" s="692" t="s">
        <v>861</v>
      </c>
      <c r="N674" s="693"/>
      <c r="O674" s="694"/>
      <c r="P674" s="183">
        <v>6</v>
      </c>
      <c r="Q674" s="185"/>
      <c r="R674" s="183">
        <v>19</v>
      </c>
      <c r="S674" s="185"/>
      <c r="T674" s="183">
        <v>5</v>
      </c>
      <c r="U674" s="185"/>
      <c r="V674" s="114" t="s">
        <v>2167</v>
      </c>
      <c r="W674" s="116"/>
      <c r="X674" s="227">
        <v>142</v>
      </c>
      <c r="Y674" s="228"/>
      <c r="Z674" s="229"/>
      <c r="AA674" s="110" t="s">
        <v>1045</v>
      </c>
      <c r="AB674" s="111"/>
      <c r="AC674" s="162" t="s">
        <v>2156</v>
      </c>
      <c r="AD674" s="163"/>
      <c r="AE674" s="31"/>
      <c r="AF674" s="292"/>
      <c r="AG674" s="314"/>
      <c r="AH674" s="314"/>
      <c r="AI674" s="39"/>
      <c r="AJ674" s="122"/>
      <c r="AK674" s="122"/>
      <c r="AL674" s="122"/>
    </row>
    <row r="675" spans="1:38" ht="90" x14ac:dyDescent="0.35">
      <c r="A675" s="179"/>
      <c r="B675" s="292"/>
      <c r="C675" s="314"/>
      <c r="D675" s="293"/>
      <c r="E675" s="28" t="s">
        <v>2168</v>
      </c>
      <c r="F675" s="124" t="s">
        <v>2151</v>
      </c>
      <c r="G675" s="182"/>
      <c r="H675" s="125"/>
      <c r="I675" s="110" t="s">
        <v>1442</v>
      </c>
      <c r="J675" s="111"/>
      <c r="K675" s="110" t="s">
        <v>2152</v>
      </c>
      <c r="L675" s="111"/>
      <c r="M675" s="183">
        <v>102</v>
      </c>
      <c r="N675" s="184"/>
      <c r="O675" s="185"/>
      <c r="P675" s="183">
        <v>6</v>
      </c>
      <c r="Q675" s="185"/>
      <c r="R675" s="183">
        <v>14</v>
      </c>
      <c r="S675" s="185"/>
      <c r="T675" s="183">
        <v>5</v>
      </c>
      <c r="U675" s="185"/>
      <c r="V675" s="114" t="s">
        <v>2169</v>
      </c>
      <c r="W675" s="116"/>
      <c r="X675" s="227">
        <v>188</v>
      </c>
      <c r="Y675" s="228"/>
      <c r="Z675" s="229"/>
      <c r="AA675" s="110" t="s">
        <v>826</v>
      </c>
      <c r="AB675" s="111"/>
      <c r="AC675" s="162"/>
      <c r="AD675" s="163"/>
      <c r="AE675" s="31"/>
      <c r="AF675" s="292"/>
      <c r="AG675" s="314"/>
      <c r="AH675" s="314"/>
      <c r="AI675" s="39"/>
      <c r="AJ675" s="156" t="s">
        <v>2170</v>
      </c>
      <c r="AK675" s="156"/>
      <c r="AL675" s="156"/>
    </row>
    <row r="676" spans="1:38" ht="90" x14ac:dyDescent="0.35">
      <c r="A676" s="179"/>
      <c r="B676" s="292"/>
      <c r="C676" s="314"/>
      <c r="D676" s="293"/>
      <c r="E676" s="28" t="s">
        <v>2171</v>
      </c>
      <c r="F676" s="124" t="s">
        <v>2172</v>
      </c>
      <c r="G676" s="182"/>
      <c r="H676" s="125"/>
      <c r="I676" s="110" t="s">
        <v>2173</v>
      </c>
      <c r="J676" s="111"/>
      <c r="K676" s="114" t="s">
        <v>2174</v>
      </c>
      <c r="L676" s="116"/>
      <c r="M676" s="114" t="s">
        <v>2175</v>
      </c>
      <c r="N676" s="115"/>
      <c r="O676" s="116"/>
      <c r="P676" s="183">
        <v>10</v>
      </c>
      <c r="Q676" s="185"/>
      <c r="R676" s="183">
        <v>25</v>
      </c>
      <c r="S676" s="185"/>
      <c r="T676" s="183">
        <v>7</v>
      </c>
      <c r="U676" s="185"/>
      <c r="V676" s="114" t="s">
        <v>2176</v>
      </c>
      <c r="W676" s="116"/>
      <c r="X676" s="227">
        <v>195</v>
      </c>
      <c r="Y676" s="228"/>
      <c r="Z676" s="229"/>
      <c r="AA676" s="110" t="s">
        <v>842</v>
      </c>
      <c r="AB676" s="111"/>
      <c r="AC676" s="162"/>
      <c r="AD676" s="163"/>
      <c r="AE676" s="31"/>
      <c r="AF676" s="292"/>
      <c r="AG676" s="314"/>
      <c r="AH676" s="314"/>
      <c r="AI676" s="39"/>
      <c r="AJ676" s="156" t="s">
        <v>2061</v>
      </c>
      <c r="AK676" s="156"/>
      <c r="AL676" s="156"/>
    </row>
    <row r="677" spans="1:38" ht="90" x14ac:dyDescent="0.35">
      <c r="A677" s="179"/>
      <c r="B677" s="292"/>
      <c r="C677" s="314"/>
      <c r="D677" s="293"/>
      <c r="E677" s="28" t="s">
        <v>2177</v>
      </c>
      <c r="F677" s="124" t="s">
        <v>2172</v>
      </c>
      <c r="G677" s="182"/>
      <c r="H677" s="125"/>
      <c r="I677" s="110" t="s">
        <v>2178</v>
      </c>
      <c r="J677" s="111"/>
      <c r="K677" s="114" t="s">
        <v>2174</v>
      </c>
      <c r="L677" s="116"/>
      <c r="M677" s="114" t="s">
        <v>2179</v>
      </c>
      <c r="N677" s="115"/>
      <c r="O677" s="116"/>
      <c r="P677" s="183">
        <v>10</v>
      </c>
      <c r="Q677" s="185"/>
      <c r="R677" s="183">
        <v>25</v>
      </c>
      <c r="S677" s="185"/>
      <c r="T677" s="183">
        <v>7</v>
      </c>
      <c r="U677" s="185"/>
      <c r="V677" s="114" t="s">
        <v>2180</v>
      </c>
      <c r="W677" s="116"/>
      <c r="X677" s="227">
        <v>225</v>
      </c>
      <c r="Y677" s="228"/>
      <c r="Z677" s="229"/>
      <c r="AA677" s="110" t="s">
        <v>826</v>
      </c>
      <c r="AB677" s="111"/>
      <c r="AC677" s="162"/>
      <c r="AD677" s="163"/>
      <c r="AE677" s="31"/>
      <c r="AF677" s="292"/>
      <c r="AG677" s="314"/>
      <c r="AH677" s="314"/>
      <c r="AI677" s="39"/>
      <c r="AJ677" s="122"/>
      <c r="AK677" s="122"/>
      <c r="AL677" s="122"/>
    </row>
    <row r="678" spans="1:38" ht="90" x14ac:dyDescent="0.35">
      <c r="A678" s="179"/>
      <c r="B678" s="292"/>
      <c r="C678" s="314"/>
      <c r="D678" s="293"/>
      <c r="E678" s="28" t="s">
        <v>2181</v>
      </c>
      <c r="F678" s="124" t="s">
        <v>2172</v>
      </c>
      <c r="G678" s="182"/>
      <c r="H678" s="125"/>
      <c r="I678" s="110" t="s">
        <v>2178</v>
      </c>
      <c r="J678" s="111"/>
      <c r="K678" s="114" t="s">
        <v>2174</v>
      </c>
      <c r="L678" s="116"/>
      <c r="M678" s="114" t="s">
        <v>2179</v>
      </c>
      <c r="N678" s="115"/>
      <c r="O678" s="116"/>
      <c r="P678" s="183">
        <v>10</v>
      </c>
      <c r="Q678" s="185"/>
      <c r="R678" s="183">
        <v>25</v>
      </c>
      <c r="S678" s="185"/>
      <c r="T678" s="183">
        <v>7</v>
      </c>
      <c r="U678" s="185"/>
      <c r="V678" s="114" t="s">
        <v>2180</v>
      </c>
      <c r="W678" s="116"/>
      <c r="X678" s="227">
        <v>225</v>
      </c>
      <c r="Y678" s="228"/>
      <c r="Z678" s="229"/>
      <c r="AA678" s="110" t="s">
        <v>826</v>
      </c>
      <c r="AB678" s="111"/>
      <c r="AC678" s="162"/>
      <c r="AD678" s="163"/>
      <c r="AE678" s="31"/>
      <c r="AF678" s="292"/>
      <c r="AG678" s="314"/>
      <c r="AH678" s="314"/>
      <c r="AI678" s="39"/>
      <c r="AJ678" s="122"/>
      <c r="AK678" s="122"/>
      <c r="AL678" s="122"/>
    </row>
    <row r="679" spans="1:38" ht="90" x14ac:dyDescent="0.35">
      <c r="A679" s="179"/>
      <c r="B679" s="292"/>
      <c r="C679" s="314"/>
      <c r="D679" s="293"/>
      <c r="E679" s="28" t="s">
        <v>2182</v>
      </c>
      <c r="F679" s="124" t="s">
        <v>2172</v>
      </c>
      <c r="G679" s="182"/>
      <c r="H679" s="125"/>
      <c r="I679" s="110" t="s">
        <v>1482</v>
      </c>
      <c r="J679" s="111"/>
      <c r="K679" s="114" t="s">
        <v>2174</v>
      </c>
      <c r="L679" s="116"/>
      <c r="M679" s="692" t="s">
        <v>2183</v>
      </c>
      <c r="N679" s="693"/>
      <c r="O679" s="694"/>
      <c r="P679" s="183">
        <v>10</v>
      </c>
      <c r="Q679" s="185"/>
      <c r="R679" s="183">
        <v>25</v>
      </c>
      <c r="S679" s="185"/>
      <c r="T679" s="183">
        <v>7</v>
      </c>
      <c r="U679" s="185"/>
      <c r="V679" s="114" t="s">
        <v>2184</v>
      </c>
      <c r="W679" s="116"/>
      <c r="X679" s="227">
        <v>225</v>
      </c>
      <c r="Y679" s="228"/>
      <c r="Z679" s="229"/>
      <c r="AA679" s="110" t="s">
        <v>1038</v>
      </c>
      <c r="AB679" s="111"/>
      <c r="AC679" s="162"/>
      <c r="AD679" s="163"/>
      <c r="AE679" s="31"/>
      <c r="AF679" s="292"/>
      <c r="AG679" s="314"/>
      <c r="AH679" s="314"/>
      <c r="AI679" s="39"/>
      <c r="AJ679" s="122"/>
      <c r="AK679" s="122"/>
      <c r="AL679" s="122"/>
    </row>
    <row r="680" spans="1:38" ht="90" x14ac:dyDescent="0.35">
      <c r="A680" s="230"/>
      <c r="B680" s="290"/>
      <c r="C680" s="345"/>
      <c r="D680" s="291"/>
      <c r="E680" s="28" t="s">
        <v>2185</v>
      </c>
      <c r="F680" s="124" t="s">
        <v>2172</v>
      </c>
      <c r="G680" s="182"/>
      <c r="H680" s="125"/>
      <c r="I680" s="110" t="s">
        <v>2178</v>
      </c>
      <c r="J680" s="111"/>
      <c r="K680" s="114" t="s">
        <v>2174</v>
      </c>
      <c r="L680" s="116"/>
      <c r="M680" s="183">
        <v>172</v>
      </c>
      <c r="N680" s="184"/>
      <c r="O680" s="185"/>
      <c r="P680" s="183">
        <v>10</v>
      </c>
      <c r="Q680" s="185"/>
      <c r="R680" s="183">
        <v>25</v>
      </c>
      <c r="S680" s="185"/>
      <c r="T680" s="183">
        <v>7</v>
      </c>
      <c r="U680" s="185"/>
      <c r="V680" s="114" t="s">
        <v>2186</v>
      </c>
      <c r="W680" s="116"/>
      <c r="X680" s="227">
        <v>318</v>
      </c>
      <c r="Y680" s="228"/>
      <c r="Z680" s="229"/>
      <c r="AA680" s="110" t="s">
        <v>826</v>
      </c>
      <c r="AB680" s="111"/>
      <c r="AC680" s="212"/>
      <c r="AD680" s="213"/>
      <c r="AE680" s="31"/>
      <c r="AF680" s="290"/>
      <c r="AG680" s="345"/>
      <c r="AH680" s="345"/>
      <c r="AI680" s="39"/>
      <c r="AJ680" s="122"/>
      <c r="AK680" s="122"/>
      <c r="AL680" s="122"/>
    </row>
    <row r="681" spans="1:38" ht="75" x14ac:dyDescent="0.3">
      <c r="A681" s="178"/>
      <c r="B681" s="171" t="s">
        <v>2187</v>
      </c>
      <c r="C681" s="407"/>
      <c r="D681" s="172"/>
      <c r="E681" s="64" t="s">
        <v>2188</v>
      </c>
      <c r="F681" s="143" t="s">
        <v>2189</v>
      </c>
      <c r="G681" s="144"/>
      <c r="H681" s="145"/>
      <c r="I681" s="149"/>
      <c r="J681" s="150"/>
      <c r="K681" s="149"/>
      <c r="L681" s="150"/>
      <c r="M681" s="204">
        <v>296</v>
      </c>
      <c r="N681" s="250"/>
      <c r="O681" s="205"/>
      <c r="P681" s="204">
        <v>35</v>
      </c>
      <c r="Q681" s="205"/>
      <c r="R681" s="684">
        <v>130</v>
      </c>
      <c r="S681" s="685"/>
      <c r="T681" s="204">
        <v>5</v>
      </c>
      <c r="U681" s="205"/>
      <c r="V681" s="88" t="s">
        <v>2191</v>
      </c>
      <c r="W681" s="89"/>
      <c r="X681" s="241">
        <v>549</v>
      </c>
      <c r="Y681" s="242"/>
      <c r="Z681" s="243"/>
      <c r="AA681" s="143" t="s">
        <v>2192</v>
      </c>
      <c r="AB681" s="145"/>
      <c r="AC681" s="171" t="s">
        <v>675</v>
      </c>
      <c r="AD681" s="172"/>
      <c r="AE681" s="24" t="s">
        <v>2194</v>
      </c>
      <c r="AF681" s="171" t="s">
        <v>683</v>
      </c>
      <c r="AG681" s="407"/>
      <c r="AH681" s="407"/>
      <c r="AI681" s="136"/>
      <c r="AJ681" s="136"/>
      <c r="AK681" s="136"/>
      <c r="AL681" s="136"/>
    </row>
    <row r="682" spans="1:38" ht="45" x14ac:dyDescent="0.3">
      <c r="A682" s="179"/>
      <c r="B682" s="162"/>
      <c r="C682" s="170"/>
      <c r="D682" s="163"/>
      <c r="E682" s="65"/>
      <c r="F682" s="146" t="s">
        <v>2190</v>
      </c>
      <c r="G682" s="147"/>
      <c r="H682" s="148"/>
      <c r="I682" s="151"/>
      <c r="J682" s="152"/>
      <c r="K682" s="151"/>
      <c r="L682" s="152"/>
      <c r="M682" s="206"/>
      <c r="N682" s="251"/>
      <c r="O682" s="207"/>
      <c r="P682" s="206"/>
      <c r="Q682" s="207"/>
      <c r="R682" s="686"/>
      <c r="S682" s="687"/>
      <c r="T682" s="206"/>
      <c r="U682" s="207"/>
      <c r="V682" s="117"/>
      <c r="W682" s="118"/>
      <c r="X682" s="244"/>
      <c r="Y682" s="245"/>
      <c r="Z682" s="246"/>
      <c r="AA682" s="146"/>
      <c r="AB682" s="148"/>
      <c r="AC682" s="162" t="s">
        <v>2193</v>
      </c>
      <c r="AD682" s="163"/>
      <c r="AE682" s="31" t="s">
        <v>1356</v>
      </c>
      <c r="AF682" s="162"/>
      <c r="AG682" s="170"/>
      <c r="AH682" s="170"/>
      <c r="AI682" s="136"/>
      <c r="AJ682" s="136"/>
      <c r="AK682" s="136"/>
      <c r="AL682" s="136"/>
    </row>
    <row r="683" spans="1:38" ht="60" x14ac:dyDescent="0.3">
      <c r="A683" s="179"/>
      <c r="B683" s="162"/>
      <c r="C683" s="170"/>
      <c r="D683" s="163"/>
      <c r="E683" s="64" t="s">
        <v>2196</v>
      </c>
      <c r="F683" s="143" t="s">
        <v>2189</v>
      </c>
      <c r="G683" s="144"/>
      <c r="H683" s="145"/>
      <c r="I683" s="149"/>
      <c r="J683" s="150"/>
      <c r="K683" s="149"/>
      <c r="L683" s="150"/>
      <c r="M683" s="204">
        <v>296</v>
      </c>
      <c r="N683" s="250"/>
      <c r="O683" s="205"/>
      <c r="P683" s="204">
        <v>35</v>
      </c>
      <c r="Q683" s="205"/>
      <c r="R683" s="684">
        <v>130</v>
      </c>
      <c r="S683" s="685"/>
      <c r="T683" s="204">
        <v>5</v>
      </c>
      <c r="U683" s="205"/>
      <c r="V683" s="88" t="s">
        <v>2191</v>
      </c>
      <c r="W683" s="89"/>
      <c r="X683" s="241">
        <v>549</v>
      </c>
      <c r="Y683" s="242"/>
      <c r="Z683" s="243"/>
      <c r="AA683" s="143" t="s">
        <v>2192</v>
      </c>
      <c r="AB683" s="145"/>
      <c r="AC683" s="162"/>
      <c r="AD683" s="163"/>
      <c r="AE683" s="31" t="s">
        <v>2195</v>
      </c>
      <c r="AF683" s="162"/>
      <c r="AG683" s="170"/>
      <c r="AH683" s="170"/>
      <c r="AI683" s="136"/>
      <c r="AJ683" s="136"/>
      <c r="AK683" s="136"/>
      <c r="AL683" s="136"/>
    </row>
    <row r="684" spans="1:38" ht="15" x14ac:dyDescent="0.3">
      <c r="A684" s="179"/>
      <c r="B684" s="162"/>
      <c r="C684" s="170"/>
      <c r="D684" s="163"/>
      <c r="E684" s="65"/>
      <c r="F684" s="146" t="s">
        <v>2190</v>
      </c>
      <c r="G684" s="147"/>
      <c r="H684" s="148"/>
      <c r="I684" s="151"/>
      <c r="J684" s="152"/>
      <c r="K684" s="151"/>
      <c r="L684" s="152"/>
      <c r="M684" s="206"/>
      <c r="N684" s="251"/>
      <c r="O684" s="207"/>
      <c r="P684" s="206"/>
      <c r="Q684" s="207"/>
      <c r="R684" s="686"/>
      <c r="S684" s="687"/>
      <c r="T684" s="206"/>
      <c r="U684" s="207"/>
      <c r="V684" s="117"/>
      <c r="W684" s="118"/>
      <c r="X684" s="244"/>
      <c r="Y684" s="245"/>
      <c r="Z684" s="246"/>
      <c r="AA684" s="146"/>
      <c r="AB684" s="148"/>
      <c r="AC684" s="162"/>
      <c r="AD684" s="163"/>
      <c r="AE684" s="31"/>
      <c r="AF684" s="162"/>
      <c r="AG684" s="170"/>
      <c r="AH684" s="170"/>
      <c r="AI684" s="136"/>
      <c r="AJ684" s="136"/>
      <c r="AK684" s="136"/>
      <c r="AL684" s="136"/>
    </row>
    <row r="685" spans="1:38" ht="15.5" x14ac:dyDescent="0.35">
      <c r="A685" s="179"/>
      <c r="B685" s="162"/>
      <c r="C685" s="170"/>
      <c r="D685" s="163"/>
      <c r="E685" s="79" t="s">
        <v>2197</v>
      </c>
      <c r="F685" s="143" t="s">
        <v>2198</v>
      </c>
      <c r="G685" s="144"/>
      <c r="H685" s="145"/>
      <c r="I685" s="149"/>
      <c r="J685" s="150"/>
      <c r="K685" s="149"/>
      <c r="L685" s="150"/>
      <c r="M685" s="204">
        <v>346</v>
      </c>
      <c r="N685" s="250"/>
      <c r="O685" s="205"/>
      <c r="P685" s="204">
        <v>40</v>
      </c>
      <c r="Q685" s="205"/>
      <c r="R685" s="688">
        <v>142</v>
      </c>
      <c r="S685" s="689"/>
      <c r="T685" s="204">
        <v>5</v>
      </c>
      <c r="U685" s="205"/>
      <c r="V685" s="88" t="s">
        <v>2199</v>
      </c>
      <c r="W685" s="89"/>
      <c r="X685" s="241">
        <v>638</v>
      </c>
      <c r="Y685" s="242"/>
      <c r="Z685" s="243"/>
      <c r="AA685" s="143" t="s">
        <v>1311</v>
      </c>
      <c r="AB685" s="145"/>
      <c r="AC685" s="162"/>
      <c r="AD685" s="163"/>
      <c r="AE685" s="31"/>
      <c r="AF685" s="162"/>
      <c r="AG685" s="170"/>
      <c r="AH685" s="170"/>
      <c r="AI685" s="39"/>
      <c r="AJ685" s="122"/>
      <c r="AK685" s="122"/>
      <c r="AL685" s="122"/>
    </row>
    <row r="686" spans="1:38" ht="15.5" x14ac:dyDescent="0.35">
      <c r="A686" s="179"/>
      <c r="B686" s="162"/>
      <c r="C686" s="170"/>
      <c r="D686" s="163"/>
      <c r="E686" s="80"/>
      <c r="F686" s="146" t="s">
        <v>2190</v>
      </c>
      <c r="G686" s="147"/>
      <c r="H686" s="148"/>
      <c r="I686" s="151"/>
      <c r="J686" s="152"/>
      <c r="K686" s="151"/>
      <c r="L686" s="152"/>
      <c r="M686" s="206"/>
      <c r="N686" s="251"/>
      <c r="O686" s="207"/>
      <c r="P686" s="206"/>
      <c r="Q686" s="207"/>
      <c r="R686" s="690"/>
      <c r="S686" s="691"/>
      <c r="T686" s="206"/>
      <c r="U686" s="207"/>
      <c r="V686" s="117"/>
      <c r="W686" s="118"/>
      <c r="X686" s="244"/>
      <c r="Y686" s="245"/>
      <c r="Z686" s="246"/>
      <c r="AA686" s="146"/>
      <c r="AB686" s="148"/>
      <c r="AC686" s="162"/>
      <c r="AD686" s="163"/>
      <c r="AE686" s="31"/>
      <c r="AF686" s="162"/>
      <c r="AG686" s="170"/>
      <c r="AH686" s="170"/>
      <c r="AI686" s="39"/>
      <c r="AJ686" s="203" t="s">
        <v>1644</v>
      </c>
      <c r="AK686" s="203"/>
      <c r="AL686" s="203"/>
    </row>
    <row r="687" spans="1:38" ht="15.5" x14ac:dyDescent="0.35">
      <c r="A687" s="179"/>
      <c r="B687" s="162"/>
      <c r="C687" s="170"/>
      <c r="D687" s="163"/>
      <c r="E687" s="79" t="s">
        <v>2200</v>
      </c>
      <c r="F687" s="143" t="s">
        <v>2198</v>
      </c>
      <c r="G687" s="144"/>
      <c r="H687" s="145"/>
      <c r="I687" s="149"/>
      <c r="J687" s="150"/>
      <c r="K687" s="149"/>
      <c r="L687" s="150"/>
      <c r="M687" s="204">
        <v>346</v>
      </c>
      <c r="N687" s="250"/>
      <c r="O687" s="205"/>
      <c r="P687" s="204">
        <v>40</v>
      </c>
      <c r="Q687" s="205"/>
      <c r="R687" s="688">
        <v>142</v>
      </c>
      <c r="S687" s="689"/>
      <c r="T687" s="204">
        <v>5</v>
      </c>
      <c r="U687" s="205"/>
      <c r="V687" s="88" t="s">
        <v>2199</v>
      </c>
      <c r="W687" s="89"/>
      <c r="X687" s="241">
        <v>638</v>
      </c>
      <c r="Y687" s="242"/>
      <c r="Z687" s="243"/>
      <c r="AA687" s="143" t="s">
        <v>1311</v>
      </c>
      <c r="AB687" s="145"/>
      <c r="AC687" s="162"/>
      <c r="AD687" s="163"/>
      <c r="AE687" s="31"/>
      <c r="AF687" s="162"/>
      <c r="AG687" s="170"/>
      <c r="AH687" s="170"/>
      <c r="AI687" s="39"/>
      <c r="AJ687" s="203" t="s">
        <v>1645</v>
      </c>
      <c r="AK687" s="203"/>
      <c r="AL687" s="203"/>
    </row>
    <row r="688" spans="1:38" ht="15.5" x14ac:dyDescent="0.35">
      <c r="A688" s="179"/>
      <c r="B688" s="162"/>
      <c r="C688" s="170"/>
      <c r="D688" s="163"/>
      <c r="E688" s="80"/>
      <c r="F688" s="146" t="s">
        <v>2190</v>
      </c>
      <c r="G688" s="147"/>
      <c r="H688" s="148"/>
      <c r="I688" s="151"/>
      <c r="J688" s="152"/>
      <c r="K688" s="151"/>
      <c r="L688" s="152"/>
      <c r="M688" s="206"/>
      <c r="N688" s="251"/>
      <c r="O688" s="207"/>
      <c r="P688" s="206"/>
      <c r="Q688" s="207"/>
      <c r="R688" s="690"/>
      <c r="S688" s="691"/>
      <c r="T688" s="206"/>
      <c r="U688" s="207"/>
      <c r="V688" s="117"/>
      <c r="W688" s="118"/>
      <c r="X688" s="244"/>
      <c r="Y688" s="245"/>
      <c r="Z688" s="246"/>
      <c r="AA688" s="146"/>
      <c r="AB688" s="148"/>
      <c r="AC688" s="162"/>
      <c r="AD688" s="163"/>
      <c r="AE688" s="31"/>
      <c r="AF688" s="162"/>
      <c r="AG688" s="170"/>
      <c r="AH688" s="170"/>
      <c r="AI688" s="39"/>
      <c r="AJ688" s="122"/>
      <c r="AK688" s="122"/>
      <c r="AL688" s="122"/>
    </row>
    <row r="689" spans="1:38" ht="15" x14ac:dyDescent="0.3">
      <c r="A689" s="179"/>
      <c r="B689" s="162"/>
      <c r="C689" s="170"/>
      <c r="D689" s="163"/>
      <c r="E689" s="64" t="s">
        <v>2201</v>
      </c>
      <c r="F689" s="143" t="s">
        <v>2202</v>
      </c>
      <c r="G689" s="144"/>
      <c r="H689" s="145"/>
      <c r="I689" s="204">
        <v>39</v>
      </c>
      <c r="J689" s="205"/>
      <c r="K689" s="149"/>
      <c r="L689" s="150"/>
      <c r="M689" s="204">
        <v>396</v>
      </c>
      <c r="N689" s="250"/>
      <c r="O689" s="205"/>
      <c r="P689" s="204">
        <v>45</v>
      </c>
      <c r="Q689" s="205"/>
      <c r="R689" s="684">
        <v>175</v>
      </c>
      <c r="S689" s="685"/>
      <c r="T689" s="204">
        <v>7</v>
      </c>
      <c r="U689" s="205"/>
      <c r="V689" s="112" t="s">
        <v>2204</v>
      </c>
      <c r="W689" s="113"/>
      <c r="X689" s="241">
        <v>728</v>
      </c>
      <c r="Y689" s="242"/>
      <c r="Z689" s="243"/>
      <c r="AA689" s="143" t="s">
        <v>1695</v>
      </c>
      <c r="AB689" s="145"/>
      <c r="AC689" s="162"/>
      <c r="AD689" s="163"/>
      <c r="AE689" s="31"/>
      <c r="AF689" s="162"/>
      <c r="AG689" s="170"/>
      <c r="AH689" s="170"/>
      <c r="AI689" s="136"/>
      <c r="AJ689" s="136"/>
      <c r="AK689" s="136"/>
      <c r="AL689" s="136"/>
    </row>
    <row r="690" spans="1:38" ht="15" x14ac:dyDescent="0.3">
      <c r="A690" s="179"/>
      <c r="B690" s="162"/>
      <c r="C690" s="170"/>
      <c r="D690" s="163"/>
      <c r="E690" s="65"/>
      <c r="F690" s="146" t="s">
        <v>2203</v>
      </c>
      <c r="G690" s="147"/>
      <c r="H690" s="148"/>
      <c r="I690" s="206"/>
      <c r="J690" s="207"/>
      <c r="K690" s="151"/>
      <c r="L690" s="152"/>
      <c r="M690" s="206"/>
      <c r="N690" s="251"/>
      <c r="O690" s="207"/>
      <c r="P690" s="206"/>
      <c r="Q690" s="207"/>
      <c r="R690" s="686"/>
      <c r="S690" s="687"/>
      <c r="T690" s="206"/>
      <c r="U690" s="207"/>
      <c r="V690" s="160"/>
      <c r="W690" s="161"/>
      <c r="X690" s="244"/>
      <c r="Y690" s="245"/>
      <c r="Z690" s="246"/>
      <c r="AA690" s="146"/>
      <c r="AB690" s="148"/>
      <c r="AC690" s="162"/>
      <c r="AD690" s="163"/>
      <c r="AE690" s="31"/>
      <c r="AF690" s="162"/>
      <c r="AG690" s="170"/>
      <c r="AH690" s="170"/>
      <c r="AI690" s="136"/>
      <c r="AJ690" s="136"/>
      <c r="AK690" s="136"/>
      <c r="AL690" s="136"/>
    </row>
    <row r="691" spans="1:38" ht="15" x14ac:dyDescent="0.3">
      <c r="A691" s="179"/>
      <c r="B691" s="162"/>
      <c r="C691" s="170"/>
      <c r="D691" s="163"/>
      <c r="E691" s="64" t="s">
        <v>2205</v>
      </c>
      <c r="F691" s="143" t="s">
        <v>2202</v>
      </c>
      <c r="G691" s="144"/>
      <c r="H691" s="145"/>
      <c r="I691" s="204">
        <v>39</v>
      </c>
      <c r="J691" s="205"/>
      <c r="K691" s="149"/>
      <c r="L691" s="150"/>
      <c r="M691" s="204">
        <v>396</v>
      </c>
      <c r="N691" s="250"/>
      <c r="O691" s="205"/>
      <c r="P691" s="204">
        <v>45</v>
      </c>
      <c r="Q691" s="205"/>
      <c r="R691" s="684">
        <v>175</v>
      </c>
      <c r="S691" s="685"/>
      <c r="T691" s="204">
        <v>7</v>
      </c>
      <c r="U691" s="205"/>
      <c r="V691" s="112" t="s">
        <v>2204</v>
      </c>
      <c r="W691" s="113"/>
      <c r="X691" s="241">
        <v>728</v>
      </c>
      <c r="Y691" s="242"/>
      <c r="Z691" s="243"/>
      <c r="AA691" s="143" t="s">
        <v>1695</v>
      </c>
      <c r="AB691" s="145"/>
      <c r="AC691" s="162"/>
      <c r="AD691" s="163"/>
      <c r="AE691" s="31"/>
      <c r="AF691" s="162"/>
      <c r="AG691" s="170"/>
      <c r="AH691" s="170"/>
      <c r="AI691" s="136"/>
      <c r="AJ691" s="136"/>
      <c r="AK691" s="136"/>
      <c r="AL691" s="136"/>
    </row>
    <row r="692" spans="1:38" ht="15" x14ac:dyDescent="0.3">
      <c r="A692" s="230"/>
      <c r="B692" s="212"/>
      <c r="C692" s="408"/>
      <c r="D692" s="213"/>
      <c r="E692" s="65"/>
      <c r="F692" s="146" t="s">
        <v>2203</v>
      </c>
      <c r="G692" s="147"/>
      <c r="H692" s="148"/>
      <c r="I692" s="206"/>
      <c r="J692" s="207"/>
      <c r="K692" s="151"/>
      <c r="L692" s="152"/>
      <c r="M692" s="206"/>
      <c r="N692" s="251"/>
      <c r="O692" s="207"/>
      <c r="P692" s="206"/>
      <c r="Q692" s="207"/>
      <c r="R692" s="686"/>
      <c r="S692" s="687"/>
      <c r="T692" s="206"/>
      <c r="U692" s="207"/>
      <c r="V692" s="160"/>
      <c r="W692" s="161"/>
      <c r="X692" s="244"/>
      <c r="Y692" s="245"/>
      <c r="Z692" s="246"/>
      <c r="AA692" s="146"/>
      <c r="AB692" s="148"/>
      <c r="AC692" s="212"/>
      <c r="AD692" s="213"/>
      <c r="AE692" s="31"/>
      <c r="AF692" s="212"/>
      <c r="AG692" s="408"/>
      <c r="AH692" s="408"/>
      <c r="AI692" s="136"/>
      <c r="AJ692" s="136"/>
      <c r="AK692" s="136"/>
      <c r="AL692" s="136"/>
    </row>
    <row r="693" spans="1:38" ht="90" x14ac:dyDescent="0.35">
      <c r="A693" s="178"/>
      <c r="B693" s="303" t="s">
        <v>2206</v>
      </c>
      <c r="C693" s="344"/>
      <c r="D693" s="304"/>
      <c r="E693" s="64" t="s">
        <v>2207</v>
      </c>
      <c r="F693" s="143" t="s">
        <v>2208</v>
      </c>
      <c r="G693" s="144"/>
      <c r="H693" s="145"/>
      <c r="I693" s="143" t="s">
        <v>2113</v>
      </c>
      <c r="J693" s="145"/>
      <c r="K693" s="88" t="s">
        <v>2209</v>
      </c>
      <c r="L693" s="89"/>
      <c r="M693" s="204">
        <v>250</v>
      </c>
      <c r="N693" s="250"/>
      <c r="O693" s="205"/>
      <c r="P693" s="149"/>
      <c r="Q693" s="150"/>
      <c r="R693" s="204">
        <v>90</v>
      </c>
      <c r="S693" s="205"/>
      <c r="T693" s="149"/>
      <c r="U693" s="150"/>
      <c r="V693" s="88" t="s">
        <v>1171</v>
      </c>
      <c r="W693" s="89"/>
      <c r="X693" s="241">
        <v>390</v>
      </c>
      <c r="Y693" s="242"/>
      <c r="Z693" s="243"/>
      <c r="AA693" s="143" t="s">
        <v>1298</v>
      </c>
      <c r="AB693" s="145"/>
      <c r="AC693" s="171" t="s">
        <v>675</v>
      </c>
      <c r="AD693" s="172"/>
      <c r="AE693" s="24" t="s">
        <v>2213</v>
      </c>
      <c r="AF693" s="303" t="s">
        <v>683</v>
      </c>
      <c r="AG693" s="344"/>
      <c r="AH693" s="344"/>
      <c r="AI693" s="39"/>
      <c r="AJ693" s="122"/>
      <c r="AK693" s="122"/>
      <c r="AL693" s="122"/>
    </row>
    <row r="694" spans="1:38" ht="45" x14ac:dyDescent="0.35">
      <c r="A694" s="179"/>
      <c r="B694" s="292"/>
      <c r="C694" s="314"/>
      <c r="D694" s="293"/>
      <c r="E694" s="63"/>
      <c r="F694" s="104"/>
      <c r="G694" s="202"/>
      <c r="H694" s="105"/>
      <c r="I694" s="104"/>
      <c r="J694" s="105"/>
      <c r="K694" s="126"/>
      <c r="L694" s="127"/>
      <c r="M694" s="231"/>
      <c r="N694" s="683"/>
      <c r="O694" s="232"/>
      <c r="P694" s="135"/>
      <c r="Q694" s="137"/>
      <c r="R694" s="231"/>
      <c r="S694" s="232"/>
      <c r="T694" s="135"/>
      <c r="U694" s="137"/>
      <c r="V694" s="126"/>
      <c r="W694" s="127"/>
      <c r="X694" s="247"/>
      <c r="Y694" s="248"/>
      <c r="Z694" s="249"/>
      <c r="AA694" s="104"/>
      <c r="AB694" s="105"/>
      <c r="AC694" s="162" t="s">
        <v>2210</v>
      </c>
      <c r="AD694" s="163"/>
      <c r="AE694" s="31" t="s">
        <v>1356</v>
      </c>
      <c r="AF694" s="292"/>
      <c r="AG694" s="314"/>
      <c r="AH694" s="314"/>
      <c r="AI694" s="39"/>
      <c r="AJ694" s="203" t="s">
        <v>809</v>
      </c>
      <c r="AK694" s="203"/>
      <c r="AL694" s="203"/>
    </row>
    <row r="695" spans="1:38" ht="60" x14ac:dyDescent="0.35">
      <c r="A695" s="179"/>
      <c r="B695" s="292"/>
      <c r="C695" s="314"/>
      <c r="D695" s="293"/>
      <c r="E695" s="65"/>
      <c r="F695" s="146"/>
      <c r="G695" s="147"/>
      <c r="H695" s="148"/>
      <c r="I695" s="146"/>
      <c r="J695" s="148"/>
      <c r="K695" s="117"/>
      <c r="L695" s="118"/>
      <c r="M695" s="206"/>
      <c r="N695" s="251"/>
      <c r="O695" s="207"/>
      <c r="P695" s="151"/>
      <c r="Q695" s="152"/>
      <c r="R695" s="206"/>
      <c r="S695" s="207"/>
      <c r="T695" s="151"/>
      <c r="U695" s="152"/>
      <c r="V695" s="117"/>
      <c r="W695" s="118"/>
      <c r="X695" s="244"/>
      <c r="Y695" s="245"/>
      <c r="Z695" s="246"/>
      <c r="AA695" s="146"/>
      <c r="AB695" s="148"/>
      <c r="AC695" s="162" t="s">
        <v>2211</v>
      </c>
      <c r="AD695" s="163"/>
      <c r="AE695" s="31" t="s">
        <v>2214</v>
      </c>
      <c r="AF695" s="292"/>
      <c r="AG695" s="314"/>
      <c r="AH695" s="314"/>
      <c r="AI695" s="39"/>
      <c r="AJ695" s="122"/>
      <c r="AK695" s="122"/>
      <c r="AL695" s="122"/>
    </row>
    <row r="696" spans="1:38" ht="15.5" x14ac:dyDescent="0.35">
      <c r="A696" s="179"/>
      <c r="B696" s="292"/>
      <c r="C696" s="314"/>
      <c r="D696" s="293"/>
      <c r="E696" s="64" t="s">
        <v>2215</v>
      </c>
      <c r="F696" s="143" t="s">
        <v>2208</v>
      </c>
      <c r="G696" s="144"/>
      <c r="H696" s="145"/>
      <c r="I696" s="143" t="s">
        <v>2113</v>
      </c>
      <c r="J696" s="145"/>
      <c r="K696" s="88" t="s">
        <v>2209</v>
      </c>
      <c r="L696" s="89"/>
      <c r="M696" s="204">
        <v>250</v>
      </c>
      <c r="N696" s="250"/>
      <c r="O696" s="205"/>
      <c r="P696" s="149"/>
      <c r="Q696" s="150"/>
      <c r="R696" s="204">
        <v>90</v>
      </c>
      <c r="S696" s="205"/>
      <c r="T696" s="149"/>
      <c r="U696" s="150"/>
      <c r="V696" s="88" t="s">
        <v>1171</v>
      </c>
      <c r="W696" s="89"/>
      <c r="X696" s="241">
        <v>390</v>
      </c>
      <c r="Y696" s="242"/>
      <c r="Z696" s="243"/>
      <c r="AA696" s="143" t="s">
        <v>1298</v>
      </c>
      <c r="AB696" s="145"/>
      <c r="AC696" s="162" t="s">
        <v>2212</v>
      </c>
      <c r="AD696" s="163"/>
      <c r="AE696" s="31"/>
      <c r="AF696" s="292"/>
      <c r="AG696" s="314"/>
      <c r="AH696" s="314"/>
      <c r="AI696" s="39"/>
      <c r="AJ696" s="122"/>
      <c r="AK696" s="122"/>
      <c r="AL696" s="122"/>
    </row>
    <row r="697" spans="1:38" ht="15.5" x14ac:dyDescent="0.35">
      <c r="A697" s="179"/>
      <c r="B697" s="292"/>
      <c r="C697" s="314"/>
      <c r="D697" s="293"/>
      <c r="E697" s="63"/>
      <c r="F697" s="104"/>
      <c r="G697" s="202"/>
      <c r="H697" s="105"/>
      <c r="I697" s="104"/>
      <c r="J697" s="105"/>
      <c r="K697" s="126"/>
      <c r="L697" s="127"/>
      <c r="M697" s="231"/>
      <c r="N697" s="683"/>
      <c r="O697" s="232"/>
      <c r="P697" s="135"/>
      <c r="Q697" s="137"/>
      <c r="R697" s="231"/>
      <c r="S697" s="232"/>
      <c r="T697" s="135"/>
      <c r="U697" s="137"/>
      <c r="V697" s="126"/>
      <c r="W697" s="127"/>
      <c r="X697" s="247"/>
      <c r="Y697" s="248"/>
      <c r="Z697" s="249"/>
      <c r="AA697" s="104"/>
      <c r="AB697" s="105"/>
      <c r="AC697" s="162"/>
      <c r="AD697" s="163"/>
      <c r="AE697" s="31"/>
      <c r="AF697" s="292"/>
      <c r="AG697" s="314"/>
      <c r="AH697" s="314"/>
      <c r="AI697" s="39"/>
      <c r="AJ697" s="203" t="s">
        <v>809</v>
      </c>
      <c r="AK697" s="203"/>
      <c r="AL697" s="203"/>
    </row>
    <row r="698" spans="1:38" ht="15.5" x14ac:dyDescent="0.35">
      <c r="A698" s="179"/>
      <c r="B698" s="292"/>
      <c r="C698" s="314"/>
      <c r="D698" s="293"/>
      <c r="E698" s="65"/>
      <c r="F698" s="146"/>
      <c r="G698" s="147"/>
      <c r="H698" s="148"/>
      <c r="I698" s="146"/>
      <c r="J698" s="148"/>
      <c r="K698" s="117"/>
      <c r="L698" s="118"/>
      <c r="M698" s="206"/>
      <c r="N698" s="251"/>
      <c r="O698" s="207"/>
      <c r="P698" s="151"/>
      <c r="Q698" s="152"/>
      <c r="R698" s="206"/>
      <c r="S698" s="207"/>
      <c r="T698" s="151"/>
      <c r="U698" s="152"/>
      <c r="V698" s="117"/>
      <c r="W698" s="118"/>
      <c r="X698" s="244"/>
      <c r="Y698" s="245"/>
      <c r="Z698" s="246"/>
      <c r="AA698" s="146"/>
      <c r="AB698" s="148"/>
      <c r="AC698" s="162"/>
      <c r="AD698" s="163"/>
      <c r="AE698" s="31"/>
      <c r="AF698" s="292"/>
      <c r="AG698" s="314"/>
      <c r="AH698" s="314"/>
      <c r="AI698" s="39"/>
      <c r="AJ698" s="122"/>
      <c r="AK698" s="122"/>
      <c r="AL698" s="122"/>
    </row>
    <row r="699" spans="1:38" ht="105" x14ac:dyDescent="0.35">
      <c r="A699" s="179"/>
      <c r="B699" s="292"/>
      <c r="C699" s="314"/>
      <c r="D699" s="293"/>
      <c r="E699" s="28" t="s">
        <v>2216</v>
      </c>
      <c r="F699" s="124" t="s">
        <v>2217</v>
      </c>
      <c r="G699" s="182"/>
      <c r="H699" s="125"/>
      <c r="I699" s="183">
        <v>35</v>
      </c>
      <c r="J699" s="185"/>
      <c r="K699" s="114" t="s">
        <v>2218</v>
      </c>
      <c r="L699" s="116"/>
      <c r="M699" s="183">
        <v>386</v>
      </c>
      <c r="N699" s="184"/>
      <c r="O699" s="185"/>
      <c r="P699" s="114" t="s">
        <v>2219</v>
      </c>
      <c r="Q699" s="116"/>
      <c r="R699" s="384" t="s">
        <v>2220</v>
      </c>
      <c r="S699" s="386"/>
      <c r="T699" s="183">
        <v>5</v>
      </c>
      <c r="U699" s="185"/>
      <c r="V699" s="114" t="s">
        <v>2221</v>
      </c>
      <c r="W699" s="116"/>
      <c r="X699" s="227">
        <v>938</v>
      </c>
      <c r="Y699" s="228"/>
      <c r="Z699" s="229"/>
      <c r="AA699" s="110" t="s">
        <v>688</v>
      </c>
      <c r="AB699" s="111"/>
      <c r="AC699" s="162"/>
      <c r="AD699" s="163"/>
      <c r="AE699" s="31"/>
      <c r="AF699" s="292"/>
      <c r="AG699" s="314"/>
      <c r="AH699" s="314"/>
      <c r="AI699" s="39"/>
      <c r="AJ699" s="203" t="s">
        <v>1030</v>
      </c>
      <c r="AK699" s="203"/>
      <c r="AL699" s="203"/>
    </row>
    <row r="700" spans="1:38" ht="120" x14ac:dyDescent="0.3">
      <c r="A700" s="179"/>
      <c r="B700" s="292"/>
      <c r="C700" s="314"/>
      <c r="D700" s="293"/>
      <c r="E700" s="28" t="s">
        <v>2222</v>
      </c>
      <c r="F700" s="124" t="s">
        <v>2217</v>
      </c>
      <c r="G700" s="182"/>
      <c r="H700" s="125"/>
      <c r="I700" s="183">
        <v>35</v>
      </c>
      <c r="J700" s="185"/>
      <c r="K700" s="114" t="s">
        <v>2218</v>
      </c>
      <c r="L700" s="116"/>
      <c r="M700" s="183">
        <v>386</v>
      </c>
      <c r="N700" s="184"/>
      <c r="O700" s="185"/>
      <c r="P700" s="114" t="s">
        <v>2219</v>
      </c>
      <c r="Q700" s="116"/>
      <c r="R700" s="384" t="s">
        <v>2220</v>
      </c>
      <c r="S700" s="386"/>
      <c r="T700" s="183">
        <v>5</v>
      </c>
      <c r="U700" s="185"/>
      <c r="V700" s="114" t="s">
        <v>2221</v>
      </c>
      <c r="W700" s="116"/>
      <c r="X700" s="227">
        <v>938</v>
      </c>
      <c r="Y700" s="228"/>
      <c r="Z700" s="229"/>
      <c r="AA700" s="110" t="s">
        <v>688</v>
      </c>
      <c r="AB700" s="111"/>
      <c r="AC700" s="162"/>
      <c r="AD700" s="163"/>
      <c r="AE700" s="31"/>
      <c r="AF700" s="292"/>
      <c r="AG700" s="314"/>
      <c r="AH700" s="314"/>
      <c r="AI700" s="47"/>
      <c r="AJ700" s="203" t="s">
        <v>1030</v>
      </c>
      <c r="AK700" s="203"/>
      <c r="AL700" s="203"/>
    </row>
    <row r="701" spans="1:38" ht="105" x14ac:dyDescent="0.35">
      <c r="A701" s="179"/>
      <c r="B701" s="292"/>
      <c r="C701" s="314"/>
      <c r="D701" s="293"/>
      <c r="E701" s="28" t="s">
        <v>2223</v>
      </c>
      <c r="F701" s="124" t="s">
        <v>2224</v>
      </c>
      <c r="G701" s="182"/>
      <c r="H701" s="125"/>
      <c r="I701" s="540" t="s">
        <v>1511</v>
      </c>
      <c r="J701" s="542"/>
      <c r="K701" s="114" t="s">
        <v>2225</v>
      </c>
      <c r="L701" s="116"/>
      <c r="M701" s="183">
        <v>414</v>
      </c>
      <c r="N701" s="184"/>
      <c r="O701" s="185"/>
      <c r="P701" s="114" t="s">
        <v>2226</v>
      </c>
      <c r="Q701" s="116"/>
      <c r="R701" s="384" t="s">
        <v>2227</v>
      </c>
      <c r="S701" s="386"/>
      <c r="T701" s="183">
        <v>5</v>
      </c>
      <c r="U701" s="185"/>
      <c r="V701" s="124" t="s">
        <v>2228</v>
      </c>
      <c r="W701" s="125"/>
      <c r="X701" s="227">
        <v>1078</v>
      </c>
      <c r="Y701" s="228"/>
      <c r="Z701" s="229"/>
      <c r="AA701" s="110" t="s">
        <v>768</v>
      </c>
      <c r="AB701" s="111"/>
      <c r="AC701" s="162"/>
      <c r="AD701" s="163"/>
      <c r="AE701" s="31"/>
      <c r="AF701" s="292"/>
      <c r="AG701" s="314"/>
      <c r="AH701" s="314"/>
      <c r="AI701" s="39"/>
      <c r="AJ701" s="203" t="s">
        <v>1030</v>
      </c>
      <c r="AK701" s="203"/>
      <c r="AL701" s="203"/>
    </row>
    <row r="702" spans="1:38" ht="120" x14ac:dyDescent="0.3">
      <c r="A702" s="179"/>
      <c r="B702" s="292"/>
      <c r="C702" s="314"/>
      <c r="D702" s="293"/>
      <c r="E702" s="28" t="s">
        <v>2229</v>
      </c>
      <c r="F702" s="124" t="s">
        <v>2224</v>
      </c>
      <c r="G702" s="182"/>
      <c r="H702" s="125"/>
      <c r="I702" s="540" t="s">
        <v>1511</v>
      </c>
      <c r="J702" s="542"/>
      <c r="K702" s="114" t="s">
        <v>2225</v>
      </c>
      <c r="L702" s="116"/>
      <c r="M702" s="183">
        <v>414</v>
      </c>
      <c r="N702" s="184"/>
      <c r="O702" s="185"/>
      <c r="P702" s="114" t="s">
        <v>2226</v>
      </c>
      <c r="Q702" s="116"/>
      <c r="R702" s="384" t="s">
        <v>2227</v>
      </c>
      <c r="S702" s="386"/>
      <c r="T702" s="183">
        <v>5</v>
      </c>
      <c r="U702" s="185"/>
      <c r="V702" s="124" t="s">
        <v>2228</v>
      </c>
      <c r="W702" s="125"/>
      <c r="X702" s="227">
        <v>1078</v>
      </c>
      <c r="Y702" s="228"/>
      <c r="Z702" s="229"/>
      <c r="AA702" s="110" t="s">
        <v>768</v>
      </c>
      <c r="AB702" s="111"/>
      <c r="AC702" s="162"/>
      <c r="AD702" s="163"/>
      <c r="AE702" s="31"/>
      <c r="AF702" s="292"/>
      <c r="AG702" s="314"/>
      <c r="AH702" s="314"/>
      <c r="AI702" s="47"/>
      <c r="AJ702" s="203" t="s">
        <v>1030</v>
      </c>
      <c r="AK702" s="203"/>
      <c r="AL702" s="203"/>
    </row>
    <row r="703" spans="1:38" ht="105" x14ac:dyDescent="0.35">
      <c r="A703" s="179"/>
      <c r="B703" s="292"/>
      <c r="C703" s="314"/>
      <c r="D703" s="293"/>
      <c r="E703" s="28" t="s">
        <v>2230</v>
      </c>
      <c r="F703" s="124" t="s">
        <v>2231</v>
      </c>
      <c r="G703" s="182"/>
      <c r="H703" s="125"/>
      <c r="I703" s="183">
        <v>46</v>
      </c>
      <c r="J703" s="185"/>
      <c r="K703" s="114" t="s">
        <v>2232</v>
      </c>
      <c r="L703" s="116"/>
      <c r="M703" s="183">
        <v>442</v>
      </c>
      <c r="N703" s="184"/>
      <c r="O703" s="185"/>
      <c r="P703" s="114" t="s">
        <v>2233</v>
      </c>
      <c r="Q703" s="116"/>
      <c r="R703" s="384" t="s">
        <v>2234</v>
      </c>
      <c r="S703" s="386"/>
      <c r="T703" s="183">
        <v>7</v>
      </c>
      <c r="U703" s="185"/>
      <c r="V703" s="124" t="s">
        <v>2235</v>
      </c>
      <c r="W703" s="125"/>
      <c r="X703" s="227">
        <v>1210</v>
      </c>
      <c r="Y703" s="228"/>
      <c r="Z703" s="229"/>
      <c r="AA703" s="110" t="s">
        <v>722</v>
      </c>
      <c r="AB703" s="111"/>
      <c r="AC703" s="162"/>
      <c r="AD703" s="163"/>
      <c r="AE703" s="31"/>
      <c r="AF703" s="292"/>
      <c r="AG703" s="314"/>
      <c r="AH703" s="314"/>
      <c r="AI703" s="39"/>
      <c r="AJ703" s="203" t="s">
        <v>1030</v>
      </c>
      <c r="AK703" s="203"/>
      <c r="AL703" s="203"/>
    </row>
    <row r="704" spans="1:38" ht="120" x14ac:dyDescent="0.3">
      <c r="A704" s="179"/>
      <c r="B704" s="292"/>
      <c r="C704" s="314"/>
      <c r="D704" s="293"/>
      <c r="E704" s="28" t="s">
        <v>2236</v>
      </c>
      <c r="F704" s="124" t="s">
        <v>2231</v>
      </c>
      <c r="G704" s="182"/>
      <c r="H704" s="125"/>
      <c r="I704" s="183">
        <v>46</v>
      </c>
      <c r="J704" s="185"/>
      <c r="K704" s="114" t="s">
        <v>2232</v>
      </c>
      <c r="L704" s="116"/>
      <c r="M704" s="183">
        <v>442</v>
      </c>
      <c r="N704" s="184"/>
      <c r="O704" s="185"/>
      <c r="P704" s="114" t="s">
        <v>2233</v>
      </c>
      <c r="Q704" s="116"/>
      <c r="R704" s="384" t="s">
        <v>2234</v>
      </c>
      <c r="S704" s="386"/>
      <c r="T704" s="183">
        <v>7</v>
      </c>
      <c r="U704" s="185"/>
      <c r="V704" s="124" t="s">
        <v>2235</v>
      </c>
      <c r="W704" s="125"/>
      <c r="X704" s="227">
        <v>1210</v>
      </c>
      <c r="Y704" s="228"/>
      <c r="Z704" s="229"/>
      <c r="AA704" s="110" t="s">
        <v>722</v>
      </c>
      <c r="AB704" s="111"/>
      <c r="AC704" s="162"/>
      <c r="AD704" s="163"/>
      <c r="AE704" s="31"/>
      <c r="AF704" s="292"/>
      <c r="AG704" s="314"/>
      <c r="AH704" s="314"/>
      <c r="AI704" s="47"/>
      <c r="AJ704" s="203" t="s">
        <v>1030</v>
      </c>
      <c r="AK704" s="203"/>
      <c r="AL704" s="203"/>
    </row>
    <row r="705" spans="1:38" ht="105" x14ac:dyDescent="0.35">
      <c r="A705" s="179"/>
      <c r="B705" s="292"/>
      <c r="C705" s="314"/>
      <c r="D705" s="293"/>
      <c r="E705" s="28" t="s">
        <v>2237</v>
      </c>
      <c r="F705" s="124" t="s">
        <v>2238</v>
      </c>
      <c r="G705" s="182"/>
      <c r="H705" s="125"/>
      <c r="I705" s="183">
        <v>55</v>
      </c>
      <c r="J705" s="185"/>
      <c r="K705" s="114" t="s">
        <v>2239</v>
      </c>
      <c r="L705" s="116"/>
      <c r="M705" s="183">
        <v>532</v>
      </c>
      <c r="N705" s="184"/>
      <c r="O705" s="185"/>
      <c r="P705" s="114" t="s">
        <v>1146</v>
      </c>
      <c r="Q705" s="116"/>
      <c r="R705" s="384" t="s">
        <v>2240</v>
      </c>
      <c r="S705" s="386"/>
      <c r="T705" s="183">
        <v>7</v>
      </c>
      <c r="U705" s="185"/>
      <c r="V705" s="124" t="s">
        <v>2241</v>
      </c>
      <c r="W705" s="125"/>
      <c r="X705" s="227">
        <v>1338</v>
      </c>
      <c r="Y705" s="228"/>
      <c r="Z705" s="229"/>
      <c r="AA705" s="110" t="s">
        <v>688</v>
      </c>
      <c r="AB705" s="111"/>
      <c r="AC705" s="162"/>
      <c r="AD705" s="163"/>
      <c r="AE705" s="31"/>
      <c r="AF705" s="292"/>
      <c r="AG705" s="314"/>
      <c r="AH705" s="314"/>
      <c r="AI705" s="39"/>
      <c r="AJ705" s="203" t="s">
        <v>1030</v>
      </c>
      <c r="AK705" s="203"/>
      <c r="AL705" s="203"/>
    </row>
    <row r="706" spans="1:38" ht="120" x14ac:dyDescent="0.3">
      <c r="A706" s="230"/>
      <c r="B706" s="290"/>
      <c r="C706" s="345"/>
      <c r="D706" s="291"/>
      <c r="E706" s="28" t="s">
        <v>2242</v>
      </c>
      <c r="F706" s="124" t="s">
        <v>2238</v>
      </c>
      <c r="G706" s="182"/>
      <c r="H706" s="125"/>
      <c r="I706" s="183">
        <v>55</v>
      </c>
      <c r="J706" s="185"/>
      <c r="K706" s="114" t="s">
        <v>2239</v>
      </c>
      <c r="L706" s="116"/>
      <c r="M706" s="183">
        <v>532</v>
      </c>
      <c r="N706" s="184"/>
      <c r="O706" s="185"/>
      <c r="P706" s="114" t="s">
        <v>1146</v>
      </c>
      <c r="Q706" s="116"/>
      <c r="R706" s="384" t="s">
        <v>2240</v>
      </c>
      <c r="S706" s="386"/>
      <c r="T706" s="183">
        <v>7</v>
      </c>
      <c r="U706" s="185"/>
      <c r="V706" s="124" t="s">
        <v>2241</v>
      </c>
      <c r="W706" s="125"/>
      <c r="X706" s="227">
        <v>1338</v>
      </c>
      <c r="Y706" s="228"/>
      <c r="Z706" s="229"/>
      <c r="AA706" s="110" t="s">
        <v>688</v>
      </c>
      <c r="AB706" s="111"/>
      <c r="AC706" s="212"/>
      <c r="AD706" s="213"/>
      <c r="AE706" s="31"/>
      <c r="AF706" s="290"/>
      <c r="AG706" s="345"/>
      <c r="AH706" s="345"/>
      <c r="AI706" s="47"/>
      <c r="AJ706" s="203" t="s">
        <v>1030</v>
      </c>
      <c r="AK706" s="203"/>
      <c r="AL706" s="203"/>
    </row>
    <row r="707" spans="1:38" ht="90" x14ac:dyDescent="0.3">
      <c r="A707" s="178"/>
      <c r="B707" s="303" t="s">
        <v>2243</v>
      </c>
      <c r="C707" s="344"/>
      <c r="D707" s="304"/>
      <c r="E707" s="28" t="s">
        <v>2244</v>
      </c>
      <c r="F707" s="124" t="s">
        <v>2245</v>
      </c>
      <c r="G707" s="182"/>
      <c r="H707" s="125"/>
      <c r="I707" s="110" t="s">
        <v>1395</v>
      </c>
      <c r="J707" s="111"/>
      <c r="K707" s="114" t="s">
        <v>2246</v>
      </c>
      <c r="L707" s="116"/>
      <c r="M707" s="183">
        <v>143</v>
      </c>
      <c r="N707" s="184"/>
      <c r="O707" s="185"/>
      <c r="P707" s="114" t="s">
        <v>2123</v>
      </c>
      <c r="Q707" s="116"/>
      <c r="R707" s="183">
        <v>60</v>
      </c>
      <c r="S707" s="185"/>
      <c r="T707" s="183">
        <v>15</v>
      </c>
      <c r="U707" s="185"/>
      <c r="V707" s="114" t="s">
        <v>2247</v>
      </c>
      <c r="W707" s="116"/>
      <c r="X707" s="227">
        <v>318</v>
      </c>
      <c r="Y707" s="228"/>
      <c r="Z707" s="229"/>
      <c r="AA707" s="110" t="s">
        <v>989</v>
      </c>
      <c r="AB707" s="111"/>
      <c r="AC707" s="171" t="s">
        <v>675</v>
      </c>
      <c r="AD707" s="172"/>
      <c r="AE707" s="24" t="s">
        <v>2250</v>
      </c>
      <c r="AF707" s="171" t="s">
        <v>2252</v>
      </c>
      <c r="AG707" s="407"/>
      <c r="AH707" s="407"/>
      <c r="AI707" s="47"/>
      <c r="AJ707" s="136"/>
      <c r="AK707" s="136"/>
      <c r="AL707" s="136"/>
    </row>
    <row r="708" spans="1:38" ht="60" x14ac:dyDescent="0.3">
      <c r="A708" s="179"/>
      <c r="B708" s="292"/>
      <c r="C708" s="314"/>
      <c r="D708" s="293"/>
      <c r="E708" s="28" t="s">
        <v>2253</v>
      </c>
      <c r="F708" s="124" t="s">
        <v>2254</v>
      </c>
      <c r="G708" s="182"/>
      <c r="H708" s="125"/>
      <c r="I708" s="183">
        <v>27</v>
      </c>
      <c r="J708" s="185"/>
      <c r="K708" s="114" t="s">
        <v>2255</v>
      </c>
      <c r="L708" s="116"/>
      <c r="M708" s="183">
        <v>191</v>
      </c>
      <c r="N708" s="184"/>
      <c r="O708" s="185"/>
      <c r="P708" s="114" t="s">
        <v>1472</v>
      </c>
      <c r="Q708" s="116"/>
      <c r="R708" s="183">
        <v>77</v>
      </c>
      <c r="S708" s="185"/>
      <c r="T708" s="183">
        <v>17</v>
      </c>
      <c r="U708" s="185"/>
      <c r="V708" s="114" t="s">
        <v>2256</v>
      </c>
      <c r="W708" s="116"/>
      <c r="X708" s="227">
        <v>408</v>
      </c>
      <c r="Y708" s="228"/>
      <c r="Z708" s="229"/>
      <c r="AA708" s="110" t="s">
        <v>1159</v>
      </c>
      <c r="AB708" s="111"/>
      <c r="AC708" s="162" t="s">
        <v>2248</v>
      </c>
      <c r="AD708" s="163"/>
      <c r="AE708" s="31" t="s">
        <v>1356</v>
      </c>
      <c r="AF708" s="162" t="s">
        <v>2160</v>
      </c>
      <c r="AG708" s="170"/>
      <c r="AH708" s="170"/>
      <c r="AI708" s="47"/>
      <c r="AJ708" s="136"/>
      <c r="AK708" s="136"/>
      <c r="AL708" s="136"/>
    </row>
    <row r="709" spans="1:38" ht="60" x14ac:dyDescent="0.35">
      <c r="A709" s="179"/>
      <c r="B709" s="292"/>
      <c r="C709" s="314"/>
      <c r="D709" s="293"/>
      <c r="E709" s="28" t="s">
        <v>2257</v>
      </c>
      <c r="F709" s="124" t="s">
        <v>2245</v>
      </c>
      <c r="G709" s="182"/>
      <c r="H709" s="125"/>
      <c r="I709" s="183">
        <v>19</v>
      </c>
      <c r="J709" s="185"/>
      <c r="K709" s="114" t="s">
        <v>2246</v>
      </c>
      <c r="L709" s="116"/>
      <c r="M709" s="183">
        <v>213</v>
      </c>
      <c r="N709" s="184"/>
      <c r="O709" s="185"/>
      <c r="P709" s="114" t="s">
        <v>2123</v>
      </c>
      <c r="Q709" s="116"/>
      <c r="R709" s="183">
        <v>60</v>
      </c>
      <c r="S709" s="185"/>
      <c r="T709" s="183">
        <v>15</v>
      </c>
      <c r="U709" s="185"/>
      <c r="V709" s="114" t="s">
        <v>2258</v>
      </c>
      <c r="W709" s="116"/>
      <c r="X709" s="227">
        <v>408</v>
      </c>
      <c r="Y709" s="228"/>
      <c r="Z709" s="229"/>
      <c r="AA709" s="110" t="s">
        <v>1159</v>
      </c>
      <c r="AB709" s="111"/>
      <c r="AC709" s="162" t="s">
        <v>2249</v>
      </c>
      <c r="AD709" s="163"/>
      <c r="AE709" s="31" t="s">
        <v>2251</v>
      </c>
      <c r="AF709" s="162"/>
      <c r="AG709" s="170"/>
      <c r="AH709" s="170"/>
      <c r="AI709" s="39"/>
      <c r="AJ709" s="122"/>
      <c r="AK709" s="122"/>
      <c r="AL709" s="122"/>
    </row>
    <row r="710" spans="1:38" ht="15.5" x14ac:dyDescent="0.35">
      <c r="A710" s="179"/>
      <c r="B710" s="292"/>
      <c r="C710" s="314"/>
      <c r="D710" s="293"/>
      <c r="E710" s="64" t="s">
        <v>2259</v>
      </c>
      <c r="F710" s="143" t="s">
        <v>2254</v>
      </c>
      <c r="G710" s="144"/>
      <c r="H710" s="145"/>
      <c r="I710" s="204">
        <v>30</v>
      </c>
      <c r="J710" s="205"/>
      <c r="K710" s="88" t="s">
        <v>2255</v>
      </c>
      <c r="L710" s="89"/>
      <c r="M710" s="204">
        <v>261</v>
      </c>
      <c r="N710" s="250"/>
      <c r="O710" s="205"/>
      <c r="P710" s="88" t="s">
        <v>1472</v>
      </c>
      <c r="Q710" s="89"/>
      <c r="R710" s="204">
        <v>77</v>
      </c>
      <c r="S710" s="205"/>
      <c r="T710" s="204">
        <v>17</v>
      </c>
      <c r="U710" s="205"/>
      <c r="V710" s="88" t="s">
        <v>2260</v>
      </c>
      <c r="W710" s="89"/>
      <c r="X710" s="241">
        <v>498</v>
      </c>
      <c r="Y710" s="242"/>
      <c r="Z710" s="243"/>
      <c r="AA710" s="143" t="s">
        <v>1261</v>
      </c>
      <c r="AB710" s="145"/>
      <c r="AC710" s="162"/>
      <c r="AD710" s="163"/>
      <c r="AE710" s="31"/>
      <c r="AF710" s="162"/>
      <c r="AG710" s="170"/>
      <c r="AH710" s="170"/>
      <c r="AI710" s="39"/>
      <c r="AJ710" s="122"/>
      <c r="AK710" s="122"/>
      <c r="AL710" s="122"/>
    </row>
    <row r="711" spans="1:38" ht="15" x14ac:dyDescent="0.3">
      <c r="A711" s="179"/>
      <c r="B711" s="292"/>
      <c r="C711" s="314"/>
      <c r="D711" s="293"/>
      <c r="E711" s="63"/>
      <c r="F711" s="104"/>
      <c r="G711" s="202"/>
      <c r="H711" s="105"/>
      <c r="I711" s="231"/>
      <c r="J711" s="232"/>
      <c r="K711" s="126"/>
      <c r="L711" s="127"/>
      <c r="M711" s="231"/>
      <c r="N711" s="683"/>
      <c r="O711" s="232"/>
      <c r="P711" s="126"/>
      <c r="Q711" s="127"/>
      <c r="R711" s="231"/>
      <c r="S711" s="232"/>
      <c r="T711" s="231"/>
      <c r="U711" s="232"/>
      <c r="V711" s="126"/>
      <c r="W711" s="127"/>
      <c r="X711" s="247"/>
      <c r="Y711" s="248"/>
      <c r="Z711" s="249"/>
      <c r="AA711" s="104"/>
      <c r="AB711" s="105"/>
      <c r="AC711" s="162"/>
      <c r="AD711" s="163"/>
      <c r="AE711" s="31"/>
      <c r="AF711" s="162"/>
      <c r="AG711" s="170"/>
      <c r="AH711" s="170"/>
      <c r="AI711" s="122"/>
      <c r="AJ711" s="203" t="s">
        <v>2261</v>
      </c>
      <c r="AK711" s="203"/>
      <c r="AL711" s="203"/>
    </row>
    <row r="712" spans="1:38" ht="15" x14ac:dyDescent="0.3">
      <c r="A712" s="179"/>
      <c r="B712" s="292"/>
      <c r="C712" s="314"/>
      <c r="D712" s="293"/>
      <c r="E712" s="65"/>
      <c r="F712" s="146"/>
      <c r="G712" s="147"/>
      <c r="H712" s="148"/>
      <c r="I712" s="206"/>
      <c r="J712" s="207"/>
      <c r="K712" s="117"/>
      <c r="L712" s="118"/>
      <c r="M712" s="206"/>
      <c r="N712" s="251"/>
      <c r="O712" s="207"/>
      <c r="P712" s="117"/>
      <c r="Q712" s="118"/>
      <c r="R712" s="206"/>
      <c r="S712" s="207"/>
      <c r="T712" s="206"/>
      <c r="U712" s="207"/>
      <c r="V712" s="117"/>
      <c r="W712" s="118"/>
      <c r="X712" s="244"/>
      <c r="Y712" s="245"/>
      <c r="Z712" s="246"/>
      <c r="AA712" s="146"/>
      <c r="AB712" s="148"/>
      <c r="AC712" s="162"/>
      <c r="AD712" s="163"/>
      <c r="AE712" s="31"/>
      <c r="AF712" s="162"/>
      <c r="AG712" s="170"/>
      <c r="AH712" s="170"/>
      <c r="AI712" s="122"/>
      <c r="AJ712" s="203" t="s">
        <v>2262</v>
      </c>
      <c r="AK712" s="203"/>
      <c r="AL712" s="203"/>
    </row>
    <row r="713" spans="1:38" ht="15.5" x14ac:dyDescent="0.35">
      <c r="A713" s="179"/>
      <c r="B713" s="292"/>
      <c r="C713" s="314"/>
      <c r="D713" s="293"/>
      <c r="E713" s="59" t="s">
        <v>2264</v>
      </c>
      <c r="F713" s="88" t="s">
        <v>2265</v>
      </c>
      <c r="G713" s="153"/>
      <c r="H713" s="89"/>
      <c r="I713" s="204">
        <v>25</v>
      </c>
      <c r="J713" s="205"/>
      <c r="K713" s="88" t="s">
        <v>2266</v>
      </c>
      <c r="L713" s="89"/>
      <c r="M713" s="88" t="s">
        <v>2267</v>
      </c>
      <c r="N713" s="153"/>
      <c r="O713" s="89"/>
      <c r="P713" s="204">
        <v>16</v>
      </c>
      <c r="Q713" s="205"/>
      <c r="R713" s="204">
        <v>73</v>
      </c>
      <c r="S713" s="205"/>
      <c r="T713" s="204">
        <v>25</v>
      </c>
      <c r="U713" s="205"/>
      <c r="V713" s="88" t="s">
        <v>2268</v>
      </c>
      <c r="W713" s="89"/>
      <c r="X713" s="241">
        <v>398</v>
      </c>
      <c r="Y713" s="242"/>
      <c r="Z713" s="243"/>
      <c r="AA713" s="143" t="s">
        <v>1159</v>
      </c>
      <c r="AB713" s="145"/>
      <c r="AC713" s="162"/>
      <c r="AD713" s="163"/>
      <c r="AE713" s="31"/>
      <c r="AF713" s="162"/>
      <c r="AG713" s="170"/>
      <c r="AH713" s="170"/>
      <c r="AI713" s="39"/>
      <c r="AJ713" s="203" t="s">
        <v>2263</v>
      </c>
      <c r="AK713" s="203"/>
      <c r="AL713" s="203"/>
    </row>
    <row r="714" spans="1:38" ht="15.5" x14ac:dyDescent="0.35">
      <c r="A714" s="179"/>
      <c r="B714" s="292"/>
      <c r="C714" s="314"/>
      <c r="D714" s="293"/>
      <c r="E714" s="60"/>
      <c r="F714" s="117"/>
      <c r="G714" s="154"/>
      <c r="H714" s="118"/>
      <c r="I714" s="206"/>
      <c r="J714" s="207"/>
      <c r="K714" s="117"/>
      <c r="L714" s="118"/>
      <c r="M714" s="117"/>
      <c r="N714" s="154"/>
      <c r="O714" s="118"/>
      <c r="P714" s="206"/>
      <c r="Q714" s="207"/>
      <c r="R714" s="206"/>
      <c r="S714" s="207"/>
      <c r="T714" s="206"/>
      <c r="U714" s="207"/>
      <c r="V714" s="117"/>
      <c r="W714" s="118"/>
      <c r="X714" s="244"/>
      <c r="Y714" s="245"/>
      <c r="Z714" s="246"/>
      <c r="AA714" s="146"/>
      <c r="AB714" s="148"/>
      <c r="AC714" s="162"/>
      <c r="AD714" s="163"/>
      <c r="AE714" s="31"/>
      <c r="AF714" s="162"/>
      <c r="AG714" s="170"/>
      <c r="AH714" s="170"/>
      <c r="AI714" s="39"/>
      <c r="AJ714" s="122"/>
      <c r="AK714" s="122"/>
      <c r="AL714" s="122"/>
    </row>
    <row r="715" spans="1:38" ht="90" x14ac:dyDescent="0.3">
      <c r="A715" s="179"/>
      <c r="B715" s="292"/>
      <c r="C715" s="314"/>
      <c r="D715" s="293"/>
      <c r="E715" s="28" t="s">
        <v>2269</v>
      </c>
      <c r="F715" s="124" t="s">
        <v>2270</v>
      </c>
      <c r="G715" s="182"/>
      <c r="H715" s="125"/>
      <c r="I715" s="183">
        <v>33</v>
      </c>
      <c r="J715" s="185"/>
      <c r="K715" s="114" t="s">
        <v>2271</v>
      </c>
      <c r="L715" s="116"/>
      <c r="M715" s="114" t="s">
        <v>2272</v>
      </c>
      <c r="N715" s="115"/>
      <c r="O715" s="116"/>
      <c r="P715" s="114" t="s">
        <v>2273</v>
      </c>
      <c r="Q715" s="116"/>
      <c r="R715" s="183">
        <v>73</v>
      </c>
      <c r="S715" s="185"/>
      <c r="T715" s="183">
        <v>27</v>
      </c>
      <c r="U715" s="185"/>
      <c r="V715" s="114" t="s">
        <v>2274</v>
      </c>
      <c r="W715" s="116"/>
      <c r="X715" s="227">
        <v>468</v>
      </c>
      <c r="Y715" s="228"/>
      <c r="Z715" s="229"/>
      <c r="AA715" s="110" t="s">
        <v>1159</v>
      </c>
      <c r="AB715" s="111"/>
      <c r="AC715" s="162"/>
      <c r="AD715" s="163"/>
      <c r="AE715" s="31"/>
      <c r="AF715" s="162"/>
      <c r="AG715" s="170"/>
      <c r="AH715" s="170"/>
      <c r="AI715" s="47"/>
      <c r="AJ715" s="136"/>
      <c r="AK715" s="136"/>
      <c r="AL715" s="136"/>
    </row>
    <row r="716" spans="1:38" ht="90" x14ac:dyDescent="0.3">
      <c r="A716" s="179"/>
      <c r="B716" s="292"/>
      <c r="C716" s="314"/>
      <c r="D716" s="293"/>
      <c r="E716" s="28" t="s">
        <v>2275</v>
      </c>
      <c r="F716" s="124" t="s">
        <v>2265</v>
      </c>
      <c r="G716" s="182"/>
      <c r="H716" s="125"/>
      <c r="I716" s="183">
        <v>25</v>
      </c>
      <c r="J716" s="185"/>
      <c r="K716" s="114" t="s">
        <v>2266</v>
      </c>
      <c r="L716" s="116"/>
      <c r="M716" s="114" t="s">
        <v>2276</v>
      </c>
      <c r="N716" s="115"/>
      <c r="O716" s="116"/>
      <c r="P716" s="183">
        <v>16</v>
      </c>
      <c r="Q716" s="185"/>
      <c r="R716" s="183">
        <v>90</v>
      </c>
      <c r="S716" s="185"/>
      <c r="T716" s="183">
        <v>25</v>
      </c>
      <c r="U716" s="185"/>
      <c r="V716" s="114" t="s">
        <v>2277</v>
      </c>
      <c r="W716" s="116"/>
      <c r="X716" s="227">
        <v>518</v>
      </c>
      <c r="Y716" s="228"/>
      <c r="Z716" s="229"/>
      <c r="AA716" s="110" t="s">
        <v>1159</v>
      </c>
      <c r="AB716" s="111"/>
      <c r="AC716" s="162"/>
      <c r="AD716" s="163"/>
      <c r="AE716" s="31"/>
      <c r="AF716" s="162"/>
      <c r="AG716" s="170"/>
      <c r="AH716" s="170"/>
      <c r="AI716" s="47"/>
      <c r="AJ716" s="136"/>
      <c r="AK716" s="136"/>
      <c r="AL716" s="136"/>
    </row>
    <row r="717" spans="1:38" ht="90" x14ac:dyDescent="0.35">
      <c r="A717" s="230"/>
      <c r="B717" s="290"/>
      <c r="C717" s="345"/>
      <c r="D717" s="291"/>
      <c r="E717" s="28" t="s">
        <v>2278</v>
      </c>
      <c r="F717" s="124" t="s">
        <v>2270</v>
      </c>
      <c r="G717" s="182"/>
      <c r="H717" s="125"/>
      <c r="I717" s="183">
        <v>36</v>
      </c>
      <c r="J717" s="185"/>
      <c r="K717" s="114" t="s">
        <v>2271</v>
      </c>
      <c r="L717" s="116"/>
      <c r="M717" s="114" t="s">
        <v>2279</v>
      </c>
      <c r="N717" s="115"/>
      <c r="O717" s="116"/>
      <c r="P717" s="114" t="s">
        <v>2273</v>
      </c>
      <c r="Q717" s="116"/>
      <c r="R717" s="183">
        <v>90</v>
      </c>
      <c r="S717" s="185"/>
      <c r="T717" s="183">
        <v>27</v>
      </c>
      <c r="U717" s="185"/>
      <c r="V717" s="114" t="s">
        <v>2280</v>
      </c>
      <c r="W717" s="116"/>
      <c r="X717" s="227">
        <v>588</v>
      </c>
      <c r="Y717" s="228"/>
      <c r="Z717" s="229"/>
      <c r="AA717" s="110" t="s">
        <v>1159</v>
      </c>
      <c r="AB717" s="111"/>
      <c r="AC717" s="212"/>
      <c r="AD717" s="213"/>
      <c r="AE717" s="31"/>
      <c r="AF717" s="212"/>
      <c r="AG717" s="408"/>
      <c r="AH717" s="408"/>
      <c r="AI717" s="39"/>
      <c r="AJ717" s="122"/>
      <c r="AK717" s="122"/>
      <c r="AL717" s="122"/>
    </row>
    <row r="718" spans="1:38" ht="90" x14ac:dyDescent="0.3">
      <c r="A718" s="178"/>
      <c r="B718" s="303" t="s">
        <v>2281</v>
      </c>
      <c r="C718" s="344"/>
      <c r="D718" s="304"/>
      <c r="E718" s="66" t="s">
        <v>2282</v>
      </c>
      <c r="F718" s="192" t="s">
        <v>2283</v>
      </c>
      <c r="G718" s="196"/>
      <c r="H718" s="193"/>
      <c r="I718" s="387">
        <v>17</v>
      </c>
      <c r="J718" s="388"/>
      <c r="K718" s="171" t="s">
        <v>2284</v>
      </c>
      <c r="L718" s="172"/>
      <c r="M718" s="171" t="s">
        <v>2183</v>
      </c>
      <c r="N718" s="407"/>
      <c r="O718" s="172"/>
      <c r="P718" s="392" t="s">
        <v>1124</v>
      </c>
      <c r="Q718" s="394"/>
      <c r="R718" s="387">
        <v>25</v>
      </c>
      <c r="S718" s="388"/>
      <c r="T718" s="387">
        <v>10</v>
      </c>
      <c r="U718" s="388"/>
      <c r="V718" s="171" t="s">
        <v>2285</v>
      </c>
      <c r="W718" s="172"/>
      <c r="X718" s="252">
        <v>288</v>
      </c>
      <c r="Y718" s="253"/>
      <c r="Z718" s="254"/>
      <c r="AA718" s="192" t="s">
        <v>768</v>
      </c>
      <c r="AB718" s="193"/>
      <c r="AC718" s="223" t="s">
        <v>675</v>
      </c>
      <c r="AD718" s="224"/>
      <c r="AE718" s="24" t="s">
        <v>2288</v>
      </c>
      <c r="AF718" s="171" t="s">
        <v>1249</v>
      </c>
      <c r="AG718" s="407"/>
      <c r="AH718" s="407"/>
      <c r="AI718" s="14"/>
      <c r="AJ718" s="168"/>
      <c r="AK718" s="168"/>
      <c r="AL718" s="168"/>
    </row>
    <row r="719" spans="1:38" ht="45" x14ac:dyDescent="0.35">
      <c r="A719" s="179"/>
      <c r="B719" s="292"/>
      <c r="C719" s="314"/>
      <c r="D719" s="293"/>
      <c r="E719" s="67"/>
      <c r="F719" s="194"/>
      <c r="G719" s="197"/>
      <c r="H719" s="195"/>
      <c r="I719" s="389"/>
      <c r="J719" s="390"/>
      <c r="K719" s="212"/>
      <c r="L719" s="213"/>
      <c r="M719" s="212"/>
      <c r="N719" s="408"/>
      <c r="O719" s="213"/>
      <c r="P719" s="395"/>
      <c r="Q719" s="397"/>
      <c r="R719" s="389"/>
      <c r="S719" s="390"/>
      <c r="T719" s="389"/>
      <c r="U719" s="390"/>
      <c r="V719" s="212"/>
      <c r="W719" s="213"/>
      <c r="X719" s="255"/>
      <c r="Y719" s="256"/>
      <c r="Z719" s="257"/>
      <c r="AA719" s="194"/>
      <c r="AB719" s="195"/>
      <c r="AC719" s="239" t="s">
        <v>2286</v>
      </c>
      <c r="AD719" s="240"/>
      <c r="AE719" s="31" t="s">
        <v>1356</v>
      </c>
      <c r="AF719" s="162"/>
      <c r="AG719" s="170"/>
      <c r="AH719" s="170"/>
      <c r="AI719" s="39"/>
      <c r="AJ719" s="203" t="s">
        <v>2261</v>
      </c>
      <c r="AK719" s="203"/>
      <c r="AL719" s="203"/>
    </row>
    <row r="720" spans="1:38" ht="60" x14ac:dyDescent="0.35">
      <c r="A720" s="179"/>
      <c r="B720" s="292"/>
      <c r="C720" s="314"/>
      <c r="D720" s="293"/>
      <c r="E720" s="66" t="s">
        <v>2291</v>
      </c>
      <c r="F720" s="192" t="s">
        <v>2292</v>
      </c>
      <c r="G720" s="196"/>
      <c r="H720" s="193"/>
      <c r="I720" s="387">
        <v>27</v>
      </c>
      <c r="J720" s="388"/>
      <c r="K720" s="171" t="s">
        <v>2293</v>
      </c>
      <c r="L720" s="172"/>
      <c r="M720" s="171" t="s">
        <v>2294</v>
      </c>
      <c r="N720" s="407"/>
      <c r="O720" s="172"/>
      <c r="P720" s="392" t="s">
        <v>2295</v>
      </c>
      <c r="Q720" s="394"/>
      <c r="R720" s="387">
        <v>35</v>
      </c>
      <c r="S720" s="388"/>
      <c r="T720" s="171" t="s">
        <v>1472</v>
      </c>
      <c r="U720" s="172"/>
      <c r="V720" s="171" t="s">
        <v>2296</v>
      </c>
      <c r="W720" s="172"/>
      <c r="X720" s="252">
        <v>388</v>
      </c>
      <c r="Y720" s="253"/>
      <c r="Z720" s="254"/>
      <c r="AA720" s="192" t="s">
        <v>688</v>
      </c>
      <c r="AB720" s="193"/>
      <c r="AC720" s="239" t="s">
        <v>2211</v>
      </c>
      <c r="AD720" s="240"/>
      <c r="AE720" s="31" t="s">
        <v>2289</v>
      </c>
      <c r="AF720" s="162"/>
      <c r="AG720" s="170"/>
      <c r="AH720" s="170"/>
      <c r="AI720" s="39"/>
      <c r="AJ720" s="203" t="s">
        <v>2290</v>
      </c>
      <c r="AK720" s="203"/>
      <c r="AL720" s="203"/>
    </row>
    <row r="721" spans="1:38" ht="15.5" x14ac:dyDescent="0.3">
      <c r="A721" s="230"/>
      <c r="B721" s="290"/>
      <c r="C721" s="345"/>
      <c r="D721" s="291"/>
      <c r="E721" s="67"/>
      <c r="F721" s="194"/>
      <c r="G721" s="197"/>
      <c r="H721" s="195"/>
      <c r="I721" s="389"/>
      <c r="J721" s="390"/>
      <c r="K721" s="212"/>
      <c r="L721" s="213"/>
      <c r="M721" s="212"/>
      <c r="N721" s="408"/>
      <c r="O721" s="213"/>
      <c r="P721" s="395"/>
      <c r="Q721" s="397"/>
      <c r="R721" s="389"/>
      <c r="S721" s="390"/>
      <c r="T721" s="212"/>
      <c r="U721" s="213"/>
      <c r="V721" s="212"/>
      <c r="W721" s="213"/>
      <c r="X721" s="255"/>
      <c r="Y721" s="256"/>
      <c r="Z721" s="257"/>
      <c r="AA721" s="194"/>
      <c r="AB721" s="195"/>
      <c r="AC721" s="225" t="s">
        <v>2287</v>
      </c>
      <c r="AD721" s="226"/>
      <c r="AE721" s="31"/>
      <c r="AF721" s="212"/>
      <c r="AG721" s="408"/>
      <c r="AH721" s="408"/>
      <c r="AI721" s="14"/>
      <c r="AJ721" s="168"/>
      <c r="AK721" s="168"/>
      <c r="AL721" s="168"/>
    </row>
    <row r="722" spans="1:38" ht="90" x14ac:dyDescent="0.3">
      <c r="A722" s="178"/>
      <c r="B722" s="303" t="s">
        <v>2297</v>
      </c>
      <c r="C722" s="344"/>
      <c r="D722" s="304"/>
      <c r="E722" s="19" t="s">
        <v>2298</v>
      </c>
      <c r="F722" s="346" t="s">
        <v>2299</v>
      </c>
      <c r="G722" s="347"/>
      <c r="H722" s="348"/>
      <c r="I722" s="337" t="s">
        <v>2300</v>
      </c>
      <c r="J722" s="338"/>
      <c r="K722" s="351" t="s">
        <v>2301</v>
      </c>
      <c r="L722" s="352"/>
      <c r="M722" s="349">
        <v>131</v>
      </c>
      <c r="N722" s="423"/>
      <c r="O722" s="350"/>
      <c r="P722" s="511" t="s">
        <v>2302</v>
      </c>
      <c r="Q722" s="513"/>
      <c r="R722" s="349">
        <v>23</v>
      </c>
      <c r="S722" s="350"/>
      <c r="T722" s="349">
        <v>15</v>
      </c>
      <c r="U722" s="350"/>
      <c r="V722" s="351" t="s">
        <v>2303</v>
      </c>
      <c r="W722" s="352"/>
      <c r="X722" s="334">
        <v>318</v>
      </c>
      <c r="Y722" s="335"/>
      <c r="Z722" s="336"/>
      <c r="AA722" s="337" t="s">
        <v>706</v>
      </c>
      <c r="AB722" s="338"/>
      <c r="AC722" s="171" t="s">
        <v>675</v>
      </c>
      <c r="AD722" s="172"/>
      <c r="AE722" s="24" t="s">
        <v>2306</v>
      </c>
      <c r="AF722" s="171" t="s">
        <v>1249</v>
      </c>
      <c r="AG722" s="407"/>
      <c r="AH722" s="407"/>
      <c r="AI722" s="14"/>
      <c r="AJ722" s="168"/>
      <c r="AK722" s="168"/>
      <c r="AL722" s="168"/>
    </row>
    <row r="723" spans="1:38" ht="45" x14ac:dyDescent="0.35">
      <c r="A723" s="179"/>
      <c r="B723" s="292"/>
      <c r="C723" s="314"/>
      <c r="D723" s="293"/>
      <c r="E723" s="66" t="s">
        <v>2308</v>
      </c>
      <c r="F723" s="192" t="s">
        <v>2309</v>
      </c>
      <c r="G723" s="196"/>
      <c r="H723" s="193"/>
      <c r="I723" s="387">
        <v>21</v>
      </c>
      <c r="J723" s="388"/>
      <c r="K723" s="171" t="s">
        <v>2310</v>
      </c>
      <c r="L723" s="172"/>
      <c r="M723" s="387">
        <v>152</v>
      </c>
      <c r="N723" s="495"/>
      <c r="O723" s="388"/>
      <c r="P723" s="392" t="s">
        <v>2311</v>
      </c>
      <c r="Q723" s="394"/>
      <c r="R723" s="387">
        <v>35</v>
      </c>
      <c r="S723" s="388"/>
      <c r="T723" s="387">
        <v>15</v>
      </c>
      <c r="U723" s="388"/>
      <c r="V723" s="171" t="s">
        <v>2312</v>
      </c>
      <c r="W723" s="172"/>
      <c r="X723" s="252">
        <v>388</v>
      </c>
      <c r="Y723" s="253"/>
      <c r="Z723" s="254"/>
      <c r="AA723" s="192" t="s">
        <v>706</v>
      </c>
      <c r="AB723" s="193"/>
      <c r="AC723" s="162" t="s">
        <v>2304</v>
      </c>
      <c r="AD723" s="163"/>
      <c r="AE723" s="31" t="s">
        <v>1356</v>
      </c>
      <c r="AF723" s="162"/>
      <c r="AG723" s="170"/>
      <c r="AH723" s="170"/>
      <c r="AI723" s="39"/>
      <c r="AJ723" s="122"/>
      <c r="AK723" s="122"/>
      <c r="AL723" s="122"/>
    </row>
    <row r="724" spans="1:38" ht="60" x14ac:dyDescent="0.3">
      <c r="A724" s="179"/>
      <c r="B724" s="292"/>
      <c r="C724" s="314"/>
      <c r="D724" s="293"/>
      <c r="E724" s="74"/>
      <c r="F724" s="272"/>
      <c r="G724" s="282"/>
      <c r="H724" s="273"/>
      <c r="I724" s="506"/>
      <c r="J724" s="507"/>
      <c r="K724" s="162"/>
      <c r="L724" s="163"/>
      <c r="M724" s="506"/>
      <c r="N724" s="602"/>
      <c r="O724" s="507"/>
      <c r="P724" s="582"/>
      <c r="Q724" s="584"/>
      <c r="R724" s="506"/>
      <c r="S724" s="507"/>
      <c r="T724" s="506"/>
      <c r="U724" s="507"/>
      <c r="V724" s="162"/>
      <c r="W724" s="163"/>
      <c r="X724" s="311"/>
      <c r="Y724" s="312"/>
      <c r="Z724" s="313"/>
      <c r="AA724" s="272"/>
      <c r="AB724" s="273"/>
      <c r="AC724" s="162" t="s">
        <v>2305</v>
      </c>
      <c r="AD724" s="163"/>
      <c r="AE724" s="31" t="s">
        <v>2307</v>
      </c>
      <c r="AF724" s="162"/>
      <c r="AG724" s="170"/>
      <c r="AH724" s="170"/>
      <c r="AI724" s="136"/>
      <c r="AJ724" s="203" t="s">
        <v>2313</v>
      </c>
      <c r="AK724" s="203"/>
      <c r="AL724" s="203"/>
    </row>
    <row r="725" spans="1:38" ht="15" x14ac:dyDescent="0.3">
      <c r="A725" s="179"/>
      <c r="B725" s="292"/>
      <c r="C725" s="314"/>
      <c r="D725" s="293"/>
      <c r="E725" s="74"/>
      <c r="F725" s="272"/>
      <c r="G725" s="282"/>
      <c r="H725" s="273"/>
      <c r="I725" s="506"/>
      <c r="J725" s="507"/>
      <c r="K725" s="162"/>
      <c r="L725" s="163"/>
      <c r="M725" s="506"/>
      <c r="N725" s="602"/>
      <c r="O725" s="507"/>
      <c r="P725" s="582"/>
      <c r="Q725" s="584"/>
      <c r="R725" s="506"/>
      <c r="S725" s="507"/>
      <c r="T725" s="506"/>
      <c r="U725" s="507"/>
      <c r="V725" s="162"/>
      <c r="W725" s="163"/>
      <c r="X725" s="311"/>
      <c r="Y725" s="312"/>
      <c r="Z725" s="313"/>
      <c r="AA725" s="272"/>
      <c r="AB725" s="273"/>
      <c r="AC725" s="162"/>
      <c r="AD725" s="163"/>
      <c r="AE725" s="31"/>
      <c r="AF725" s="162"/>
      <c r="AG725" s="170"/>
      <c r="AH725" s="170"/>
      <c r="AI725" s="136"/>
      <c r="AJ725" s="203" t="s">
        <v>2314</v>
      </c>
      <c r="AK725" s="203"/>
      <c r="AL725" s="203"/>
    </row>
    <row r="726" spans="1:38" ht="15.5" x14ac:dyDescent="0.35">
      <c r="A726" s="179"/>
      <c r="B726" s="292"/>
      <c r="C726" s="314"/>
      <c r="D726" s="293"/>
      <c r="E726" s="67"/>
      <c r="F726" s="194"/>
      <c r="G726" s="197"/>
      <c r="H726" s="195"/>
      <c r="I726" s="389"/>
      <c r="J726" s="390"/>
      <c r="K726" s="212"/>
      <c r="L726" s="213"/>
      <c r="M726" s="389"/>
      <c r="N726" s="496"/>
      <c r="O726" s="390"/>
      <c r="P726" s="395"/>
      <c r="Q726" s="397"/>
      <c r="R726" s="389"/>
      <c r="S726" s="390"/>
      <c r="T726" s="389"/>
      <c r="U726" s="390"/>
      <c r="V726" s="212"/>
      <c r="W726" s="213"/>
      <c r="X726" s="255"/>
      <c r="Y726" s="256"/>
      <c r="Z726" s="257"/>
      <c r="AA726" s="194"/>
      <c r="AB726" s="195"/>
      <c r="AC726" s="162"/>
      <c r="AD726" s="163"/>
      <c r="AE726" s="31"/>
      <c r="AF726" s="162"/>
      <c r="AG726" s="170"/>
      <c r="AH726" s="170"/>
      <c r="AI726" s="39"/>
      <c r="AJ726" s="122"/>
      <c r="AK726" s="122"/>
      <c r="AL726" s="122"/>
    </row>
    <row r="727" spans="1:38" ht="45" x14ac:dyDescent="0.3">
      <c r="A727" s="230"/>
      <c r="B727" s="290"/>
      <c r="C727" s="345"/>
      <c r="D727" s="291"/>
      <c r="E727" s="19" t="s">
        <v>2315</v>
      </c>
      <c r="F727" s="346" t="s">
        <v>2316</v>
      </c>
      <c r="G727" s="347"/>
      <c r="H727" s="348"/>
      <c r="I727" s="337" t="s">
        <v>2317</v>
      </c>
      <c r="J727" s="338"/>
      <c r="K727" s="351" t="s">
        <v>2318</v>
      </c>
      <c r="L727" s="352"/>
      <c r="M727" s="349">
        <v>175</v>
      </c>
      <c r="N727" s="423"/>
      <c r="O727" s="350"/>
      <c r="P727" s="511" t="s">
        <v>1837</v>
      </c>
      <c r="Q727" s="513"/>
      <c r="R727" s="349">
        <v>37</v>
      </c>
      <c r="S727" s="350"/>
      <c r="T727" s="349">
        <v>15</v>
      </c>
      <c r="U727" s="350"/>
      <c r="V727" s="351" t="s">
        <v>2319</v>
      </c>
      <c r="W727" s="352"/>
      <c r="X727" s="334">
        <v>458</v>
      </c>
      <c r="Y727" s="335"/>
      <c r="Z727" s="336"/>
      <c r="AA727" s="337" t="s">
        <v>889</v>
      </c>
      <c r="AB727" s="338"/>
      <c r="AC727" s="212"/>
      <c r="AD727" s="213"/>
      <c r="AE727" s="31"/>
      <c r="AF727" s="212"/>
      <c r="AG727" s="408"/>
      <c r="AH727" s="408"/>
      <c r="AI727" s="14"/>
      <c r="AJ727" s="168"/>
      <c r="AK727" s="168"/>
      <c r="AL727" s="168"/>
    </row>
    <row r="728" spans="1:38" ht="90" x14ac:dyDescent="0.3">
      <c r="A728" s="178"/>
      <c r="B728" s="303" t="s">
        <v>2320</v>
      </c>
      <c r="C728" s="344"/>
      <c r="D728" s="304"/>
      <c r="E728" s="68" t="s">
        <v>2321</v>
      </c>
      <c r="F728" s="192" t="s">
        <v>2322</v>
      </c>
      <c r="G728" s="196"/>
      <c r="H728" s="193"/>
      <c r="I728" s="673" t="s">
        <v>2323</v>
      </c>
      <c r="J728" s="674"/>
      <c r="K728" s="192" t="s">
        <v>2324</v>
      </c>
      <c r="L728" s="193"/>
      <c r="M728" s="677" t="s">
        <v>2325</v>
      </c>
      <c r="N728" s="678"/>
      <c r="O728" s="679"/>
      <c r="P728" s="171" t="s">
        <v>1090</v>
      </c>
      <c r="Q728" s="172"/>
      <c r="R728" s="387">
        <v>11</v>
      </c>
      <c r="S728" s="388"/>
      <c r="T728" s="387">
        <v>10</v>
      </c>
      <c r="U728" s="388"/>
      <c r="V728" s="171" t="s">
        <v>2326</v>
      </c>
      <c r="W728" s="172"/>
      <c r="X728" s="252">
        <v>128</v>
      </c>
      <c r="Y728" s="253"/>
      <c r="Z728" s="254"/>
      <c r="AA728" s="192" t="s">
        <v>844</v>
      </c>
      <c r="AB728" s="193"/>
      <c r="AC728" s="171" t="s">
        <v>675</v>
      </c>
      <c r="AD728" s="172"/>
      <c r="AE728" s="24" t="s">
        <v>2328</v>
      </c>
      <c r="AF728" s="171" t="s">
        <v>2330</v>
      </c>
      <c r="AG728" s="407"/>
      <c r="AH728" s="407"/>
      <c r="AI728" s="14"/>
      <c r="AJ728" s="168"/>
      <c r="AK728" s="168"/>
      <c r="AL728" s="168"/>
    </row>
    <row r="729" spans="1:38" ht="45" x14ac:dyDescent="0.35">
      <c r="A729" s="179"/>
      <c r="B729" s="292"/>
      <c r="C729" s="314"/>
      <c r="D729" s="293"/>
      <c r="E729" s="70"/>
      <c r="F729" s="194"/>
      <c r="G729" s="197"/>
      <c r="H729" s="195"/>
      <c r="I729" s="675"/>
      <c r="J729" s="676"/>
      <c r="K729" s="194"/>
      <c r="L729" s="195"/>
      <c r="M729" s="680"/>
      <c r="N729" s="681"/>
      <c r="O729" s="682"/>
      <c r="P729" s="212"/>
      <c r="Q729" s="213"/>
      <c r="R729" s="389"/>
      <c r="S729" s="390"/>
      <c r="T729" s="389"/>
      <c r="U729" s="390"/>
      <c r="V729" s="212"/>
      <c r="W729" s="213"/>
      <c r="X729" s="255"/>
      <c r="Y729" s="256"/>
      <c r="Z729" s="257"/>
      <c r="AA729" s="194"/>
      <c r="AB729" s="195"/>
      <c r="AC729" s="162" t="s">
        <v>2327</v>
      </c>
      <c r="AD729" s="163"/>
      <c r="AE729" s="31" t="s">
        <v>1356</v>
      </c>
      <c r="AF729" s="162"/>
      <c r="AG729" s="170"/>
      <c r="AH729" s="170"/>
      <c r="AI729" s="39"/>
      <c r="AJ729" s="203" t="s">
        <v>2261</v>
      </c>
      <c r="AK729" s="203"/>
      <c r="AL729" s="203"/>
    </row>
    <row r="730" spans="1:38" ht="60" x14ac:dyDescent="0.35">
      <c r="A730" s="179"/>
      <c r="B730" s="292"/>
      <c r="C730" s="314"/>
      <c r="D730" s="293"/>
      <c r="E730" s="68" t="s">
        <v>2331</v>
      </c>
      <c r="F730" s="192" t="s">
        <v>2322</v>
      </c>
      <c r="G730" s="196"/>
      <c r="H730" s="193"/>
      <c r="I730" s="673" t="s">
        <v>2323</v>
      </c>
      <c r="J730" s="674"/>
      <c r="K730" s="192" t="s">
        <v>2324</v>
      </c>
      <c r="L730" s="193"/>
      <c r="M730" s="677" t="s">
        <v>2332</v>
      </c>
      <c r="N730" s="678"/>
      <c r="O730" s="679"/>
      <c r="P730" s="171" t="s">
        <v>1090</v>
      </c>
      <c r="Q730" s="172"/>
      <c r="R730" s="387">
        <v>11</v>
      </c>
      <c r="S730" s="388"/>
      <c r="T730" s="387">
        <v>10</v>
      </c>
      <c r="U730" s="388"/>
      <c r="V730" s="171" t="s">
        <v>2333</v>
      </c>
      <c r="W730" s="172"/>
      <c r="X730" s="252">
        <v>128</v>
      </c>
      <c r="Y730" s="253"/>
      <c r="Z730" s="254"/>
      <c r="AA730" s="192" t="s">
        <v>844</v>
      </c>
      <c r="AB730" s="193"/>
      <c r="AC730" s="162"/>
      <c r="AD730" s="163"/>
      <c r="AE730" s="31" t="s">
        <v>2329</v>
      </c>
      <c r="AF730" s="162"/>
      <c r="AG730" s="170"/>
      <c r="AH730" s="170"/>
      <c r="AI730" s="39"/>
      <c r="AJ730" s="203" t="s">
        <v>2290</v>
      </c>
      <c r="AK730" s="203"/>
      <c r="AL730" s="203"/>
    </row>
    <row r="731" spans="1:38" ht="15.5" x14ac:dyDescent="0.3">
      <c r="A731" s="230"/>
      <c r="B731" s="290"/>
      <c r="C731" s="345"/>
      <c r="D731" s="291"/>
      <c r="E731" s="70"/>
      <c r="F731" s="194"/>
      <c r="G731" s="197"/>
      <c r="H731" s="195"/>
      <c r="I731" s="675"/>
      <c r="J731" s="676"/>
      <c r="K731" s="194"/>
      <c r="L731" s="195"/>
      <c r="M731" s="680"/>
      <c r="N731" s="681"/>
      <c r="O731" s="682"/>
      <c r="P731" s="212"/>
      <c r="Q731" s="213"/>
      <c r="R731" s="389"/>
      <c r="S731" s="390"/>
      <c r="T731" s="389"/>
      <c r="U731" s="390"/>
      <c r="V731" s="212"/>
      <c r="W731" s="213"/>
      <c r="X731" s="255"/>
      <c r="Y731" s="256"/>
      <c r="Z731" s="257"/>
      <c r="AA731" s="194"/>
      <c r="AB731" s="195"/>
      <c r="AC731" s="212"/>
      <c r="AD731" s="213"/>
      <c r="AE731" s="31"/>
      <c r="AF731" s="212"/>
      <c r="AG731" s="408"/>
      <c r="AH731" s="408"/>
      <c r="AI731" s="14"/>
      <c r="AJ731" s="168"/>
      <c r="AK731" s="168"/>
      <c r="AL731" s="168"/>
    </row>
    <row r="732" spans="1:38" ht="90" x14ac:dyDescent="0.3">
      <c r="A732" s="178"/>
      <c r="B732" s="303" t="s">
        <v>2334</v>
      </c>
      <c r="C732" s="344"/>
      <c r="D732" s="304"/>
      <c r="E732" s="19" t="s">
        <v>2335</v>
      </c>
      <c r="F732" s="346" t="s">
        <v>2336</v>
      </c>
      <c r="G732" s="347"/>
      <c r="H732" s="348"/>
      <c r="I732" s="337" t="s">
        <v>1342</v>
      </c>
      <c r="J732" s="338"/>
      <c r="K732" s="337" t="s">
        <v>2337</v>
      </c>
      <c r="L732" s="338"/>
      <c r="M732" s="351" t="s">
        <v>2338</v>
      </c>
      <c r="N732" s="444"/>
      <c r="O732" s="352"/>
      <c r="P732" s="349">
        <v>3</v>
      </c>
      <c r="Q732" s="350"/>
      <c r="R732" s="349">
        <v>7</v>
      </c>
      <c r="S732" s="350"/>
      <c r="T732" s="349">
        <v>4</v>
      </c>
      <c r="U732" s="350"/>
      <c r="V732" s="351" t="s">
        <v>913</v>
      </c>
      <c r="W732" s="352"/>
      <c r="X732" s="334">
        <v>79</v>
      </c>
      <c r="Y732" s="335"/>
      <c r="Z732" s="336"/>
      <c r="AA732" s="337" t="s">
        <v>1342</v>
      </c>
      <c r="AB732" s="338"/>
      <c r="AC732" s="171" t="s">
        <v>675</v>
      </c>
      <c r="AD732" s="172"/>
      <c r="AE732" s="24" t="s">
        <v>2341</v>
      </c>
      <c r="AF732" s="171" t="s">
        <v>1249</v>
      </c>
      <c r="AG732" s="407"/>
      <c r="AH732" s="407"/>
      <c r="AI732" s="47"/>
      <c r="AJ732" s="136"/>
      <c r="AK732" s="136"/>
      <c r="AL732" s="136"/>
    </row>
    <row r="733" spans="1:38" ht="45" x14ac:dyDescent="0.3">
      <c r="A733" s="179"/>
      <c r="B733" s="292"/>
      <c r="C733" s="314"/>
      <c r="D733" s="293"/>
      <c r="E733" s="77" t="s">
        <v>2343</v>
      </c>
      <c r="F733" s="192" t="s">
        <v>2336</v>
      </c>
      <c r="G733" s="196"/>
      <c r="H733" s="193"/>
      <c r="I733" s="192" t="s">
        <v>1342</v>
      </c>
      <c r="J733" s="193"/>
      <c r="K733" s="192" t="s">
        <v>2337</v>
      </c>
      <c r="L733" s="193"/>
      <c r="M733" s="171" t="s">
        <v>2338</v>
      </c>
      <c r="N733" s="407"/>
      <c r="O733" s="172"/>
      <c r="P733" s="387">
        <v>3</v>
      </c>
      <c r="Q733" s="388"/>
      <c r="R733" s="387">
        <v>7</v>
      </c>
      <c r="S733" s="388"/>
      <c r="T733" s="387">
        <v>4</v>
      </c>
      <c r="U733" s="388"/>
      <c r="V733" s="171" t="s">
        <v>913</v>
      </c>
      <c r="W733" s="172"/>
      <c r="X733" s="252">
        <v>79</v>
      </c>
      <c r="Y733" s="253"/>
      <c r="Z733" s="254"/>
      <c r="AA733" s="192" t="s">
        <v>1342</v>
      </c>
      <c r="AB733" s="193"/>
      <c r="AC733" s="162" t="s">
        <v>2339</v>
      </c>
      <c r="AD733" s="163"/>
      <c r="AE733" s="31" t="s">
        <v>1356</v>
      </c>
      <c r="AF733" s="162"/>
      <c r="AG733" s="170"/>
      <c r="AH733" s="170"/>
      <c r="AI733" s="47"/>
      <c r="AJ733" s="136"/>
      <c r="AK733" s="136"/>
      <c r="AL733" s="136"/>
    </row>
    <row r="734" spans="1:38" ht="75" x14ac:dyDescent="0.35">
      <c r="A734" s="179"/>
      <c r="B734" s="292"/>
      <c r="C734" s="314"/>
      <c r="D734" s="293"/>
      <c r="E734" s="78"/>
      <c r="F734" s="194"/>
      <c r="G734" s="197"/>
      <c r="H734" s="195"/>
      <c r="I734" s="194"/>
      <c r="J734" s="195"/>
      <c r="K734" s="194"/>
      <c r="L734" s="195"/>
      <c r="M734" s="212"/>
      <c r="N734" s="408"/>
      <c r="O734" s="213"/>
      <c r="P734" s="389"/>
      <c r="Q734" s="390"/>
      <c r="R734" s="389"/>
      <c r="S734" s="390"/>
      <c r="T734" s="389"/>
      <c r="U734" s="390"/>
      <c r="V734" s="212"/>
      <c r="W734" s="213"/>
      <c r="X734" s="255"/>
      <c r="Y734" s="256"/>
      <c r="Z734" s="257"/>
      <c r="AA734" s="194"/>
      <c r="AB734" s="195"/>
      <c r="AC734" s="162" t="s">
        <v>2340</v>
      </c>
      <c r="AD734" s="163"/>
      <c r="AE734" s="31" t="s">
        <v>2342</v>
      </c>
      <c r="AF734" s="162"/>
      <c r="AG734" s="170"/>
      <c r="AH734" s="170"/>
      <c r="AI734" s="39"/>
      <c r="AJ734" s="203" t="s">
        <v>2344</v>
      </c>
      <c r="AK734" s="203"/>
      <c r="AL734" s="203"/>
    </row>
    <row r="735" spans="1:38" ht="15.5" x14ac:dyDescent="0.35">
      <c r="A735" s="179"/>
      <c r="B735" s="292"/>
      <c r="C735" s="314"/>
      <c r="D735" s="293"/>
      <c r="E735" s="68" t="s">
        <v>2346</v>
      </c>
      <c r="F735" s="192" t="s">
        <v>2336</v>
      </c>
      <c r="G735" s="196"/>
      <c r="H735" s="193"/>
      <c r="I735" s="192" t="s">
        <v>1342</v>
      </c>
      <c r="J735" s="193"/>
      <c r="K735" s="192" t="s">
        <v>2337</v>
      </c>
      <c r="L735" s="193"/>
      <c r="M735" s="171" t="s">
        <v>2338</v>
      </c>
      <c r="N735" s="407"/>
      <c r="O735" s="172"/>
      <c r="P735" s="387">
        <v>3</v>
      </c>
      <c r="Q735" s="388"/>
      <c r="R735" s="387">
        <v>7</v>
      </c>
      <c r="S735" s="388"/>
      <c r="T735" s="387">
        <v>4</v>
      </c>
      <c r="U735" s="388"/>
      <c r="V735" s="171" t="s">
        <v>913</v>
      </c>
      <c r="W735" s="172"/>
      <c r="X735" s="252">
        <v>79</v>
      </c>
      <c r="Y735" s="253"/>
      <c r="Z735" s="254"/>
      <c r="AA735" s="192" t="s">
        <v>1342</v>
      </c>
      <c r="AB735" s="193"/>
      <c r="AC735" s="162"/>
      <c r="AD735" s="163"/>
      <c r="AE735" s="31"/>
      <c r="AF735" s="162"/>
      <c r="AG735" s="170"/>
      <c r="AH735" s="170"/>
      <c r="AI735" s="39"/>
      <c r="AJ735" s="203" t="s">
        <v>2345</v>
      </c>
      <c r="AK735" s="203"/>
      <c r="AL735" s="203"/>
    </row>
    <row r="736" spans="1:38" ht="15.5" x14ac:dyDescent="0.3">
      <c r="A736" s="179"/>
      <c r="B736" s="292"/>
      <c r="C736" s="314"/>
      <c r="D736" s="293"/>
      <c r="E736" s="70"/>
      <c r="F736" s="194"/>
      <c r="G736" s="197"/>
      <c r="H736" s="195"/>
      <c r="I736" s="194"/>
      <c r="J736" s="195"/>
      <c r="K736" s="194"/>
      <c r="L736" s="195"/>
      <c r="M736" s="212"/>
      <c r="N736" s="408"/>
      <c r="O736" s="213"/>
      <c r="P736" s="389"/>
      <c r="Q736" s="390"/>
      <c r="R736" s="389"/>
      <c r="S736" s="390"/>
      <c r="T736" s="389"/>
      <c r="U736" s="390"/>
      <c r="V736" s="212"/>
      <c r="W736" s="213"/>
      <c r="X736" s="255"/>
      <c r="Y736" s="256"/>
      <c r="Z736" s="257"/>
      <c r="AA736" s="194"/>
      <c r="AB736" s="195"/>
      <c r="AC736" s="162"/>
      <c r="AD736" s="163"/>
      <c r="AE736" s="31"/>
      <c r="AF736" s="162"/>
      <c r="AG736" s="170"/>
      <c r="AH736" s="170"/>
      <c r="AI736" s="47"/>
      <c r="AJ736" s="136"/>
      <c r="AK736" s="136"/>
      <c r="AL736" s="136"/>
    </row>
    <row r="737" spans="1:38" ht="60" x14ac:dyDescent="0.3">
      <c r="A737" s="230"/>
      <c r="B737" s="290"/>
      <c r="C737" s="345"/>
      <c r="D737" s="291"/>
      <c r="E737" s="19" t="s">
        <v>2347</v>
      </c>
      <c r="F737" s="346" t="s">
        <v>2336</v>
      </c>
      <c r="G737" s="347"/>
      <c r="H737" s="348"/>
      <c r="I737" s="337" t="s">
        <v>1342</v>
      </c>
      <c r="J737" s="338"/>
      <c r="K737" s="337" t="s">
        <v>2337</v>
      </c>
      <c r="L737" s="338"/>
      <c r="M737" s="351" t="s">
        <v>2338</v>
      </c>
      <c r="N737" s="444"/>
      <c r="O737" s="352"/>
      <c r="P737" s="349">
        <v>3</v>
      </c>
      <c r="Q737" s="350"/>
      <c r="R737" s="349">
        <v>7</v>
      </c>
      <c r="S737" s="350"/>
      <c r="T737" s="349">
        <v>4</v>
      </c>
      <c r="U737" s="350"/>
      <c r="V737" s="351" t="s">
        <v>913</v>
      </c>
      <c r="W737" s="352"/>
      <c r="X737" s="334">
        <v>79</v>
      </c>
      <c r="Y737" s="335"/>
      <c r="Z737" s="336"/>
      <c r="AA737" s="337" t="s">
        <v>1342</v>
      </c>
      <c r="AB737" s="338"/>
      <c r="AC737" s="212"/>
      <c r="AD737" s="213"/>
      <c r="AE737" s="31"/>
      <c r="AF737" s="212"/>
      <c r="AG737" s="408"/>
      <c r="AH737" s="408"/>
      <c r="AI737" s="47"/>
      <c r="AJ737" s="136"/>
      <c r="AK737" s="136"/>
      <c r="AL737" s="136"/>
    </row>
    <row r="738" spans="1:38" ht="90" x14ac:dyDescent="0.3">
      <c r="A738" s="178"/>
      <c r="B738" s="171" t="s">
        <v>2348</v>
      </c>
      <c r="C738" s="407"/>
      <c r="D738" s="172"/>
      <c r="E738" s="64" t="s">
        <v>2349</v>
      </c>
      <c r="F738" s="88" t="s">
        <v>2350</v>
      </c>
      <c r="G738" s="153"/>
      <c r="H738" s="89"/>
      <c r="I738" s="204">
        <v>14</v>
      </c>
      <c r="J738" s="205"/>
      <c r="K738" s="88" t="s">
        <v>2352</v>
      </c>
      <c r="L738" s="89"/>
      <c r="M738" s="204">
        <v>220</v>
      </c>
      <c r="N738" s="250"/>
      <c r="O738" s="205"/>
      <c r="P738" s="149"/>
      <c r="Q738" s="150"/>
      <c r="R738" s="204">
        <v>30</v>
      </c>
      <c r="S738" s="205"/>
      <c r="T738" s="149"/>
      <c r="U738" s="150"/>
      <c r="V738" s="88" t="s">
        <v>2353</v>
      </c>
      <c r="W738" s="89"/>
      <c r="X738" s="241">
        <v>330</v>
      </c>
      <c r="Y738" s="242"/>
      <c r="Z738" s="243"/>
      <c r="AA738" s="143" t="s">
        <v>1739</v>
      </c>
      <c r="AB738" s="145"/>
      <c r="AC738" s="88" t="s">
        <v>675</v>
      </c>
      <c r="AD738" s="89"/>
      <c r="AE738" s="24" t="s">
        <v>2356</v>
      </c>
      <c r="AF738" s="171" t="s">
        <v>2358</v>
      </c>
      <c r="AG738" s="407"/>
      <c r="AH738" s="407"/>
      <c r="AI738" s="136"/>
      <c r="AJ738" s="136"/>
      <c r="AK738" s="136"/>
      <c r="AL738" s="136"/>
    </row>
    <row r="739" spans="1:38" ht="45" x14ac:dyDescent="0.3">
      <c r="A739" s="179"/>
      <c r="B739" s="162"/>
      <c r="C739" s="170"/>
      <c r="D739" s="163"/>
      <c r="E739" s="65"/>
      <c r="F739" s="117" t="s">
        <v>2351</v>
      </c>
      <c r="G739" s="154"/>
      <c r="H739" s="118"/>
      <c r="I739" s="206"/>
      <c r="J739" s="207"/>
      <c r="K739" s="117"/>
      <c r="L739" s="118"/>
      <c r="M739" s="206"/>
      <c r="N739" s="251"/>
      <c r="O739" s="207"/>
      <c r="P739" s="151"/>
      <c r="Q739" s="152"/>
      <c r="R739" s="206"/>
      <c r="S739" s="207"/>
      <c r="T739" s="151"/>
      <c r="U739" s="152"/>
      <c r="V739" s="117"/>
      <c r="W739" s="118"/>
      <c r="X739" s="244"/>
      <c r="Y739" s="245"/>
      <c r="Z739" s="246"/>
      <c r="AA739" s="146"/>
      <c r="AB739" s="148"/>
      <c r="AC739" s="126" t="s">
        <v>2354</v>
      </c>
      <c r="AD739" s="127"/>
      <c r="AE739" s="31" t="s">
        <v>1356</v>
      </c>
      <c r="AF739" s="162"/>
      <c r="AG739" s="170"/>
      <c r="AH739" s="170"/>
      <c r="AI739" s="136"/>
      <c r="AJ739" s="136"/>
      <c r="AK739" s="136"/>
      <c r="AL739" s="136"/>
    </row>
    <row r="740" spans="1:38" ht="60" x14ac:dyDescent="0.3">
      <c r="A740" s="179"/>
      <c r="B740" s="162"/>
      <c r="C740" s="170"/>
      <c r="D740" s="163"/>
      <c r="E740" s="64" t="s">
        <v>2359</v>
      </c>
      <c r="F740" s="88" t="s">
        <v>2350</v>
      </c>
      <c r="G740" s="153"/>
      <c r="H740" s="89"/>
      <c r="I740" s="204">
        <v>14</v>
      </c>
      <c r="J740" s="205"/>
      <c r="K740" s="88" t="s">
        <v>2352</v>
      </c>
      <c r="L740" s="89"/>
      <c r="M740" s="204">
        <v>220</v>
      </c>
      <c r="N740" s="250"/>
      <c r="O740" s="205"/>
      <c r="P740" s="149"/>
      <c r="Q740" s="150"/>
      <c r="R740" s="204">
        <v>30</v>
      </c>
      <c r="S740" s="205"/>
      <c r="T740" s="149"/>
      <c r="U740" s="150"/>
      <c r="V740" s="88" t="s">
        <v>2353</v>
      </c>
      <c r="W740" s="89"/>
      <c r="X740" s="241">
        <v>330</v>
      </c>
      <c r="Y740" s="242"/>
      <c r="Z740" s="243"/>
      <c r="AA740" s="143" t="s">
        <v>1739</v>
      </c>
      <c r="AB740" s="145"/>
      <c r="AC740" s="126" t="s">
        <v>2355</v>
      </c>
      <c r="AD740" s="127"/>
      <c r="AE740" s="31" t="s">
        <v>2357</v>
      </c>
      <c r="AF740" s="162"/>
      <c r="AG740" s="170"/>
      <c r="AH740" s="170"/>
      <c r="AI740" s="136"/>
      <c r="AJ740" s="136"/>
      <c r="AK740" s="136"/>
      <c r="AL740" s="136"/>
    </row>
    <row r="741" spans="1:38" ht="15" x14ac:dyDescent="0.3">
      <c r="A741" s="179"/>
      <c r="B741" s="162"/>
      <c r="C741" s="170"/>
      <c r="D741" s="163"/>
      <c r="E741" s="65"/>
      <c r="F741" s="117" t="s">
        <v>2351</v>
      </c>
      <c r="G741" s="154"/>
      <c r="H741" s="118"/>
      <c r="I741" s="206"/>
      <c r="J741" s="207"/>
      <c r="K741" s="117"/>
      <c r="L741" s="118"/>
      <c r="M741" s="206"/>
      <c r="N741" s="251"/>
      <c r="O741" s="207"/>
      <c r="P741" s="151"/>
      <c r="Q741" s="152"/>
      <c r="R741" s="206"/>
      <c r="S741" s="207"/>
      <c r="T741" s="151"/>
      <c r="U741" s="152"/>
      <c r="V741" s="117"/>
      <c r="W741" s="118"/>
      <c r="X741" s="244"/>
      <c r="Y741" s="245"/>
      <c r="Z741" s="246"/>
      <c r="AA741" s="146"/>
      <c r="AB741" s="148"/>
      <c r="AC741" s="126"/>
      <c r="AD741" s="127"/>
      <c r="AE741" s="31"/>
      <c r="AF741" s="162"/>
      <c r="AG741" s="170"/>
      <c r="AH741" s="170"/>
      <c r="AI741" s="136"/>
      <c r="AJ741" s="136"/>
      <c r="AK741" s="136"/>
      <c r="AL741" s="136"/>
    </row>
    <row r="742" spans="1:38" ht="15" x14ac:dyDescent="0.3">
      <c r="A742" s="179"/>
      <c r="B742" s="162"/>
      <c r="C742" s="170"/>
      <c r="D742" s="163"/>
      <c r="E742" s="64" t="s">
        <v>2360</v>
      </c>
      <c r="F742" s="88" t="s">
        <v>2361</v>
      </c>
      <c r="G742" s="153"/>
      <c r="H742" s="89"/>
      <c r="I742" s="143" t="s">
        <v>2362</v>
      </c>
      <c r="J742" s="145"/>
      <c r="K742" s="88" t="s">
        <v>2363</v>
      </c>
      <c r="L742" s="89"/>
      <c r="M742" s="204">
        <v>260</v>
      </c>
      <c r="N742" s="250"/>
      <c r="O742" s="205"/>
      <c r="P742" s="149"/>
      <c r="Q742" s="150"/>
      <c r="R742" s="204">
        <v>35</v>
      </c>
      <c r="S742" s="205"/>
      <c r="T742" s="149"/>
      <c r="U742" s="150"/>
      <c r="V742" s="88" t="s">
        <v>1615</v>
      </c>
      <c r="W742" s="89"/>
      <c r="X742" s="241">
        <v>368</v>
      </c>
      <c r="Y742" s="242"/>
      <c r="Z742" s="243"/>
      <c r="AA742" s="143" t="s">
        <v>1742</v>
      </c>
      <c r="AB742" s="145"/>
      <c r="AC742" s="126"/>
      <c r="AD742" s="127"/>
      <c r="AE742" s="31"/>
      <c r="AF742" s="162"/>
      <c r="AG742" s="170"/>
      <c r="AH742" s="170"/>
      <c r="AI742" s="136"/>
      <c r="AJ742" s="136"/>
      <c r="AK742" s="136"/>
      <c r="AL742" s="136"/>
    </row>
    <row r="743" spans="1:38" ht="15" x14ac:dyDescent="0.3">
      <c r="A743" s="179"/>
      <c r="B743" s="162"/>
      <c r="C743" s="170"/>
      <c r="D743" s="163"/>
      <c r="E743" s="65"/>
      <c r="F743" s="117" t="s">
        <v>2351</v>
      </c>
      <c r="G743" s="154"/>
      <c r="H743" s="118"/>
      <c r="I743" s="146"/>
      <c r="J743" s="148"/>
      <c r="K743" s="117"/>
      <c r="L743" s="118"/>
      <c r="M743" s="206"/>
      <c r="N743" s="251"/>
      <c r="O743" s="207"/>
      <c r="P743" s="151"/>
      <c r="Q743" s="152"/>
      <c r="R743" s="206"/>
      <c r="S743" s="207"/>
      <c r="T743" s="151"/>
      <c r="U743" s="152"/>
      <c r="V743" s="117"/>
      <c r="W743" s="118"/>
      <c r="X743" s="244"/>
      <c r="Y743" s="245"/>
      <c r="Z743" s="246"/>
      <c r="AA743" s="146"/>
      <c r="AB743" s="148"/>
      <c r="AC743" s="126"/>
      <c r="AD743" s="127"/>
      <c r="AE743" s="31"/>
      <c r="AF743" s="162"/>
      <c r="AG743" s="170"/>
      <c r="AH743" s="170"/>
      <c r="AI743" s="136"/>
      <c r="AJ743" s="136"/>
      <c r="AK743" s="136"/>
      <c r="AL743" s="136"/>
    </row>
    <row r="744" spans="1:38" ht="15.5" x14ac:dyDescent="0.35">
      <c r="A744" s="179"/>
      <c r="B744" s="162"/>
      <c r="C744" s="170"/>
      <c r="D744" s="163"/>
      <c r="E744" s="68" t="s">
        <v>2364</v>
      </c>
      <c r="F744" s="88" t="s">
        <v>2361</v>
      </c>
      <c r="G744" s="153"/>
      <c r="H744" s="89"/>
      <c r="I744" s="192" t="s">
        <v>2362</v>
      </c>
      <c r="J744" s="193"/>
      <c r="K744" s="171" t="s">
        <v>2363</v>
      </c>
      <c r="L744" s="172"/>
      <c r="M744" s="387">
        <v>260</v>
      </c>
      <c r="N744" s="495"/>
      <c r="O744" s="388"/>
      <c r="P744" s="149"/>
      <c r="Q744" s="150"/>
      <c r="R744" s="387">
        <v>35</v>
      </c>
      <c r="S744" s="388"/>
      <c r="T744" s="149"/>
      <c r="U744" s="150"/>
      <c r="V744" s="171" t="s">
        <v>1615</v>
      </c>
      <c r="W744" s="172"/>
      <c r="X744" s="252">
        <v>368</v>
      </c>
      <c r="Y744" s="253"/>
      <c r="Z744" s="254"/>
      <c r="AA744" s="192" t="s">
        <v>1742</v>
      </c>
      <c r="AB744" s="193"/>
      <c r="AC744" s="126"/>
      <c r="AD744" s="127"/>
      <c r="AE744" s="31"/>
      <c r="AF744" s="162"/>
      <c r="AG744" s="170"/>
      <c r="AH744" s="170"/>
      <c r="AI744" s="39"/>
      <c r="AJ744" s="203" t="s">
        <v>809</v>
      </c>
      <c r="AK744" s="203"/>
      <c r="AL744" s="203"/>
    </row>
    <row r="745" spans="1:38" ht="15.5" x14ac:dyDescent="0.35">
      <c r="A745" s="179"/>
      <c r="B745" s="162"/>
      <c r="C745" s="170"/>
      <c r="D745" s="163"/>
      <c r="E745" s="70"/>
      <c r="F745" s="117" t="s">
        <v>2351</v>
      </c>
      <c r="G745" s="154"/>
      <c r="H745" s="118"/>
      <c r="I745" s="194"/>
      <c r="J745" s="195"/>
      <c r="K745" s="212"/>
      <c r="L745" s="213"/>
      <c r="M745" s="389"/>
      <c r="N745" s="496"/>
      <c r="O745" s="390"/>
      <c r="P745" s="151"/>
      <c r="Q745" s="152"/>
      <c r="R745" s="389"/>
      <c r="S745" s="390"/>
      <c r="T745" s="151"/>
      <c r="U745" s="152"/>
      <c r="V745" s="212"/>
      <c r="W745" s="213"/>
      <c r="X745" s="255"/>
      <c r="Y745" s="256"/>
      <c r="Z745" s="257"/>
      <c r="AA745" s="194"/>
      <c r="AB745" s="195"/>
      <c r="AC745" s="126"/>
      <c r="AD745" s="127"/>
      <c r="AE745" s="31"/>
      <c r="AF745" s="162"/>
      <c r="AG745" s="170"/>
      <c r="AH745" s="170"/>
      <c r="AI745" s="39"/>
      <c r="AJ745" s="122"/>
      <c r="AK745" s="122"/>
      <c r="AL745" s="122"/>
    </row>
    <row r="746" spans="1:38" ht="15" x14ac:dyDescent="0.3">
      <c r="A746" s="179"/>
      <c r="B746" s="162"/>
      <c r="C746" s="170"/>
      <c r="D746" s="163"/>
      <c r="E746" s="66" t="s">
        <v>2365</v>
      </c>
      <c r="F746" s="88" t="s">
        <v>2366</v>
      </c>
      <c r="G746" s="153"/>
      <c r="H746" s="89"/>
      <c r="I746" s="387">
        <v>21</v>
      </c>
      <c r="J746" s="388"/>
      <c r="K746" s="171" t="s">
        <v>2367</v>
      </c>
      <c r="L746" s="172"/>
      <c r="M746" s="387">
        <v>300</v>
      </c>
      <c r="N746" s="495"/>
      <c r="O746" s="388"/>
      <c r="P746" s="149"/>
      <c r="Q746" s="150"/>
      <c r="R746" s="387">
        <v>38</v>
      </c>
      <c r="S746" s="388"/>
      <c r="T746" s="149"/>
      <c r="U746" s="150"/>
      <c r="V746" s="171" t="s">
        <v>1716</v>
      </c>
      <c r="W746" s="172"/>
      <c r="X746" s="252">
        <v>438</v>
      </c>
      <c r="Y746" s="253"/>
      <c r="Z746" s="254"/>
      <c r="AA746" s="192" t="s">
        <v>1045</v>
      </c>
      <c r="AB746" s="193"/>
      <c r="AC746" s="126"/>
      <c r="AD746" s="127"/>
      <c r="AE746" s="31"/>
      <c r="AF746" s="162"/>
      <c r="AG746" s="170"/>
      <c r="AH746" s="170"/>
      <c r="AI746" s="136"/>
      <c r="AJ746" s="136"/>
      <c r="AK746" s="136"/>
      <c r="AL746" s="136"/>
    </row>
    <row r="747" spans="1:38" ht="15" x14ac:dyDescent="0.3">
      <c r="A747" s="179"/>
      <c r="B747" s="162"/>
      <c r="C747" s="170"/>
      <c r="D747" s="163"/>
      <c r="E747" s="67"/>
      <c r="F747" s="117" t="s">
        <v>2351</v>
      </c>
      <c r="G747" s="154"/>
      <c r="H747" s="118"/>
      <c r="I747" s="389"/>
      <c r="J747" s="390"/>
      <c r="K747" s="212"/>
      <c r="L747" s="213"/>
      <c r="M747" s="389"/>
      <c r="N747" s="496"/>
      <c r="O747" s="390"/>
      <c r="P747" s="151"/>
      <c r="Q747" s="152"/>
      <c r="R747" s="389"/>
      <c r="S747" s="390"/>
      <c r="T747" s="151"/>
      <c r="U747" s="152"/>
      <c r="V747" s="212"/>
      <c r="W747" s="213"/>
      <c r="X747" s="255"/>
      <c r="Y747" s="256"/>
      <c r="Z747" s="257"/>
      <c r="AA747" s="194"/>
      <c r="AB747" s="195"/>
      <c r="AC747" s="126"/>
      <c r="AD747" s="127"/>
      <c r="AE747" s="31"/>
      <c r="AF747" s="162"/>
      <c r="AG747" s="170"/>
      <c r="AH747" s="170"/>
      <c r="AI747" s="136"/>
      <c r="AJ747" s="136"/>
      <c r="AK747" s="136"/>
      <c r="AL747" s="136"/>
    </row>
    <row r="748" spans="1:38" ht="15" x14ac:dyDescent="0.3">
      <c r="A748" s="179"/>
      <c r="B748" s="162"/>
      <c r="C748" s="170"/>
      <c r="D748" s="163"/>
      <c r="E748" s="64" t="s">
        <v>2368</v>
      </c>
      <c r="F748" s="88" t="s">
        <v>2366</v>
      </c>
      <c r="G748" s="153"/>
      <c r="H748" s="89"/>
      <c r="I748" s="204">
        <v>21</v>
      </c>
      <c r="J748" s="205"/>
      <c r="K748" s="88" t="s">
        <v>2367</v>
      </c>
      <c r="L748" s="89"/>
      <c r="M748" s="204">
        <v>300</v>
      </c>
      <c r="N748" s="250"/>
      <c r="O748" s="205"/>
      <c r="P748" s="149"/>
      <c r="Q748" s="150"/>
      <c r="R748" s="204">
        <v>38</v>
      </c>
      <c r="S748" s="205"/>
      <c r="T748" s="149"/>
      <c r="U748" s="150"/>
      <c r="V748" s="88" t="s">
        <v>1716</v>
      </c>
      <c r="W748" s="89"/>
      <c r="X748" s="241">
        <v>438</v>
      </c>
      <c r="Y748" s="242"/>
      <c r="Z748" s="243"/>
      <c r="AA748" s="143" t="s">
        <v>1045</v>
      </c>
      <c r="AB748" s="145"/>
      <c r="AC748" s="126"/>
      <c r="AD748" s="127"/>
      <c r="AE748" s="31"/>
      <c r="AF748" s="162"/>
      <c r="AG748" s="170"/>
      <c r="AH748" s="170"/>
      <c r="AI748" s="136"/>
      <c r="AJ748" s="136"/>
      <c r="AK748" s="136"/>
      <c r="AL748" s="136"/>
    </row>
    <row r="749" spans="1:38" ht="15" x14ac:dyDescent="0.3">
      <c r="A749" s="230"/>
      <c r="B749" s="212"/>
      <c r="C749" s="408"/>
      <c r="D749" s="213"/>
      <c r="E749" s="65"/>
      <c r="F749" s="117" t="s">
        <v>2351</v>
      </c>
      <c r="G749" s="154"/>
      <c r="H749" s="118"/>
      <c r="I749" s="206"/>
      <c r="J749" s="207"/>
      <c r="K749" s="117"/>
      <c r="L749" s="118"/>
      <c r="M749" s="206"/>
      <c r="N749" s="251"/>
      <c r="O749" s="207"/>
      <c r="P749" s="151"/>
      <c r="Q749" s="152"/>
      <c r="R749" s="206"/>
      <c r="S749" s="207"/>
      <c r="T749" s="151"/>
      <c r="U749" s="152"/>
      <c r="V749" s="117"/>
      <c r="W749" s="118"/>
      <c r="X749" s="244"/>
      <c r="Y749" s="245"/>
      <c r="Z749" s="246"/>
      <c r="AA749" s="146"/>
      <c r="AB749" s="148"/>
      <c r="AC749" s="117"/>
      <c r="AD749" s="118"/>
      <c r="AE749" s="31"/>
      <c r="AF749" s="212"/>
      <c r="AG749" s="408"/>
      <c r="AH749" s="408"/>
      <c r="AI749" s="136"/>
      <c r="AJ749" s="136"/>
      <c r="AK749" s="136"/>
      <c r="AL749" s="136"/>
    </row>
    <row r="750" spans="1:38" ht="90" x14ac:dyDescent="0.3">
      <c r="A750" s="178"/>
      <c r="B750" s="303" t="s">
        <v>2369</v>
      </c>
      <c r="C750" s="344"/>
      <c r="D750" s="304"/>
      <c r="E750" s="19" t="s">
        <v>2370</v>
      </c>
      <c r="F750" s="351" t="s">
        <v>2371</v>
      </c>
      <c r="G750" s="444"/>
      <c r="H750" s="352"/>
      <c r="I750" s="337" t="s">
        <v>842</v>
      </c>
      <c r="J750" s="338"/>
      <c r="K750" s="337" t="s">
        <v>2372</v>
      </c>
      <c r="L750" s="338"/>
      <c r="M750" s="349">
        <v>21</v>
      </c>
      <c r="N750" s="423"/>
      <c r="O750" s="350"/>
      <c r="P750" s="349">
        <v>2</v>
      </c>
      <c r="Q750" s="350"/>
      <c r="R750" s="351" t="s">
        <v>1140</v>
      </c>
      <c r="S750" s="352"/>
      <c r="T750" s="349">
        <v>4</v>
      </c>
      <c r="U750" s="350"/>
      <c r="V750" s="351" t="s">
        <v>2373</v>
      </c>
      <c r="W750" s="352"/>
      <c r="X750" s="334">
        <v>46</v>
      </c>
      <c r="Y750" s="335"/>
      <c r="Z750" s="336"/>
      <c r="AA750" s="337" t="s">
        <v>1338</v>
      </c>
      <c r="AB750" s="338"/>
      <c r="AC750" s="171" t="s">
        <v>675</v>
      </c>
      <c r="AD750" s="172"/>
      <c r="AE750" s="24" t="s">
        <v>2376</v>
      </c>
      <c r="AF750" s="171" t="s">
        <v>1249</v>
      </c>
      <c r="AG750" s="407"/>
      <c r="AH750" s="407"/>
      <c r="AI750" s="14"/>
      <c r="AJ750" s="168"/>
      <c r="AK750" s="168"/>
      <c r="AL750" s="168"/>
    </row>
    <row r="751" spans="1:38" ht="45" x14ac:dyDescent="0.35">
      <c r="A751" s="179"/>
      <c r="B751" s="292"/>
      <c r="C751" s="314"/>
      <c r="D751" s="293"/>
      <c r="E751" s="68" t="s">
        <v>2378</v>
      </c>
      <c r="F751" s="171" t="s">
        <v>2371</v>
      </c>
      <c r="G751" s="407"/>
      <c r="H751" s="172"/>
      <c r="I751" s="192" t="s">
        <v>842</v>
      </c>
      <c r="J751" s="193"/>
      <c r="K751" s="192" t="s">
        <v>2372</v>
      </c>
      <c r="L751" s="193"/>
      <c r="M751" s="387">
        <v>21</v>
      </c>
      <c r="N751" s="495"/>
      <c r="O751" s="388"/>
      <c r="P751" s="387">
        <v>2</v>
      </c>
      <c r="Q751" s="388"/>
      <c r="R751" s="171" t="s">
        <v>1140</v>
      </c>
      <c r="S751" s="172"/>
      <c r="T751" s="387">
        <v>4</v>
      </c>
      <c r="U751" s="388"/>
      <c r="V751" s="171" t="s">
        <v>2373</v>
      </c>
      <c r="W751" s="172"/>
      <c r="X751" s="252">
        <v>46</v>
      </c>
      <c r="Y751" s="253"/>
      <c r="Z751" s="254"/>
      <c r="AA751" s="192" t="s">
        <v>1338</v>
      </c>
      <c r="AB751" s="193"/>
      <c r="AC751" s="162" t="s">
        <v>2374</v>
      </c>
      <c r="AD751" s="163"/>
      <c r="AE751" s="31" t="s">
        <v>1356</v>
      </c>
      <c r="AF751" s="162"/>
      <c r="AG751" s="170"/>
      <c r="AH751" s="170"/>
      <c r="AI751" s="39"/>
      <c r="AJ751" s="122"/>
      <c r="AK751" s="122"/>
      <c r="AL751" s="122"/>
    </row>
    <row r="752" spans="1:38" ht="60" x14ac:dyDescent="0.3">
      <c r="A752" s="179"/>
      <c r="B752" s="292"/>
      <c r="C752" s="314"/>
      <c r="D752" s="293"/>
      <c r="E752" s="69"/>
      <c r="F752" s="162"/>
      <c r="G752" s="170"/>
      <c r="H752" s="163"/>
      <c r="I752" s="272"/>
      <c r="J752" s="273"/>
      <c r="K752" s="272"/>
      <c r="L752" s="273"/>
      <c r="M752" s="506"/>
      <c r="N752" s="602"/>
      <c r="O752" s="507"/>
      <c r="P752" s="506"/>
      <c r="Q752" s="507"/>
      <c r="R752" s="162"/>
      <c r="S752" s="163"/>
      <c r="T752" s="506"/>
      <c r="U752" s="507"/>
      <c r="V752" s="162"/>
      <c r="W752" s="163"/>
      <c r="X752" s="311"/>
      <c r="Y752" s="312"/>
      <c r="Z752" s="313"/>
      <c r="AA752" s="272"/>
      <c r="AB752" s="273"/>
      <c r="AC752" s="162" t="s">
        <v>2375</v>
      </c>
      <c r="AD752" s="163"/>
      <c r="AE752" s="31" t="s">
        <v>2377</v>
      </c>
      <c r="AF752" s="162"/>
      <c r="AG752" s="170"/>
      <c r="AH752" s="170"/>
      <c r="AI752" s="136"/>
      <c r="AJ752" s="203" t="s">
        <v>2379</v>
      </c>
      <c r="AK752" s="203"/>
      <c r="AL752" s="203"/>
    </row>
    <row r="753" spans="1:38" ht="15" x14ac:dyDescent="0.3">
      <c r="A753" s="179"/>
      <c r="B753" s="292"/>
      <c r="C753" s="314"/>
      <c r="D753" s="293"/>
      <c r="E753" s="69"/>
      <c r="F753" s="162"/>
      <c r="G753" s="170"/>
      <c r="H753" s="163"/>
      <c r="I753" s="272"/>
      <c r="J753" s="273"/>
      <c r="K753" s="272"/>
      <c r="L753" s="273"/>
      <c r="M753" s="506"/>
      <c r="N753" s="602"/>
      <c r="O753" s="507"/>
      <c r="P753" s="506"/>
      <c r="Q753" s="507"/>
      <c r="R753" s="162"/>
      <c r="S753" s="163"/>
      <c r="T753" s="506"/>
      <c r="U753" s="507"/>
      <c r="V753" s="162"/>
      <c r="W753" s="163"/>
      <c r="X753" s="311"/>
      <c r="Y753" s="312"/>
      <c r="Z753" s="313"/>
      <c r="AA753" s="272"/>
      <c r="AB753" s="273"/>
      <c r="AC753" s="162"/>
      <c r="AD753" s="163"/>
      <c r="AE753" s="31"/>
      <c r="AF753" s="162"/>
      <c r="AG753" s="170"/>
      <c r="AH753" s="170"/>
      <c r="AI753" s="136"/>
      <c r="AJ753" s="203" t="s">
        <v>2380</v>
      </c>
      <c r="AK753" s="203"/>
      <c r="AL753" s="203"/>
    </row>
    <row r="754" spans="1:38" ht="15.5" x14ac:dyDescent="0.35">
      <c r="A754" s="179"/>
      <c r="B754" s="292"/>
      <c r="C754" s="314"/>
      <c r="D754" s="293"/>
      <c r="E754" s="70"/>
      <c r="F754" s="212"/>
      <c r="G754" s="408"/>
      <c r="H754" s="213"/>
      <c r="I754" s="194"/>
      <c r="J754" s="195"/>
      <c r="K754" s="194"/>
      <c r="L754" s="195"/>
      <c r="M754" s="389"/>
      <c r="N754" s="496"/>
      <c r="O754" s="390"/>
      <c r="P754" s="389"/>
      <c r="Q754" s="390"/>
      <c r="R754" s="212"/>
      <c r="S754" s="213"/>
      <c r="T754" s="389"/>
      <c r="U754" s="390"/>
      <c r="V754" s="212"/>
      <c r="W754" s="213"/>
      <c r="X754" s="255"/>
      <c r="Y754" s="256"/>
      <c r="Z754" s="257"/>
      <c r="AA754" s="194"/>
      <c r="AB754" s="195"/>
      <c r="AC754" s="162"/>
      <c r="AD754" s="163"/>
      <c r="AE754" s="31"/>
      <c r="AF754" s="162"/>
      <c r="AG754" s="170"/>
      <c r="AH754" s="170"/>
      <c r="AI754" s="39"/>
      <c r="AJ754" s="122"/>
      <c r="AK754" s="122"/>
      <c r="AL754" s="122"/>
    </row>
    <row r="755" spans="1:38" ht="75" x14ac:dyDescent="0.3">
      <c r="A755" s="230"/>
      <c r="B755" s="290"/>
      <c r="C755" s="345"/>
      <c r="D755" s="291"/>
      <c r="E755" s="19" t="s">
        <v>2381</v>
      </c>
      <c r="F755" s="351" t="s">
        <v>2371</v>
      </c>
      <c r="G755" s="444"/>
      <c r="H755" s="352"/>
      <c r="I755" s="337" t="s">
        <v>842</v>
      </c>
      <c r="J755" s="338"/>
      <c r="K755" s="337" t="s">
        <v>2372</v>
      </c>
      <c r="L755" s="338"/>
      <c r="M755" s="349">
        <v>21</v>
      </c>
      <c r="N755" s="423"/>
      <c r="O755" s="350"/>
      <c r="P755" s="349">
        <v>2</v>
      </c>
      <c r="Q755" s="350"/>
      <c r="R755" s="351" t="s">
        <v>1140</v>
      </c>
      <c r="S755" s="352"/>
      <c r="T755" s="349">
        <v>4</v>
      </c>
      <c r="U755" s="350"/>
      <c r="V755" s="351" t="s">
        <v>2373</v>
      </c>
      <c r="W755" s="352"/>
      <c r="X755" s="334">
        <v>46</v>
      </c>
      <c r="Y755" s="335"/>
      <c r="Z755" s="336"/>
      <c r="AA755" s="337" t="s">
        <v>1338</v>
      </c>
      <c r="AB755" s="338"/>
      <c r="AC755" s="212"/>
      <c r="AD755" s="213"/>
      <c r="AE755" s="31"/>
      <c r="AF755" s="212"/>
      <c r="AG755" s="408"/>
      <c r="AH755" s="408"/>
      <c r="AI755" s="14"/>
      <c r="AJ755" s="168"/>
      <c r="AK755" s="168"/>
      <c r="AL755" s="168"/>
    </row>
    <row r="756" spans="1:38" ht="90" x14ac:dyDescent="0.3">
      <c r="A756" s="178"/>
      <c r="B756" s="303" t="s">
        <v>2382</v>
      </c>
      <c r="C756" s="344"/>
      <c r="D756" s="304"/>
      <c r="E756" s="19" t="s">
        <v>2383</v>
      </c>
      <c r="F756" s="351" t="s">
        <v>2371</v>
      </c>
      <c r="G756" s="444"/>
      <c r="H756" s="352"/>
      <c r="I756" s="337" t="s">
        <v>1023</v>
      </c>
      <c r="J756" s="338"/>
      <c r="K756" s="337" t="s">
        <v>2372</v>
      </c>
      <c r="L756" s="338"/>
      <c r="M756" s="351" t="s">
        <v>2384</v>
      </c>
      <c r="N756" s="444"/>
      <c r="O756" s="352"/>
      <c r="P756" s="349">
        <v>2</v>
      </c>
      <c r="Q756" s="350"/>
      <c r="R756" s="351" t="s">
        <v>1140</v>
      </c>
      <c r="S756" s="352"/>
      <c r="T756" s="349">
        <v>4</v>
      </c>
      <c r="U756" s="350"/>
      <c r="V756" s="351" t="s">
        <v>2385</v>
      </c>
      <c r="W756" s="352"/>
      <c r="X756" s="334">
        <v>46</v>
      </c>
      <c r="Y756" s="335"/>
      <c r="Z756" s="336"/>
      <c r="AA756" s="337" t="s">
        <v>1342</v>
      </c>
      <c r="AB756" s="338"/>
      <c r="AC756" s="171" t="s">
        <v>675</v>
      </c>
      <c r="AD756" s="172"/>
      <c r="AE756" s="24" t="s">
        <v>2388</v>
      </c>
      <c r="AF756" s="171" t="s">
        <v>2330</v>
      </c>
      <c r="AG756" s="407"/>
      <c r="AH756" s="407"/>
      <c r="AI756" s="14"/>
      <c r="AJ756" s="168"/>
      <c r="AK756" s="168"/>
      <c r="AL756" s="168"/>
    </row>
    <row r="757" spans="1:38" ht="45" x14ac:dyDescent="0.35">
      <c r="A757" s="179"/>
      <c r="B757" s="292"/>
      <c r="C757" s="314"/>
      <c r="D757" s="293"/>
      <c r="E757" s="68" t="s">
        <v>2390</v>
      </c>
      <c r="F757" s="171" t="s">
        <v>2371</v>
      </c>
      <c r="G757" s="407"/>
      <c r="H757" s="172"/>
      <c r="I757" s="192" t="s">
        <v>1023</v>
      </c>
      <c r="J757" s="193"/>
      <c r="K757" s="192" t="s">
        <v>2372</v>
      </c>
      <c r="L757" s="193"/>
      <c r="M757" s="171" t="s">
        <v>2384</v>
      </c>
      <c r="N757" s="407"/>
      <c r="O757" s="172"/>
      <c r="P757" s="387">
        <v>2</v>
      </c>
      <c r="Q757" s="388"/>
      <c r="R757" s="171" t="s">
        <v>1140</v>
      </c>
      <c r="S757" s="172"/>
      <c r="T757" s="387">
        <v>4</v>
      </c>
      <c r="U757" s="388"/>
      <c r="V757" s="171" t="s">
        <v>2385</v>
      </c>
      <c r="W757" s="172"/>
      <c r="X757" s="252">
        <v>46</v>
      </c>
      <c r="Y757" s="253"/>
      <c r="Z757" s="254"/>
      <c r="AA757" s="192" t="s">
        <v>1342</v>
      </c>
      <c r="AB757" s="193"/>
      <c r="AC757" s="162" t="s">
        <v>2386</v>
      </c>
      <c r="AD757" s="163"/>
      <c r="AE757" s="31" t="s">
        <v>1356</v>
      </c>
      <c r="AF757" s="162"/>
      <c r="AG757" s="170"/>
      <c r="AH757" s="170"/>
      <c r="AI757" s="39"/>
      <c r="AJ757" s="122"/>
      <c r="AK757" s="122"/>
      <c r="AL757" s="122"/>
    </row>
    <row r="758" spans="1:38" ht="60" x14ac:dyDescent="0.3">
      <c r="A758" s="179"/>
      <c r="B758" s="292"/>
      <c r="C758" s="314"/>
      <c r="D758" s="293"/>
      <c r="E758" s="69"/>
      <c r="F758" s="162"/>
      <c r="G758" s="170"/>
      <c r="H758" s="163"/>
      <c r="I758" s="272"/>
      <c r="J758" s="273"/>
      <c r="K758" s="272"/>
      <c r="L758" s="273"/>
      <c r="M758" s="162"/>
      <c r="N758" s="170"/>
      <c r="O758" s="163"/>
      <c r="P758" s="506"/>
      <c r="Q758" s="507"/>
      <c r="R758" s="162"/>
      <c r="S758" s="163"/>
      <c r="T758" s="506"/>
      <c r="U758" s="507"/>
      <c r="V758" s="162"/>
      <c r="W758" s="163"/>
      <c r="X758" s="311"/>
      <c r="Y758" s="312"/>
      <c r="Z758" s="313"/>
      <c r="AA758" s="272"/>
      <c r="AB758" s="273"/>
      <c r="AC758" s="162" t="s">
        <v>2387</v>
      </c>
      <c r="AD758" s="163"/>
      <c r="AE758" s="31" t="s">
        <v>2389</v>
      </c>
      <c r="AF758" s="162"/>
      <c r="AG758" s="170"/>
      <c r="AH758" s="170"/>
      <c r="AI758" s="136"/>
      <c r="AJ758" s="203" t="s">
        <v>2379</v>
      </c>
      <c r="AK758" s="203"/>
      <c r="AL758" s="203"/>
    </row>
    <row r="759" spans="1:38" ht="15" x14ac:dyDescent="0.3">
      <c r="A759" s="179"/>
      <c r="B759" s="292"/>
      <c r="C759" s="314"/>
      <c r="D759" s="293"/>
      <c r="E759" s="69"/>
      <c r="F759" s="162"/>
      <c r="G759" s="170"/>
      <c r="H759" s="163"/>
      <c r="I759" s="272"/>
      <c r="J759" s="273"/>
      <c r="K759" s="272"/>
      <c r="L759" s="273"/>
      <c r="M759" s="162"/>
      <c r="N759" s="170"/>
      <c r="O759" s="163"/>
      <c r="P759" s="506"/>
      <c r="Q759" s="507"/>
      <c r="R759" s="162"/>
      <c r="S759" s="163"/>
      <c r="T759" s="506"/>
      <c r="U759" s="507"/>
      <c r="V759" s="162"/>
      <c r="W759" s="163"/>
      <c r="X759" s="311"/>
      <c r="Y759" s="312"/>
      <c r="Z759" s="313"/>
      <c r="AA759" s="272"/>
      <c r="AB759" s="273"/>
      <c r="AC759" s="162"/>
      <c r="AD759" s="163"/>
      <c r="AE759" s="31"/>
      <c r="AF759" s="162"/>
      <c r="AG759" s="170"/>
      <c r="AH759" s="170"/>
      <c r="AI759" s="136"/>
      <c r="AJ759" s="203" t="s">
        <v>2380</v>
      </c>
      <c r="AK759" s="203"/>
      <c r="AL759" s="203"/>
    </row>
    <row r="760" spans="1:38" ht="15.5" x14ac:dyDescent="0.35">
      <c r="A760" s="179"/>
      <c r="B760" s="292"/>
      <c r="C760" s="314"/>
      <c r="D760" s="293"/>
      <c r="E760" s="70"/>
      <c r="F760" s="212"/>
      <c r="G760" s="408"/>
      <c r="H760" s="213"/>
      <c r="I760" s="194"/>
      <c r="J760" s="195"/>
      <c r="K760" s="194"/>
      <c r="L760" s="195"/>
      <c r="M760" s="212"/>
      <c r="N760" s="408"/>
      <c r="O760" s="213"/>
      <c r="P760" s="389"/>
      <c r="Q760" s="390"/>
      <c r="R760" s="212"/>
      <c r="S760" s="213"/>
      <c r="T760" s="389"/>
      <c r="U760" s="390"/>
      <c r="V760" s="212"/>
      <c r="W760" s="213"/>
      <c r="X760" s="255"/>
      <c r="Y760" s="256"/>
      <c r="Z760" s="257"/>
      <c r="AA760" s="194"/>
      <c r="AB760" s="195"/>
      <c r="AC760" s="162"/>
      <c r="AD760" s="163"/>
      <c r="AE760" s="31"/>
      <c r="AF760" s="162"/>
      <c r="AG760" s="170"/>
      <c r="AH760" s="170"/>
      <c r="AI760" s="39"/>
      <c r="AJ760" s="122"/>
      <c r="AK760" s="122"/>
      <c r="AL760" s="122"/>
    </row>
    <row r="761" spans="1:38" ht="75" x14ac:dyDescent="0.3">
      <c r="A761" s="230"/>
      <c r="B761" s="290"/>
      <c r="C761" s="345"/>
      <c r="D761" s="291"/>
      <c r="E761" s="19" t="s">
        <v>2391</v>
      </c>
      <c r="F761" s="351" t="s">
        <v>2371</v>
      </c>
      <c r="G761" s="444"/>
      <c r="H761" s="352"/>
      <c r="I761" s="337" t="s">
        <v>1023</v>
      </c>
      <c r="J761" s="338"/>
      <c r="K761" s="337" t="s">
        <v>2372</v>
      </c>
      <c r="L761" s="338"/>
      <c r="M761" s="351" t="s">
        <v>2384</v>
      </c>
      <c r="N761" s="444"/>
      <c r="O761" s="352"/>
      <c r="P761" s="349">
        <v>2</v>
      </c>
      <c r="Q761" s="350"/>
      <c r="R761" s="351" t="s">
        <v>1140</v>
      </c>
      <c r="S761" s="352"/>
      <c r="T761" s="349">
        <v>4</v>
      </c>
      <c r="U761" s="350"/>
      <c r="V761" s="351" t="s">
        <v>2385</v>
      </c>
      <c r="W761" s="352"/>
      <c r="X761" s="334">
        <v>46</v>
      </c>
      <c r="Y761" s="335"/>
      <c r="Z761" s="336"/>
      <c r="AA761" s="337" t="s">
        <v>1342</v>
      </c>
      <c r="AB761" s="338"/>
      <c r="AC761" s="212"/>
      <c r="AD761" s="213"/>
      <c r="AE761" s="31"/>
      <c r="AF761" s="212"/>
      <c r="AG761" s="408"/>
      <c r="AH761" s="408"/>
      <c r="AI761" s="14"/>
      <c r="AJ761" s="168"/>
      <c r="AK761" s="168"/>
      <c r="AL761" s="168"/>
    </row>
    <row r="762" spans="1:38" ht="90" x14ac:dyDescent="0.3">
      <c r="A762" s="178"/>
      <c r="B762" s="303" t="s">
        <v>2392</v>
      </c>
      <c r="C762" s="344"/>
      <c r="D762" s="304"/>
      <c r="E762" s="66" t="s">
        <v>2393</v>
      </c>
      <c r="F762" s="192" t="s">
        <v>2394</v>
      </c>
      <c r="G762" s="196"/>
      <c r="H762" s="193"/>
      <c r="I762" s="192" t="s">
        <v>2395</v>
      </c>
      <c r="J762" s="193"/>
      <c r="K762" s="192" t="s">
        <v>2396</v>
      </c>
      <c r="L762" s="193"/>
      <c r="M762" s="171" t="s">
        <v>2397</v>
      </c>
      <c r="N762" s="407"/>
      <c r="O762" s="172"/>
      <c r="P762" s="387">
        <v>6</v>
      </c>
      <c r="Q762" s="388"/>
      <c r="R762" s="387">
        <v>16</v>
      </c>
      <c r="S762" s="495">
        <v>8</v>
      </c>
      <c r="T762" s="495"/>
      <c r="U762" s="388"/>
      <c r="V762" s="171" t="s">
        <v>2398</v>
      </c>
      <c r="W762" s="653">
        <v>169</v>
      </c>
      <c r="X762" s="653"/>
      <c r="Y762" s="653"/>
      <c r="Z762" s="654"/>
      <c r="AA762" s="192" t="s">
        <v>1364</v>
      </c>
      <c r="AB762" s="193"/>
      <c r="AC762" s="171" t="s">
        <v>675</v>
      </c>
      <c r="AD762" s="172"/>
      <c r="AE762" s="24" t="s">
        <v>2400</v>
      </c>
      <c r="AF762" s="171" t="s">
        <v>1323</v>
      </c>
      <c r="AG762" s="407"/>
      <c r="AH762" s="172"/>
      <c r="AI762" s="24" t="s">
        <v>2402</v>
      </c>
      <c r="AJ762" s="167"/>
      <c r="AK762" s="168"/>
      <c r="AL762" s="15"/>
    </row>
    <row r="763" spans="1:38" ht="45" x14ac:dyDescent="0.3">
      <c r="A763" s="179"/>
      <c r="B763" s="292"/>
      <c r="C763" s="314"/>
      <c r="D763" s="293"/>
      <c r="E763" s="67"/>
      <c r="F763" s="194"/>
      <c r="G763" s="197"/>
      <c r="H763" s="195"/>
      <c r="I763" s="194"/>
      <c r="J763" s="195"/>
      <c r="K763" s="194"/>
      <c r="L763" s="195"/>
      <c r="M763" s="212"/>
      <c r="N763" s="408"/>
      <c r="O763" s="213"/>
      <c r="P763" s="389"/>
      <c r="Q763" s="390"/>
      <c r="R763" s="389"/>
      <c r="S763" s="496"/>
      <c r="T763" s="496"/>
      <c r="U763" s="390"/>
      <c r="V763" s="212"/>
      <c r="W763" s="655"/>
      <c r="X763" s="655"/>
      <c r="Y763" s="655"/>
      <c r="Z763" s="656"/>
      <c r="AA763" s="194"/>
      <c r="AB763" s="195"/>
      <c r="AC763" s="162" t="s">
        <v>2399</v>
      </c>
      <c r="AD763" s="163"/>
      <c r="AE763" s="31" t="s">
        <v>848</v>
      </c>
      <c r="AF763" s="162"/>
      <c r="AG763" s="170"/>
      <c r="AH763" s="163"/>
      <c r="AI763" s="31" t="s">
        <v>681</v>
      </c>
      <c r="AJ763" s="167"/>
      <c r="AK763" s="168"/>
      <c r="AL763" s="15"/>
    </row>
    <row r="764" spans="1:38" ht="75" x14ac:dyDescent="0.3">
      <c r="A764" s="179"/>
      <c r="B764" s="292"/>
      <c r="C764" s="314"/>
      <c r="D764" s="293"/>
      <c r="E764" s="71" t="s">
        <v>2404</v>
      </c>
      <c r="F764" s="233" t="s">
        <v>2394</v>
      </c>
      <c r="G764" s="305"/>
      <c r="H764" s="234"/>
      <c r="I764" s="233" t="s">
        <v>2395</v>
      </c>
      <c r="J764" s="234"/>
      <c r="K764" s="233" t="s">
        <v>2396</v>
      </c>
      <c r="L764" s="234"/>
      <c r="M764" s="303" t="s">
        <v>2397</v>
      </c>
      <c r="N764" s="344"/>
      <c r="O764" s="304"/>
      <c r="P764" s="328">
        <v>6</v>
      </c>
      <c r="Q764" s="329"/>
      <c r="R764" s="630">
        <v>16</v>
      </c>
      <c r="S764" s="600">
        <v>8</v>
      </c>
      <c r="T764" s="600"/>
      <c r="U764" s="329"/>
      <c r="V764" s="303" t="s">
        <v>2398</v>
      </c>
      <c r="W764" s="639">
        <v>169</v>
      </c>
      <c r="X764" s="639"/>
      <c r="Y764" s="639"/>
      <c r="Z764" s="640"/>
      <c r="AA764" s="233" t="s">
        <v>1364</v>
      </c>
      <c r="AB764" s="234"/>
      <c r="AC764" s="162"/>
      <c r="AD764" s="163"/>
      <c r="AE764" s="31" t="s">
        <v>1356</v>
      </c>
      <c r="AF764" s="162"/>
      <c r="AG764" s="170"/>
      <c r="AH764" s="163"/>
      <c r="AI764" s="31" t="s">
        <v>2403</v>
      </c>
      <c r="AJ764" s="126" t="s">
        <v>1783</v>
      </c>
      <c r="AK764" s="203"/>
      <c r="AL764" s="15"/>
    </row>
    <row r="765" spans="1:38" ht="60" x14ac:dyDescent="0.3">
      <c r="A765" s="230"/>
      <c r="B765" s="290"/>
      <c r="C765" s="345"/>
      <c r="D765" s="291"/>
      <c r="E765" s="73"/>
      <c r="F765" s="237"/>
      <c r="G765" s="306"/>
      <c r="H765" s="238"/>
      <c r="I765" s="237"/>
      <c r="J765" s="238"/>
      <c r="K765" s="237"/>
      <c r="L765" s="238"/>
      <c r="M765" s="290"/>
      <c r="N765" s="345"/>
      <c r="O765" s="291"/>
      <c r="P765" s="519"/>
      <c r="Q765" s="520"/>
      <c r="R765" s="632"/>
      <c r="S765" s="601"/>
      <c r="T765" s="601"/>
      <c r="U765" s="520"/>
      <c r="V765" s="290"/>
      <c r="W765" s="643"/>
      <c r="X765" s="643"/>
      <c r="Y765" s="643"/>
      <c r="Z765" s="644"/>
      <c r="AA765" s="237"/>
      <c r="AB765" s="238"/>
      <c r="AC765" s="212"/>
      <c r="AD765" s="213"/>
      <c r="AE765" s="31" t="s">
        <v>2401</v>
      </c>
      <c r="AF765" s="212"/>
      <c r="AG765" s="408"/>
      <c r="AH765" s="213"/>
      <c r="AI765" s="31"/>
      <c r="AJ765" s="167"/>
      <c r="AK765" s="168"/>
      <c r="AL765" s="15"/>
    </row>
    <row r="766" spans="1:38" ht="90" x14ac:dyDescent="0.25">
      <c r="A766" s="178"/>
      <c r="B766" s="303" t="s">
        <v>2405</v>
      </c>
      <c r="C766" s="344"/>
      <c r="D766" s="304"/>
      <c r="E766" s="19" t="s">
        <v>2407</v>
      </c>
      <c r="F766" s="337" t="s">
        <v>2408</v>
      </c>
      <c r="G766" s="516"/>
      <c r="H766" s="338"/>
      <c r="I766" s="337" t="s">
        <v>1222</v>
      </c>
      <c r="J766" s="338"/>
      <c r="K766" s="337" t="s">
        <v>2409</v>
      </c>
      <c r="L766" s="338"/>
      <c r="M766" s="349">
        <v>40</v>
      </c>
      <c r="N766" s="423"/>
      <c r="O766" s="350"/>
      <c r="P766" s="349">
        <v>3</v>
      </c>
      <c r="Q766" s="350"/>
      <c r="R766" s="21">
        <v>7</v>
      </c>
      <c r="S766" s="423">
        <v>5</v>
      </c>
      <c r="T766" s="423"/>
      <c r="U766" s="350"/>
      <c r="V766" s="22" t="s">
        <v>2410</v>
      </c>
      <c r="W766" s="335">
        <v>99</v>
      </c>
      <c r="X766" s="335"/>
      <c r="Y766" s="335"/>
      <c r="Z766" s="336"/>
      <c r="AA766" s="337" t="s">
        <v>722</v>
      </c>
      <c r="AB766" s="338"/>
      <c r="AC766" s="171" t="s">
        <v>675</v>
      </c>
      <c r="AD766" s="172"/>
      <c r="AE766" s="24" t="s">
        <v>2412</v>
      </c>
      <c r="AF766" s="171" t="s">
        <v>2414</v>
      </c>
      <c r="AG766" s="407"/>
      <c r="AH766" s="172"/>
      <c r="AI766" s="164"/>
      <c r="AJ766" s="136"/>
      <c r="AK766" s="136"/>
      <c r="AL766" s="15"/>
    </row>
    <row r="767" spans="1:38" ht="15.5" x14ac:dyDescent="0.25">
      <c r="A767" s="179"/>
      <c r="B767" s="292" t="s">
        <v>2406</v>
      </c>
      <c r="C767" s="314"/>
      <c r="D767" s="293"/>
      <c r="E767" s="75" t="s">
        <v>2415</v>
      </c>
      <c r="F767" s="192" t="s">
        <v>2408</v>
      </c>
      <c r="G767" s="196"/>
      <c r="H767" s="193"/>
      <c r="I767" s="192" t="s">
        <v>1222</v>
      </c>
      <c r="J767" s="193"/>
      <c r="K767" s="192" t="s">
        <v>2409</v>
      </c>
      <c r="L767" s="193"/>
      <c r="M767" s="387">
        <v>40</v>
      </c>
      <c r="N767" s="495"/>
      <c r="O767" s="388"/>
      <c r="P767" s="387">
        <v>3</v>
      </c>
      <c r="Q767" s="388"/>
      <c r="R767" s="671">
        <v>7</v>
      </c>
      <c r="S767" s="495">
        <v>5</v>
      </c>
      <c r="T767" s="495"/>
      <c r="U767" s="388"/>
      <c r="V767" s="171" t="s">
        <v>2410</v>
      </c>
      <c r="W767" s="253">
        <v>99</v>
      </c>
      <c r="X767" s="253"/>
      <c r="Y767" s="253"/>
      <c r="Z767" s="254"/>
      <c r="AA767" s="192" t="s">
        <v>722</v>
      </c>
      <c r="AB767" s="193"/>
      <c r="AC767" s="162" t="s">
        <v>2411</v>
      </c>
      <c r="AD767" s="163"/>
      <c r="AE767" s="31" t="s">
        <v>848</v>
      </c>
      <c r="AF767" s="162"/>
      <c r="AG767" s="170"/>
      <c r="AH767" s="163"/>
      <c r="AI767" s="167"/>
      <c r="AJ767" s="136"/>
      <c r="AK767" s="136"/>
      <c r="AL767" s="15"/>
    </row>
    <row r="768" spans="1:38" ht="45" x14ac:dyDescent="0.25">
      <c r="A768" s="179"/>
      <c r="B768" s="292"/>
      <c r="C768" s="314"/>
      <c r="D768" s="293"/>
      <c r="E768" s="76"/>
      <c r="F768" s="194"/>
      <c r="G768" s="197"/>
      <c r="H768" s="195"/>
      <c r="I768" s="194"/>
      <c r="J768" s="195"/>
      <c r="K768" s="194"/>
      <c r="L768" s="195"/>
      <c r="M768" s="389"/>
      <c r="N768" s="496"/>
      <c r="O768" s="390"/>
      <c r="P768" s="389"/>
      <c r="Q768" s="390"/>
      <c r="R768" s="672"/>
      <c r="S768" s="496"/>
      <c r="T768" s="496"/>
      <c r="U768" s="390"/>
      <c r="V768" s="212"/>
      <c r="W768" s="256"/>
      <c r="X768" s="256"/>
      <c r="Y768" s="256"/>
      <c r="Z768" s="257"/>
      <c r="AA768" s="194"/>
      <c r="AB768" s="195"/>
      <c r="AC768" s="162"/>
      <c r="AD768" s="163"/>
      <c r="AE768" s="31" t="s">
        <v>1356</v>
      </c>
      <c r="AF768" s="162"/>
      <c r="AG768" s="170"/>
      <c r="AH768" s="163"/>
      <c r="AI768" s="167"/>
      <c r="AJ768" s="203" t="s">
        <v>2261</v>
      </c>
      <c r="AK768" s="203"/>
      <c r="AL768" s="15"/>
    </row>
    <row r="769" spans="1:38" ht="60" x14ac:dyDescent="0.25">
      <c r="A769" s="179"/>
      <c r="B769" s="292"/>
      <c r="C769" s="314"/>
      <c r="D769" s="293"/>
      <c r="E769" s="75" t="s">
        <v>2416</v>
      </c>
      <c r="F769" s="192" t="s">
        <v>2408</v>
      </c>
      <c r="G769" s="196"/>
      <c r="H769" s="193"/>
      <c r="I769" s="192" t="s">
        <v>1222</v>
      </c>
      <c r="J769" s="193"/>
      <c r="K769" s="192" t="s">
        <v>2409</v>
      </c>
      <c r="L769" s="193"/>
      <c r="M769" s="387">
        <v>40</v>
      </c>
      <c r="N769" s="495"/>
      <c r="O769" s="388"/>
      <c r="P769" s="387">
        <v>3</v>
      </c>
      <c r="Q769" s="388"/>
      <c r="R769" s="671">
        <v>7</v>
      </c>
      <c r="S769" s="495">
        <v>5</v>
      </c>
      <c r="T769" s="495"/>
      <c r="U769" s="388"/>
      <c r="V769" s="171" t="s">
        <v>2410</v>
      </c>
      <c r="W769" s="253">
        <v>99</v>
      </c>
      <c r="X769" s="253"/>
      <c r="Y769" s="253"/>
      <c r="Z769" s="254"/>
      <c r="AA769" s="192" t="s">
        <v>722</v>
      </c>
      <c r="AB769" s="193"/>
      <c r="AC769" s="162"/>
      <c r="AD769" s="163"/>
      <c r="AE769" s="31" t="s">
        <v>2413</v>
      </c>
      <c r="AF769" s="162"/>
      <c r="AG769" s="170"/>
      <c r="AH769" s="163"/>
      <c r="AI769" s="167"/>
      <c r="AJ769" s="203" t="s">
        <v>2290</v>
      </c>
      <c r="AK769" s="203"/>
      <c r="AL769" s="15"/>
    </row>
    <row r="770" spans="1:38" ht="15.5" x14ac:dyDescent="0.25">
      <c r="A770" s="179"/>
      <c r="B770" s="292"/>
      <c r="C770" s="314"/>
      <c r="D770" s="293"/>
      <c r="E770" s="76"/>
      <c r="F770" s="194"/>
      <c r="G770" s="197"/>
      <c r="H770" s="195"/>
      <c r="I770" s="194"/>
      <c r="J770" s="195"/>
      <c r="K770" s="194"/>
      <c r="L770" s="195"/>
      <c r="M770" s="389"/>
      <c r="N770" s="496"/>
      <c r="O770" s="390"/>
      <c r="P770" s="389"/>
      <c r="Q770" s="390"/>
      <c r="R770" s="672"/>
      <c r="S770" s="496"/>
      <c r="T770" s="496"/>
      <c r="U770" s="390"/>
      <c r="V770" s="212"/>
      <c r="W770" s="256"/>
      <c r="X770" s="256"/>
      <c r="Y770" s="256"/>
      <c r="Z770" s="257"/>
      <c r="AA770" s="194"/>
      <c r="AB770" s="195"/>
      <c r="AC770" s="162"/>
      <c r="AD770" s="163"/>
      <c r="AE770" s="31"/>
      <c r="AF770" s="162"/>
      <c r="AG770" s="170"/>
      <c r="AH770" s="163"/>
      <c r="AI770" s="167"/>
      <c r="AJ770" s="136"/>
      <c r="AK770" s="136"/>
      <c r="AL770" s="15"/>
    </row>
    <row r="771" spans="1:38" ht="90" x14ac:dyDescent="0.25">
      <c r="A771" s="230"/>
      <c r="B771" s="290"/>
      <c r="C771" s="345"/>
      <c r="D771" s="291"/>
      <c r="E771" s="19" t="s">
        <v>2417</v>
      </c>
      <c r="F771" s="337" t="s">
        <v>2408</v>
      </c>
      <c r="G771" s="516"/>
      <c r="H771" s="338"/>
      <c r="I771" s="337" t="s">
        <v>1222</v>
      </c>
      <c r="J771" s="338"/>
      <c r="K771" s="337" t="s">
        <v>2409</v>
      </c>
      <c r="L771" s="338"/>
      <c r="M771" s="349">
        <v>40</v>
      </c>
      <c r="N771" s="423"/>
      <c r="O771" s="350"/>
      <c r="P771" s="349">
        <v>3</v>
      </c>
      <c r="Q771" s="350"/>
      <c r="R771" s="21">
        <v>7</v>
      </c>
      <c r="S771" s="423">
        <v>5</v>
      </c>
      <c r="T771" s="423"/>
      <c r="U771" s="350"/>
      <c r="V771" s="22" t="s">
        <v>2410</v>
      </c>
      <c r="W771" s="335">
        <v>99</v>
      </c>
      <c r="X771" s="335"/>
      <c r="Y771" s="335"/>
      <c r="Z771" s="336"/>
      <c r="AA771" s="337" t="s">
        <v>722</v>
      </c>
      <c r="AB771" s="338"/>
      <c r="AC771" s="212"/>
      <c r="AD771" s="213"/>
      <c r="AE771" s="31"/>
      <c r="AF771" s="212"/>
      <c r="AG771" s="408"/>
      <c r="AH771" s="213"/>
      <c r="AI771" s="214"/>
      <c r="AJ771" s="136"/>
      <c r="AK771" s="136"/>
      <c r="AL771" s="15"/>
    </row>
    <row r="772" spans="1:38" ht="90" x14ac:dyDescent="0.3">
      <c r="A772" s="178"/>
      <c r="B772" s="303" t="s">
        <v>2418</v>
      </c>
      <c r="C772" s="344"/>
      <c r="D772" s="304"/>
      <c r="E772" s="19" t="s">
        <v>2419</v>
      </c>
      <c r="F772" s="337" t="s">
        <v>2420</v>
      </c>
      <c r="G772" s="516"/>
      <c r="H772" s="338"/>
      <c r="I772" s="337" t="s">
        <v>1416</v>
      </c>
      <c r="J772" s="338"/>
      <c r="K772" s="337" t="s">
        <v>2421</v>
      </c>
      <c r="L772" s="338"/>
      <c r="M772" s="349">
        <v>10</v>
      </c>
      <c r="N772" s="423"/>
      <c r="O772" s="350"/>
      <c r="P772" s="349">
        <v>0</v>
      </c>
      <c r="Q772" s="350"/>
      <c r="R772" s="21">
        <v>3</v>
      </c>
      <c r="S772" s="423">
        <v>0</v>
      </c>
      <c r="T772" s="423"/>
      <c r="U772" s="350"/>
      <c r="V772" s="22" t="s">
        <v>2422</v>
      </c>
      <c r="W772" s="661" t="s">
        <v>1418</v>
      </c>
      <c r="X772" s="661"/>
      <c r="Y772" s="661"/>
      <c r="Z772" s="662"/>
      <c r="AA772" s="337" t="s">
        <v>758</v>
      </c>
      <c r="AB772" s="338"/>
      <c r="AC772" s="171" t="s">
        <v>675</v>
      </c>
      <c r="AD772" s="172"/>
      <c r="AE772" s="24" t="s">
        <v>2424</v>
      </c>
      <c r="AF772" s="171" t="s">
        <v>1999</v>
      </c>
      <c r="AG772" s="407"/>
      <c r="AH772" s="172"/>
      <c r="AI772" s="24" t="s">
        <v>2426</v>
      </c>
      <c r="AJ772" s="167"/>
      <c r="AK772" s="168"/>
      <c r="AL772" s="15"/>
    </row>
    <row r="773" spans="1:38" ht="120" x14ac:dyDescent="0.3">
      <c r="A773" s="179"/>
      <c r="B773" s="292"/>
      <c r="C773" s="314"/>
      <c r="D773" s="293"/>
      <c r="E773" s="66" t="s">
        <v>2428</v>
      </c>
      <c r="F773" s="192" t="s">
        <v>2420</v>
      </c>
      <c r="G773" s="196"/>
      <c r="H773" s="193"/>
      <c r="I773" s="192" t="s">
        <v>1416</v>
      </c>
      <c r="J773" s="193"/>
      <c r="K773" s="192" t="s">
        <v>2421</v>
      </c>
      <c r="L773" s="193"/>
      <c r="M773" s="387">
        <v>10</v>
      </c>
      <c r="N773" s="495"/>
      <c r="O773" s="388"/>
      <c r="P773" s="387">
        <v>0</v>
      </c>
      <c r="Q773" s="388"/>
      <c r="R773" s="671">
        <v>3</v>
      </c>
      <c r="S773" s="495">
        <v>0</v>
      </c>
      <c r="T773" s="495"/>
      <c r="U773" s="388"/>
      <c r="V773" s="171" t="s">
        <v>2422</v>
      </c>
      <c r="W773" s="667" t="s">
        <v>1418</v>
      </c>
      <c r="X773" s="667"/>
      <c r="Y773" s="667"/>
      <c r="Z773" s="668"/>
      <c r="AA773" s="192" t="s">
        <v>758</v>
      </c>
      <c r="AB773" s="193"/>
      <c r="AC773" s="162" t="s">
        <v>2423</v>
      </c>
      <c r="AD773" s="163"/>
      <c r="AE773" s="31" t="s">
        <v>1356</v>
      </c>
      <c r="AF773" s="162"/>
      <c r="AG773" s="170"/>
      <c r="AH773" s="163"/>
      <c r="AI773" s="31" t="s">
        <v>2427</v>
      </c>
      <c r="AJ773" s="126" t="s">
        <v>2429</v>
      </c>
      <c r="AK773" s="203"/>
      <c r="AL773" s="15"/>
    </row>
    <row r="774" spans="1:38" ht="60" x14ac:dyDescent="0.3">
      <c r="A774" s="230"/>
      <c r="B774" s="290"/>
      <c r="C774" s="345"/>
      <c r="D774" s="291"/>
      <c r="E774" s="67"/>
      <c r="F774" s="194"/>
      <c r="G774" s="197"/>
      <c r="H774" s="195"/>
      <c r="I774" s="194"/>
      <c r="J774" s="195"/>
      <c r="K774" s="194"/>
      <c r="L774" s="195"/>
      <c r="M774" s="389"/>
      <c r="N774" s="496"/>
      <c r="O774" s="390"/>
      <c r="P774" s="389"/>
      <c r="Q774" s="390"/>
      <c r="R774" s="672"/>
      <c r="S774" s="496"/>
      <c r="T774" s="496"/>
      <c r="U774" s="390"/>
      <c r="V774" s="212"/>
      <c r="W774" s="669"/>
      <c r="X774" s="669"/>
      <c r="Y774" s="669"/>
      <c r="Z774" s="670"/>
      <c r="AA774" s="194"/>
      <c r="AB774" s="195"/>
      <c r="AC774" s="212"/>
      <c r="AD774" s="213"/>
      <c r="AE774" s="31" t="s">
        <v>2425</v>
      </c>
      <c r="AF774" s="212"/>
      <c r="AG774" s="408"/>
      <c r="AH774" s="213"/>
      <c r="AI774" s="31"/>
      <c r="AJ774" s="167"/>
      <c r="AK774" s="168"/>
      <c r="AL774" s="15"/>
    </row>
    <row r="775" spans="1:38" ht="90" x14ac:dyDescent="0.3">
      <c r="A775" s="178"/>
      <c r="B775" s="303" t="s">
        <v>2430</v>
      </c>
      <c r="C775" s="344"/>
      <c r="D775" s="304"/>
      <c r="E775" s="19" t="s">
        <v>2431</v>
      </c>
      <c r="F775" s="337" t="s">
        <v>2432</v>
      </c>
      <c r="G775" s="516"/>
      <c r="H775" s="338"/>
      <c r="I775" s="349">
        <v>9</v>
      </c>
      <c r="J775" s="350"/>
      <c r="K775" s="337" t="s">
        <v>2433</v>
      </c>
      <c r="L775" s="338"/>
      <c r="M775" s="349">
        <v>86</v>
      </c>
      <c r="N775" s="423"/>
      <c r="O775" s="350"/>
      <c r="P775" s="349">
        <v>5</v>
      </c>
      <c r="Q775" s="350"/>
      <c r="R775" s="21">
        <v>16</v>
      </c>
      <c r="S775" s="645">
        <v>11</v>
      </c>
      <c r="T775" s="645"/>
      <c r="U775" s="646"/>
      <c r="V775" s="22" t="s">
        <v>2434</v>
      </c>
      <c r="W775" s="647">
        <v>149</v>
      </c>
      <c r="X775" s="647"/>
      <c r="Y775" s="647"/>
      <c r="Z775" s="648"/>
      <c r="AA775" s="337" t="s">
        <v>901</v>
      </c>
      <c r="AB775" s="338"/>
      <c r="AC775" s="171" t="s">
        <v>675</v>
      </c>
      <c r="AD775" s="172"/>
      <c r="AE775" s="24" t="s">
        <v>2436</v>
      </c>
      <c r="AF775" s="171" t="s">
        <v>1249</v>
      </c>
      <c r="AG775" s="407"/>
      <c r="AH775" s="172"/>
      <c r="AI775" s="164"/>
      <c r="AJ775" s="136"/>
      <c r="AK775" s="136"/>
      <c r="AL775" s="15"/>
    </row>
    <row r="776" spans="1:38" ht="75" x14ac:dyDescent="0.3">
      <c r="A776" s="179"/>
      <c r="B776" s="292"/>
      <c r="C776" s="314"/>
      <c r="D776" s="293"/>
      <c r="E776" s="19" t="s">
        <v>2438</v>
      </c>
      <c r="F776" s="337" t="s">
        <v>2432</v>
      </c>
      <c r="G776" s="516"/>
      <c r="H776" s="338"/>
      <c r="I776" s="349">
        <v>9</v>
      </c>
      <c r="J776" s="350"/>
      <c r="K776" s="337" t="s">
        <v>2433</v>
      </c>
      <c r="L776" s="338"/>
      <c r="M776" s="349">
        <v>86</v>
      </c>
      <c r="N776" s="423"/>
      <c r="O776" s="350"/>
      <c r="P776" s="349">
        <v>5</v>
      </c>
      <c r="Q776" s="350"/>
      <c r="R776" s="21">
        <v>16</v>
      </c>
      <c r="S776" s="645">
        <v>11</v>
      </c>
      <c r="T776" s="645"/>
      <c r="U776" s="646"/>
      <c r="V776" s="22" t="s">
        <v>2434</v>
      </c>
      <c r="W776" s="647">
        <v>149</v>
      </c>
      <c r="X776" s="647"/>
      <c r="Y776" s="647"/>
      <c r="Z776" s="648"/>
      <c r="AA776" s="337" t="s">
        <v>901</v>
      </c>
      <c r="AB776" s="338"/>
      <c r="AC776" s="162" t="s">
        <v>2435</v>
      </c>
      <c r="AD776" s="163"/>
      <c r="AE776" s="31" t="s">
        <v>1356</v>
      </c>
      <c r="AF776" s="162"/>
      <c r="AG776" s="170"/>
      <c r="AH776" s="163"/>
      <c r="AI776" s="167"/>
      <c r="AJ776" s="136"/>
      <c r="AK776" s="136"/>
      <c r="AL776" s="15"/>
    </row>
    <row r="777" spans="1:38" ht="75" x14ac:dyDescent="0.3">
      <c r="A777" s="179"/>
      <c r="B777" s="292"/>
      <c r="C777" s="314"/>
      <c r="D777" s="293"/>
      <c r="E777" s="19" t="s">
        <v>2439</v>
      </c>
      <c r="F777" s="337" t="s">
        <v>2432</v>
      </c>
      <c r="G777" s="516"/>
      <c r="H777" s="338"/>
      <c r="I777" s="349">
        <v>9</v>
      </c>
      <c r="J777" s="350"/>
      <c r="K777" s="337" t="s">
        <v>2433</v>
      </c>
      <c r="L777" s="338"/>
      <c r="M777" s="349">
        <v>86</v>
      </c>
      <c r="N777" s="423"/>
      <c r="O777" s="350"/>
      <c r="P777" s="349">
        <v>5</v>
      </c>
      <c r="Q777" s="350"/>
      <c r="R777" s="21">
        <v>16</v>
      </c>
      <c r="S777" s="645">
        <v>11</v>
      </c>
      <c r="T777" s="645"/>
      <c r="U777" s="646"/>
      <c r="V777" s="22" t="s">
        <v>2434</v>
      </c>
      <c r="W777" s="647">
        <v>149</v>
      </c>
      <c r="X777" s="647"/>
      <c r="Y777" s="647"/>
      <c r="Z777" s="648"/>
      <c r="AA777" s="337" t="s">
        <v>901</v>
      </c>
      <c r="AB777" s="338"/>
      <c r="AC777" s="162"/>
      <c r="AD777" s="163"/>
      <c r="AE777" s="31" t="s">
        <v>2437</v>
      </c>
      <c r="AF777" s="162"/>
      <c r="AG777" s="170"/>
      <c r="AH777" s="163"/>
      <c r="AI777" s="167"/>
      <c r="AJ777" s="136"/>
      <c r="AK777" s="136"/>
      <c r="AL777" s="15"/>
    </row>
    <row r="778" spans="1:38" ht="75" x14ac:dyDescent="0.3">
      <c r="A778" s="230"/>
      <c r="B778" s="290"/>
      <c r="C778" s="345"/>
      <c r="D778" s="291"/>
      <c r="E778" s="19" t="s">
        <v>2440</v>
      </c>
      <c r="F778" s="337" t="s">
        <v>2432</v>
      </c>
      <c r="G778" s="516"/>
      <c r="H778" s="338"/>
      <c r="I778" s="349">
        <v>9</v>
      </c>
      <c r="J778" s="350"/>
      <c r="K778" s="337" t="s">
        <v>2433</v>
      </c>
      <c r="L778" s="338"/>
      <c r="M778" s="349">
        <v>86</v>
      </c>
      <c r="N778" s="423"/>
      <c r="O778" s="350"/>
      <c r="P778" s="349">
        <v>5</v>
      </c>
      <c r="Q778" s="350"/>
      <c r="R778" s="21">
        <v>16</v>
      </c>
      <c r="S778" s="645">
        <v>11</v>
      </c>
      <c r="T778" s="645"/>
      <c r="U778" s="646"/>
      <c r="V778" s="22" t="s">
        <v>2434</v>
      </c>
      <c r="W778" s="647">
        <v>149</v>
      </c>
      <c r="X778" s="647"/>
      <c r="Y778" s="647"/>
      <c r="Z778" s="648"/>
      <c r="AA778" s="337" t="s">
        <v>901</v>
      </c>
      <c r="AB778" s="338"/>
      <c r="AC778" s="212"/>
      <c r="AD778" s="213"/>
      <c r="AE778" s="31"/>
      <c r="AF778" s="212"/>
      <c r="AG778" s="408"/>
      <c r="AH778" s="213"/>
      <c r="AI778" s="167"/>
      <c r="AJ778" s="136"/>
      <c r="AK778" s="136"/>
      <c r="AL778" s="15"/>
    </row>
    <row r="779" spans="1:38" ht="75" x14ac:dyDescent="0.3">
      <c r="A779" s="178"/>
      <c r="B779" s="233" t="s">
        <v>2441</v>
      </c>
      <c r="C779" s="305"/>
      <c r="D779" s="234"/>
      <c r="E779" s="19" t="s">
        <v>2442</v>
      </c>
      <c r="F779" s="337" t="s">
        <v>2443</v>
      </c>
      <c r="G779" s="516"/>
      <c r="H779" s="338"/>
      <c r="I779" s="349">
        <v>10</v>
      </c>
      <c r="J779" s="350"/>
      <c r="K779" s="337" t="s">
        <v>2444</v>
      </c>
      <c r="L779" s="338"/>
      <c r="M779" s="351" t="s">
        <v>2445</v>
      </c>
      <c r="N779" s="444"/>
      <c r="O779" s="352"/>
      <c r="P779" s="351" t="s">
        <v>2446</v>
      </c>
      <c r="Q779" s="352"/>
      <c r="R779" s="22" t="s">
        <v>2447</v>
      </c>
      <c r="S779" s="516" t="s">
        <v>2448</v>
      </c>
      <c r="T779" s="516"/>
      <c r="U779" s="338"/>
      <c r="V779" s="22" t="s">
        <v>2449</v>
      </c>
      <c r="W779" s="667" t="s">
        <v>2450</v>
      </c>
      <c r="X779" s="667"/>
      <c r="Y779" s="667"/>
      <c r="Z779" s="668"/>
      <c r="AA779" s="192" t="s">
        <v>1516</v>
      </c>
      <c r="AB779" s="193"/>
      <c r="AC779" s="171" t="s">
        <v>675</v>
      </c>
      <c r="AD779" s="172"/>
      <c r="AE779" s="24" t="s">
        <v>2453</v>
      </c>
      <c r="AF779" s="164"/>
      <c r="AG779" s="165"/>
      <c r="AH779" s="166"/>
      <c r="AI779" s="167"/>
      <c r="AJ779" s="136"/>
      <c r="AK779" s="136"/>
      <c r="AL779" s="15"/>
    </row>
    <row r="780" spans="1:38" ht="45" x14ac:dyDescent="0.3">
      <c r="A780" s="179"/>
      <c r="B780" s="235"/>
      <c r="C780" s="270"/>
      <c r="D780" s="236"/>
      <c r="E780" s="19" t="s">
        <v>2455</v>
      </c>
      <c r="F780" s="337" t="s">
        <v>2443</v>
      </c>
      <c r="G780" s="516"/>
      <c r="H780" s="338"/>
      <c r="I780" s="349">
        <v>10</v>
      </c>
      <c r="J780" s="350"/>
      <c r="K780" s="337" t="s">
        <v>2444</v>
      </c>
      <c r="L780" s="338"/>
      <c r="M780" s="351" t="s">
        <v>2456</v>
      </c>
      <c r="N780" s="444"/>
      <c r="O780" s="352"/>
      <c r="P780" s="351" t="s">
        <v>2446</v>
      </c>
      <c r="Q780" s="352"/>
      <c r="R780" s="22" t="s">
        <v>2447</v>
      </c>
      <c r="S780" s="516" t="s">
        <v>2448</v>
      </c>
      <c r="T780" s="516"/>
      <c r="U780" s="338"/>
      <c r="V780" s="22" t="s">
        <v>2457</v>
      </c>
      <c r="W780" s="669"/>
      <c r="X780" s="669"/>
      <c r="Y780" s="669"/>
      <c r="Z780" s="670"/>
      <c r="AA780" s="194"/>
      <c r="AB780" s="195"/>
      <c r="AC780" s="162" t="s">
        <v>2451</v>
      </c>
      <c r="AD780" s="163"/>
      <c r="AE780" s="31" t="s">
        <v>1356</v>
      </c>
      <c r="AF780" s="167"/>
      <c r="AG780" s="168"/>
      <c r="AH780" s="169"/>
      <c r="AI780" s="167"/>
      <c r="AJ780" s="136"/>
      <c r="AK780" s="136"/>
      <c r="AL780" s="15"/>
    </row>
    <row r="781" spans="1:38" ht="60" x14ac:dyDescent="0.3">
      <c r="A781" s="179"/>
      <c r="B781" s="235"/>
      <c r="C781" s="270"/>
      <c r="D781" s="236"/>
      <c r="E781" s="19" t="s">
        <v>2458</v>
      </c>
      <c r="F781" s="351" t="s">
        <v>2459</v>
      </c>
      <c r="G781" s="444"/>
      <c r="H781" s="352"/>
      <c r="I781" s="349">
        <v>23</v>
      </c>
      <c r="J781" s="350"/>
      <c r="K781" s="351" t="s">
        <v>2460</v>
      </c>
      <c r="L781" s="352"/>
      <c r="M781" s="351" t="s">
        <v>2461</v>
      </c>
      <c r="N781" s="444"/>
      <c r="O781" s="352"/>
      <c r="P781" s="351" t="s">
        <v>2462</v>
      </c>
      <c r="Q781" s="352"/>
      <c r="R781" s="22" t="s">
        <v>2463</v>
      </c>
      <c r="S781" s="516" t="s">
        <v>2464</v>
      </c>
      <c r="T781" s="516"/>
      <c r="U781" s="338"/>
      <c r="V781" s="22" t="s">
        <v>2465</v>
      </c>
      <c r="W781" s="667" t="s">
        <v>2466</v>
      </c>
      <c r="X781" s="667"/>
      <c r="Y781" s="667"/>
      <c r="Z781" s="668"/>
      <c r="AA781" s="192" t="s">
        <v>2467</v>
      </c>
      <c r="AB781" s="193"/>
      <c r="AC781" s="162" t="s">
        <v>2211</v>
      </c>
      <c r="AD781" s="163"/>
      <c r="AE781" s="31" t="s">
        <v>2454</v>
      </c>
      <c r="AF781" s="167"/>
      <c r="AG781" s="168"/>
      <c r="AH781" s="169"/>
      <c r="AI781" s="167"/>
      <c r="AJ781" s="136"/>
      <c r="AK781" s="136"/>
      <c r="AL781" s="15"/>
    </row>
    <row r="782" spans="1:38" ht="45" x14ac:dyDescent="0.3">
      <c r="A782" s="230"/>
      <c r="B782" s="237"/>
      <c r="C782" s="306"/>
      <c r="D782" s="238"/>
      <c r="E782" s="19" t="s">
        <v>2468</v>
      </c>
      <c r="F782" s="351" t="s">
        <v>2459</v>
      </c>
      <c r="G782" s="444"/>
      <c r="H782" s="352"/>
      <c r="I782" s="349">
        <v>23</v>
      </c>
      <c r="J782" s="350"/>
      <c r="K782" s="351" t="s">
        <v>2460</v>
      </c>
      <c r="L782" s="352"/>
      <c r="M782" s="351" t="s">
        <v>2469</v>
      </c>
      <c r="N782" s="444"/>
      <c r="O782" s="352"/>
      <c r="P782" s="351" t="s">
        <v>2462</v>
      </c>
      <c r="Q782" s="352"/>
      <c r="R782" s="22" t="s">
        <v>2463</v>
      </c>
      <c r="S782" s="516" t="s">
        <v>2464</v>
      </c>
      <c r="T782" s="516"/>
      <c r="U782" s="338"/>
      <c r="V782" s="22" t="s">
        <v>2470</v>
      </c>
      <c r="W782" s="669"/>
      <c r="X782" s="669"/>
      <c r="Y782" s="669"/>
      <c r="Z782" s="670"/>
      <c r="AA782" s="194"/>
      <c r="AB782" s="195"/>
      <c r="AC782" s="212" t="s">
        <v>2452</v>
      </c>
      <c r="AD782" s="213"/>
      <c r="AE782" s="31"/>
      <c r="AF782" s="214"/>
      <c r="AG782" s="215"/>
      <c r="AH782" s="216"/>
      <c r="AI782" s="167"/>
      <c r="AJ782" s="136"/>
      <c r="AK782" s="136"/>
      <c r="AL782" s="15"/>
    </row>
    <row r="783" spans="1:38" ht="90" x14ac:dyDescent="0.3">
      <c r="A783" s="178"/>
      <c r="B783" s="303" t="s">
        <v>2471</v>
      </c>
      <c r="C783" s="344"/>
      <c r="D783" s="344"/>
      <c r="E783" s="28" t="s">
        <v>2472</v>
      </c>
      <c r="F783" s="110" t="s">
        <v>2473</v>
      </c>
      <c r="G783" s="138"/>
      <c r="H783" s="111"/>
      <c r="I783" s="665">
        <v>8</v>
      </c>
      <c r="J783" s="666"/>
      <c r="K783" s="114" t="s">
        <v>2474</v>
      </c>
      <c r="L783" s="116"/>
      <c r="M783" s="183">
        <v>180</v>
      </c>
      <c r="N783" s="184"/>
      <c r="O783" s="185"/>
      <c r="P783" s="183">
        <v>0</v>
      </c>
      <c r="Q783" s="185"/>
      <c r="R783" s="29">
        <v>25</v>
      </c>
      <c r="S783" s="184">
        <v>0</v>
      </c>
      <c r="T783" s="184"/>
      <c r="U783" s="185"/>
      <c r="V783" s="20" t="s">
        <v>2475</v>
      </c>
      <c r="W783" s="657">
        <v>279</v>
      </c>
      <c r="X783" s="657"/>
      <c r="Y783" s="657"/>
      <c r="Z783" s="658"/>
      <c r="AA783" s="110" t="s">
        <v>1159</v>
      </c>
      <c r="AB783" s="111"/>
      <c r="AC783" s="223" t="s">
        <v>675</v>
      </c>
      <c r="AD783" s="224"/>
      <c r="AE783" s="24" t="s">
        <v>2478</v>
      </c>
      <c r="AF783" s="164"/>
      <c r="AG783" s="165"/>
      <c r="AH783" s="166"/>
      <c r="AI783" s="167"/>
      <c r="AJ783" s="136"/>
      <c r="AK783" s="136"/>
      <c r="AL783" s="15"/>
    </row>
    <row r="784" spans="1:38" ht="60" x14ac:dyDescent="0.3">
      <c r="A784" s="179"/>
      <c r="B784" s="292"/>
      <c r="C784" s="314"/>
      <c r="D784" s="314"/>
      <c r="E784" s="28" t="s">
        <v>2480</v>
      </c>
      <c r="F784" s="110" t="s">
        <v>2473</v>
      </c>
      <c r="G784" s="138"/>
      <c r="H784" s="111"/>
      <c r="I784" s="665">
        <v>8</v>
      </c>
      <c r="J784" s="666"/>
      <c r="K784" s="114" t="s">
        <v>2474</v>
      </c>
      <c r="L784" s="116"/>
      <c r="M784" s="183">
        <v>180</v>
      </c>
      <c r="N784" s="184"/>
      <c r="O784" s="185"/>
      <c r="P784" s="183">
        <v>0</v>
      </c>
      <c r="Q784" s="185"/>
      <c r="R784" s="29">
        <v>25</v>
      </c>
      <c r="S784" s="184">
        <v>0</v>
      </c>
      <c r="T784" s="184"/>
      <c r="U784" s="185"/>
      <c r="V784" s="20" t="s">
        <v>2475</v>
      </c>
      <c r="W784" s="657">
        <v>279</v>
      </c>
      <c r="X784" s="657"/>
      <c r="Y784" s="657"/>
      <c r="Z784" s="658"/>
      <c r="AA784" s="110" t="s">
        <v>1159</v>
      </c>
      <c r="AB784" s="111"/>
      <c r="AC784" s="239" t="s">
        <v>2476</v>
      </c>
      <c r="AD784" s="240"/>
      <c r="AE784" s="31" t="s">
        <v>1356</v>
      </c>
      <c r="AF784" s="167"/>
      <c r="AG784" s="168"/>
      <c r="AH784" s="169"/>
      <c r="AI784" s="167"/>
      <c r="AJ784" s="136"/>
      <c r="AK784" s="136"/>
      <c r="AL784" s="15"/>
    </row>
    <row r="785" spans="1:38" ht="60" x14ac:dyDescent="0.35">
      <c r="A785" s="179"/>
      <c r="B785" s="292"/>
      <c r="C785" s="314"/>
      <c r="D785" s="314"/>
      <c r="E785" s="28" t="s">
        <v>2481</v>
      </c>
      <c r="F785" s="110" t="s">
        <v>2482</v>
      </c>
      <c r="G785" s="138"/>
      <c r="H785" s="111"/>
      <c r="I785" s="663" t="s">
        <v>2483</v>
      </c>
      <c r="J785" s="664"/>
      <c r="K785" s="114" t="s">
        <v>2484</v>
      </c>
      <c r="L785" s="116"/>
      <c r="M785" s="183">
        <v>240</v>
      </c>
      <c r="N785" s="184"/>
      <c r="O785" s="185"/>
      <c r="P785" s="183">
        <v>0</v>
      </c>
      <c r="Q785" s="185"/>
      <c r="R785" s="29">
        <v>56</v>
      </c>
      <c r="S785" s="184">
        <v>0</v>
      </c>
      <c r="T785" s="184"/>
      <c r="U785" s="185"/>
      <c r="V785" s="20" t="s">
        <v>687</v>
      </c>
      <c r="W785" s="657">
        <v>399</v>
      </c>
      <c r="X785" s="657"/>
      <c r="Y785" s="657"/>
      <c r="Z785" s="658"/>
      <c r="AA785" s="110" t="s">
        <v>1261</v>
      </c>
      <c r="AB785" s="111"/>
      <c r="AC785" s="239" t="s">
        <v>2211</v>
      </c>
      <c r="AD785" s="240"/>
      <c r="AE785" s="31" t="s">
        <v>2479</v>
      </c>
      <c r="AF785" s="167"/>
      <c r="AG785" s="168"/>
      <c r="AH785" s="169"/>
      <c r="AI785" s="167"/>
      <c r="AJ785" s="122"/>
      <c r="AK785" s="122"/>
      <c r="AL785" s="15"/>
    </row>
    <row r="786" spans="1:38" ht="60" x14ac:dyDescent="0.3">
      <c r="A786" s="179"/>
      <c r="B786" s="292"/>
      <c r="C786" s="314"/>
      <c r="D786" s="314"/>
      <c r="E786" s="28" t="s">
        <v>2485</v>
      </c>
      <c r="F786" s="110" t="s">
        <v>2482</v>
      </c>
      <c r="G786" s="138"/>
      <c r="H786" s="111"/>
      <c r="I786" s="663" t="s">
        <v>2483</v>
      </c>
      <c r="J786" s="664"/>
      <c r="K786" s="114" t="s">
        <v>2484</v>
      </c>
      <c r="L786" s="116"/>
      <c r="M786" s="183">
        <v>240</v>
      </c>
      <c r="N786" s="184"/>
      <c r="O786" s="185"/>
      <c r="P786" s="183">
        <v>0</v>
      </c>
      <c r="Q786" s="185"/>
      <c r="R786" s="29">
        <v>56</v>
      </c>
      <c r="S786" s="184">
        <v>0</v>
      </c>
      <c r="T786" s="184"/>
      <c r="U786" s="185"/>
      <c r="V786" s="20" t="s">
        <v>687</v>
      </c>
      <c r="W786" s="657">
        <v>399</v>
      </c>
      <c r="X786" s="657"/>
      <c r="Y786" s="657"/>
      <c r="Z786" s="658"/>
      <c r="AA786" s="110" t="s">
        <v>1261</v>
      </c>
      <c r="AB786" s="111"/>
      <c r="AC786" s="239" t="s">
        <v>2477</v>
      </c>
      <c r="AD786" s="240"/>
      <c r="AE786" s="31"/>
      <c r="AF786" s="167"/>
      <c r="AG786" s="168"/>
      <c r="AH786" s="169"/>
      <c r="AI786" s="167"/>
      <c r="AJ786" s="136"/>
      <c r="AK786" s="136"/>
      <c r="AL786" s="15"/>
    </row>
    <row r="787" spans="1:38" ht="15.5" x14ac:dyDescent="0.35">
      <c r="A787" s="179"/>
      <c r="B787" s="292"/>
      <c r="C787" s="314"/>
      <c r="D787" s="314"/>
      <c r="E787" s="39"/>
      <c r="F787" s="39"/>
      <c r="G787" s="39"/>
      <c r="H787" s="39"/>
      <c r="I787" s="39"/>
      <c r="J787" s="39"/>
      <c r="K787" s="39"/>
      <c r="L787" s="39"/>
      <c r="M787" s="39"/>
      <c r="N787" s="39"/>
      <c r="O787" s="39"/>
      <c r="P787" s="39"/>
      <c r="Q787" s="39"/>
      <c r="R787" s="39"/>
      <c r="S787" s="108"/>
      <c r="T787" s="108"/>
      <c r="U787" s="39"/>
      <c r="V787" s="39"/>
      <c r="W787" s="108"/>
      <c r="X787" s="108"/>
      <c r="Y787" s="108"/>
      <c r="Z787" s="108"/>
      <c r="AA787" s="39"/>
      <c r="AB787" s="39"/>
      <c r="AC787" s="239"/>
      <c r="AD787" s="240"/>
      <c r="AE787" s="31"/>
      <c r="AF787" s="167"/>
      <c r="AG787" s="168"/>
      <c r="AH787" s="169"/>
      <c r="AI787" s="167"/>
      <c r="AJ787" s="203" t="s">
        <v>809</v>
      </c>
      <c r="AK787" s="203"/>
      <c r="AL787" s="15"/>
    </row>
    <row r="788" spans="1:38" ht="105" x14ac:dyDescent="0.35">
      <c r="A788" s="179"/>
      <c r="B788" s="292"/>
      <c r="C788" s="314"/>
      <c r="D788" s="314"/>
      <c r="E788" s="28" t="s">
        <v>2486</v>
      </c>
      <c r="F788" s="114" t="s">
        <v>2487</v>
      </c>
      <c r="G788" s="115"/>
      <c r="H788" s="116"/>
      <c r="I788" s="663" t="s">
        <v>2488</v>
      </c>
      <c r="J788" s="664"/>
      <c r="K788" s="114" t="s">
        <v>2489</v>
      </c>
      <c r="L788" s="116"/>
      <c r="M788" s="183">
        <v>420</v>
      </c>
      <c r="N788" s="184"/>
      <c r="O788" s="185"/>
      <c r="P788" s="183">
        <v>0</v>
      </c>
      <c r="Q788" s="185"/>
      <c r="R788" s="29">
        <v>80</v>
      </c>
      <c r="S788" s="184">
        <v>0</v>
      </c>
      <c r="T788" s="184"/>
      <c r="U788" s="185"/>
      <c r="V788" s="20" t="s">
        <v>2490</v>
      </c>
      <c r="W788" s="657">
        <v>675</v>
      </c>
      <c r="X788" s="657"/>
      <c r="Y788" s="657"/>
      <c r="Z788" s="658"/>
      <c r="AA788" s="110" t="s">
        <v>1261</v>
      </c>
      <c r="AB788" s="111"/>
      <c r="AC788" s="239"/>
      <c r="AD788" s="240"/>
      <c r="AE788" s="31"/>
      <c r="AF788" s="167"/>
      <c r="AG788" s="168"/>
      <c r="AH788" s="169"/>
      <c r="AI788" s="167"/>
      <c r="AJ788" s="122"/>
      <c r="AK788" s="122"/>
      <c r="AL788" s="15"/>
    </row>
    <row r="789" spans="1:38" ht="105" x14ac:dyDescent="0.35">
      <c r="A789" s="179"/>
      <c r="B789" s="292"/>
      <c r="C789" s="314"/>
      <c r="D789" s="314"/>
      <c r="E789" s="28" t="s">
        <v>2491</v>
      </c>
      <c r="F789" s="114" t="s">
        <v>2487</v>
      </c>
      <c r="G789" s="115"/>
      <c r="H789" s="116"/>
      <c r="I789" s="663" t="s">
        <v>2488</v>
      </c>
      <c r="J789" s="664"/>
      <c r="K789" s="114" t="s">
        <v>2489</v>
      </c>
      <c r="L789" s="116"/>
      <c r="M789" s="183">
        <v>420</v>
      </c>
      <c r="N789" s="184"/>
      <c r="O789" s="185"/>
      <c r="P789" s="183">
        <v>0</v>
      </c>
      <c r="Q789" s="185"/>
      <c r="R789" s="29">
        <v>80</v>
      </c>
      <c r="S789" s="184">
        <v>0</v>
      </c>
      <c r="T789" s="184"/>
      <c r="U789" s="185"/>
      <c r="V789" s="20" t="s">
        <v>2490</v>
      </c>
      <c r="W789" s="657">
        <v>675</v>
      </c>
      <c r="X789" s="657"/>
      <c r="Y789" s="657"/>
      <c r="Z789" s="658"/>
      <c r="AA789" s="110" t="s">
        <v>1261</v>
      </c>
      <c r="AB789" s="111"/>
      <c r="AC789" s="239"/>
      <c r="AD789" s="240"/>
      <c r="AE789" s="31"/>
      <c r="AF789" s="167"/>
      <c r="AG789" s="168"/>
      <c r="AH789" s="169"/>
      <c r="AI789" s="167"/>
      <c r="AJ789" s="122"/>
      <c r="AK789" s="122"/>
      <c r="AL789" s="15"/>
    </row>
    <row r="790" spans="1:38" ht="105" x14ac:dyDescent="0.3">
      <c r="A790" s="179"/>
      <c r="B790" s="292"/>
      <c r="C790" s="314"/>
      <c r="D790" s="314"/>
      <c r="E790" s="28" t="s">
        <v>2492</v>
      </c>
      <c r="F790" s="114" t="s">
        <v>2487</v>
      </c>
      <c r="G790" s="115"/>
      <c r="H790" s="116"/>
      <c r="I790" s="663" t="s">
        <v>2488</v>
      </c>
      <c r="J790" s="664"/>
      <c r="K790" s="114" t="s">
        <v>2489</v>
      </c>
      <c r="L790" s="116"/>
      <c r="M790" s="183">
        <v>420</v>
      </c>
      <c r="N790" s="184"/>
      <c r="O790" s="185"/>
      <c r="P790" s="183">
        <v>0</v>
      </c>
      <c r="Q790" s="185"/>
      <c r="R790" s="29">
        <v>80</v>
      </c>
      <c r="S790" s="184">
        <v>0</v>
      </c>
      <c r="T790" s="184"/>
      <c r="U790" s="185"/>
      <c r="V790" s="20" t="s">
        <v>2490</v>
      </c>
      <c r="W790" s="657">
        <v>675</v>
      </c>
      <c r="X790" s="657"/>
      <c r="Y790" s="657"/>
      <c r="Z790" s="658"/>
      <c r="AA790" s="110" t="s">
        <v>1261</v>
      </c>
      <c r="AB790" s="111"/>
      <c r="AC790" s="239"/>
      <c r="AD790" s="240"/>
      <c r="AE790" s="31"/>
      <c r="AF790" s="167"/>
      <c r="AG790" s="168"/>
      <c r="AH790" s="169"/>
      <c r="AI790" s="167"/>
      <c r="AJ790" s="136"/>
      <c r="AK790" s="136"/>
      <c r="AL790" s="15"/>
    </row>
    <row r="791" spans="1:38" ht="105" x14ac:dyDescent="0.3">
      <c r="A791" s="230"/>
      <c r="B791" s="290"/>
      <c r="C791" s="345"/>
      <c r="D791" s="345"/>
      <c r="E791" s="28" t="s">
        <v>2493</v>
      </c>
      <c r="F791" s="114" t="s">
        <v>2487</v>
      </c>
      <c r="G791" s="115"/>
      <c r="H791" s="116"/>
      <c r="I791" s="663" t="s">
        <v>2488</v>
      </c>
      <c r="J791" s="664"/>
      <c r="K791" s="114" t="s">
        <v>2489</v>
      </c>
      <c r="L791" s="116"/>
      <c r="M791" s="183">
        <v>420</v>
      </c>
      <c r="N791" s="184"/>
      <c r="O791" s="185"/>
      <c r="P791" s="183">
        <v>0</v>
      </c>
      <c r="Q791" s="185"/>
      <c r="R791" s="29">
        <v>80</v>
      </c>
      <c r="S791" s="184">
        <v>0</v>
      </c>
      <c r="T791" s="184"/>
      <c r="U791" s="185"/>
      <c r="V791" s="20" t="s">
        <v>2490</v>
      </c>
      <c r="W791" s="657">
        <v>675</v>
      </c>
      <c r="X791" s="657"/>
      <c r="Y791" s="657"/>
      <c r="Z791" s="658"/>
      <c r="AA791" s="110" t="s">
        <v>1261</v>
      </c>
      <c r="AB791" s="111"/>
      <c r="AC791" s="225"/>
      <c r="AD791" s="226"/>
      <c r="AE791" s="31"/>
      <c r="AF791" s="214"/>
      <c r="AG791" s="215"/>
      <c r="AH791" s="216"/>
      <c r="AI791" s="167"/>
      <c r="AJ791" s="136"/>
      <c r="AK791" s="136"/>
      <c r="AL791" s="15"/>
    </row>
    <row r="792" spans="1:38" ht="90" x14ac:dyDescent="0.3">
      <c r="A792" s="178"/>
      <c r="B792" s="303" t="s">
        <v>2494</v>
      </c>
      <c r="C792" s="344"/>
      <c r="D792" s="304"/>
      <c r="E792" s="19" t="s">
        <v>2495</v>
      </c>
      <c r="F792" s="337" t="s">
        <v>919</v>
      </c>
      <c r="G792" s="516"/>
      <c r="H792" s="338"/>
      <c r="I792" s="337" t="s">
        <v>826</v>
      </c>
      <c r="J792" s="338"/>
      <c r="K792" s="337" t="s">
        <v>2496</v>
      </c>
      <c r="L792" s="338"/>
      <c r="M792" s="351" t="s">
        <v>2140</v>
      </c>
      <c r="N792" s="444"/>
      <c r="O792" s="352"/>
      <c r="P792" s="351" t="s">
        <v>1394</v>
      </c>
      <c r="Q792" s="352"/>
      <c r="R792" s="21">
        <v>6</v>
      </c>
      <c r="S792" s="423">
        <v>3</v>
      </c>
      <c r="T792" s="423"/>
      <c r="U792" s="350"/>
      <c r="V792" s="22" t="s">
        <v>2497</v>
      </c>
      <c r="W792" s="661" t="s">
        <v>2498</v>
      </c>
      <c r="X792" s="661"/>
      <c r="Y792" s="661"/>
      <c r="Z792" s="662"/>
      <c r="AA792" s="337" t="s">
        <v>1081</v>
      </c>
      <c r="AB792" s="338"/>
      <c r="AC792" s="171" t="s">
        <v>675</v>
      </c>
      <c r="AD792" s="172"/>
      <c r="AE792" s="24" t="s">
        <v>2501</v>
      </c>
      <c r="AF792" s="171" t="s">
        <v>2503</v>
      </c>
      <c r="AG792" s="407"/>
      <c r="AH792" s="172"/>
      <c r="AI792" s="167"/>
      <c r="AJ792" s="136"/>
      <c r="AK792" s="136"/>
      <c r="AL792" s="15"/>
    </row>
    <row r="793" spans="1:38" ht="90" x14ac:dyDescent="0.3">
      <c r="A793" s="179"/>
      <c r="B793" s="292"/>
      <c r="C793" s="314"/>
      <c r="D793" s="293"/>
      <c r="E793" s="19" t="s">
        <v>2504</v>
      </c>
      <c r="F793" s="337" t="s">
        <v>919</v>
      </c>
      <c r="G793" s="516"/>
      <c r="H793" s="338"/>
      <c r="I793" s="337" t="s">
        <v>826</v>
      </c>
      <c r="J793" s="338"/>
      <c r="K793" s="337" t="s">
        <v>2496</v>
      </c>
      <c r="L793" s="338"/>
      <c r="M793" s="351" t="s">
        <v>2140</v>
      </c>
      <c r="N793" s="444"/>
      <c r="O793" s="352"/>
      <c r="P793" s="351" t="s">
        <v>1394</v>
      </c>
      <c r="Q793" s="352"/>
      <c r="R793" s="21">
        <v>6</v>
      </c>
      <c r="S793" s="423">
        <v>3</v>
      </c>
      <c r="T793" s="423"/>
      <c r="U793" s="350"/>
      <c r="V793" s="22" t="s">
        <v>2497</v>
      </c>
      <c r="W793" s="661" t="s">
        <v>2498</v>
      </c>
      <c r="X793" s="661"/>
      <c r="Y793" s="661"/>
      <c r="Z793" s="662"/>
      <c r="AA793" s="337" t="s">
        <v>1081</v>
      </c>
      <c r="AB793" s="338"/>
      <c r="AC793" s="162" t="s">
        <v>2499</v>
      </c>
      <c r="AD793" s="163"/>
      <c r="AE793" s="31" t="s">
        <v>848</v>
      </c>
      <c r="AF793" s="162"/>
      <c r="AG793" s="170"/>
      <c r="AH793" s="163"/>
      <c r="AI793" s="167"/>
      <c r="AJ793" s="136"/>
      <c r="AK793" s="136"/>
      <c r="AL793" s="15"/>
    </row>
    <row r="794" spans="1:38" ht="90" x14ac:dyDescent="0.3">
      <c r="A794" s="179"/>
      <c r="B794" s="292"/>
      <c r="C794" s="314"/>
      <c r="D794" s="293"/>
      <c r="E794" s="19" t="s">
        <v>2505</v>
      </c>
      <c r="F794" s="337" t="s">
        <v>919</v>
      </c>
      <c r="G794" s="516"/>
      <c r="H794" s="338"/>
      <c r="I794" s="337" t="s">
        <v>826</v>
      </c>
      <c r="J794" s="338"/>
      <c r="K794" s="337" t="s">
        <v>2496</v>
      </c>
      <c r="L794" s="338"/>
      <c r="M794" s="351" t="s">
        <v>2140</v>
      </c>
      <c r="N794" s="444"/>
      <c r="O794" s="352"/>
      <c r="P794" s="351" t="s">
        <v>1394</v>
      </c>
      <c r="Q794" s="352"/>
      <c r="R794" s="21">
        <v>6</v>
      </c>
      <c r="S794" s="423">
        <v>3</v>
      </c>
      <c r="T794" s="423"/>
      <c r="U794" s="350"/>
      <c r="V794" s="22" t="s">
        <v>2497</v>
      </c>
      <c r="W794" s="661" t="s">
        <v>2498</v>
      </c>
      <c r="X794" s="661"/>
      <c r="Y794" s="661"/>
      <c r="Z794" s="662"/>
      <c r="AA794" s="337" t="s">
        <v>1081</v>
      </c>
      <c r="AB794" s="338"/>
      <c r="AC794" s="162" t="s">
        <v>2500</v>
      </c>
      <c r="AD794" s="163"/>
      <c r="AE794" s="31" t="s">
        <v>1356</v>
      </c>
      <c r="AF794" s="162"/>
      <c r="AG794" s="170"/>
      <c r="AH794" s="163"/>
      <c r="AI794" s="167"/>
      <c r="AJ794" s="136"/>
      <c r="AK794" s="136"/>
      <c r="AL794" s="15"/>
    </row>
    <row r="795" spans="1:38" ht="90" x14ac:dyDescent="0.3">
      <c r="A795" s="230"/>
      <c r="B795" s="290"/>
      <c r="C795" s="345"/>
      <c r="D795" s="291"/>
      <c r="E795" s="19" t="s">
        <v>2506</v>
      </c>
      <c r="F795" s="337" t="s">
        <v>919</v>
      </c>
      <c r="G795" s="516"/>
      <c r="H795" s="338"/>
      <c r="I795" s="337" t="s">
        <v>826</v>
      </c>
      <c r="J795" s="338"/>
      <c r="K795" s="337" t="s">
        <v>2496</v>
      </c>
      <c r="L795" s="338"/>
      <c r="M795" s="351" t="s">
        <v>2140</v>
      </c>
      <c r="N795" s="444"/>
      <c r="O795" s="352"/>
      <c r="P795" s="351" t="s">
        <v>1394</v>
      </c>
      <c r="Q795" s="352"/>
      <c r="R795" s="21">
        <v>6</v>
      </c>
      <c r="S795" s="423">
        <v>3</v>
      </c>
      <c r="T795" s="423"/>
      <c r="U795" s="350"/>
      <c r="V795" s="22" t="s">
        <v>2497</v>
      </c>
      <c r="W795" s="661" t="s">
        <v>2498</v>
      </c>
      <c r="X795" s="661"/>
      <c r="Y795" s="661"/>
      <c r="Z795" s="662"/>
      <c r="AA795" s="337" t="s">
        <v>1081</v>
      </c>
      <c r="AB795" s="338"/>
      <c r="AC795" s="212"/>
      <c r="AD795" s="213"/>
      <c r="AE795" s="31" t="s">
        <v>2502</v>
      </c>
      <c r="AF795" s="212"/>
      <c r="AG795" s="408"/>
      <c r="AH795" s="213"/>
      <c r="AI795" s="167"/>
      <c r="AJ795" s="136"/>
      <c r="AK795" s="136"/>
      <c r="AL795" s="15"/>
    </row>
    <row r="796" spans="1:38" ht="90" x14ac:dyDescent="0.3">
      <c r="A796" s="178"/>
      <c r="B796" s="303" t="s">
        <v>2507</v>
      </c>
      <c r="C796" s="344"/>
      <c r="D796" s="304"/>
      <c r="E796" s="19" t="s">
        <v>2508</v>
      </c>
      <c r="F796" s="337" t="s">
        <v>2509</v>
      </c>
      <c r="G796" s="516"/>
      <c r="H796" s="338"/>
      <c r="I796" s="337" t="s">
        <v>768</v>
      </c>
      <c r="J796" s="338"/>
      <c r="K796" s="337" t="s">
        <v>2510</v>
      </c>
      <c r="L796" s="338"/>
      <c r="M796" s="349">
        <v>33</v>
      </c>
      <c r="N796" s="423"/>
      <c r="O796" s="350"/>
      <c r="P796" s="349">
        <v>2</v>
      </c>
      <c r="Q796" s="350"/>
      <c r="R796" s="22" t="s">
        <v>1127</v>
      </c>
      <c r="S796" s="423">
        <v>4</v>
      </c>
      <c r="T796" s="423"/>
      <c r="U796" s="350"/>
      <c r="V796" s="22" t="s">
        <v>2511</v>
      </c>
      <c r="W796" s="335">
        <v>55</v>
      </c>
      <c r="X796" s="335"/>
      <c r="Y796" s="335"/>
      <c r="Z796" s="336"/>
      <c r="AA796" s="337" t="s">
        <v>901</v>
      </c>
      <c r="AB796" s="338"/>
      <c r="AC796" s="171" t="s">
        <v>675</v>
      </c>
      <c r="AD796" s="172"/>
      <c r="AE796" s="24" t="s">
        <v>2514</v>
      </c>
      <c r="AF796" s="171" t="s">
        <v>2516</v>
      </c>
      <c r="AG796" s="407"/>
      <c r="AH796" s="172"/>
      <c r="AI796" s="167"/>
      <c r="AJ796" s="168"/>
      <c r="AK796" s="168"/>
      <c r="AL796" s="15"/>
    </row>
    <row r="797" spans="1:38" ht="45" x14ac:dyDescent="0.3">
      <c r="A797" s="179"/>
      <c r="B797" s="292"/>
      <c r="C797" s="314"/>
      <c r="D797" s="293"/>
      <c r="E797" s="19" t="s">
        <v>2517</v>
      </c>
      <c r="F797" s="337" t="s">
        <v>2509</v>
      </c>
      <c r="G797" s="516"/>
      <c r="H797" s="338"/>
      <c r="I797" s="337" t="s">
        <v>768</v>
      </c>
      <c r="J797" s="338"/>
      <c r="K797" s="337" t="s">
        <v>2510</v>
      </c>
      <c r="L797" s="338"/>
      <c r="M797" s="349">
        <v>33</v>
      </c>
      <c r="N797" s="423"/>
      <c r="O797" s="350"/>
      <c r="P797" s="349">
        <v>2</v>
      </c>
      <c r="Q797" s="350"/>
      <c r="R797" s="22" t="s">
        <v>1127</v>
      </c>
      <c r="S797" s="423">
        <v>4</v>
      </c>
      <c r="T797" s="423"/>
      <c r="U797" s="350"/>
      <c r="V797" s="22" t="s">
        <v>2511</v>
      </c>
      <c r="W797" s="335">
        <v>55</v>
      </c>
      <c r="X797" s="335"/>
      <c r="Y797" s="335"/>
      <c r="Z797" s="336"/>
      <c r="AA797" s="337" t="s">
        <v>901</v>
      </c>
      <c r="AB797" s="338"/>
      <c r="AC797" s="162" t="s">
        <v>2512</v>
      </c>
      <c r="AD797" s="163"/>
      <c r="AE797" s="31" t="s">
        <v>1356</v>
      </c>
      <c r="AF797" s="162"/>
      <c r="AG797" s="170"/>
      <c r="AH797" s="163"/>
      <c r="AI797" s="167"/>
      <c r="AJ797" s="168"/>
      <c r="AK797" s="168"/>
      <c r="AL797" s="15"/>
    </row>
    <row r="798" spans="1:38" ht="60" x14ac:dyDescent="0.3">
      <c r="A798" s="230"/>
      <c r="B798" s="290"/>
      <c r="C798" s="345"/>
      <c r="D798" s="291"/>
      <c r="E798" s="19" t="s">
        <v>2518</v>
      </c>
      <c r="F798" s="337" t="s">
        <v>2509</v>
      </c>
      <c r="G798" s="516"/>
      <c r="H798" s="338"/>
      <c r="I798" s="337" t="s">
        <v>768</v>
      </c>
      <c r="J798" s="338"/>
      <c r="K798" s="337" t="s">
        <v>2510</v>
      </c>
      <c r="L798" s="338"/>
      <c r="M798" s="349">
        <v>33</v>
      </c>
      <c r="N798" s="423"/>
      <c r="O798" s="350"/>
      <c r="P798" s="349">
        <v>2</v>
      </c>
      <c r="Q798" s="350"/>
      <c r="R798" s="22" t="s">
        <v>1127</v>
      </c>
      <c r="S798" s="423">
        <v>4</v>
      </c>
      <c r="T798" s="423"/>
      <c r="U798" s="350"/>
      <c r="V798" s="22" t="s">
        <v>2511</v>
      </c>
      <c r="W798" s="335">
        <v>55</v>
      </c>
      <c r="X798" s="335"/>
      <c r="Y798" s="335"/>
      <c r="Z798" s="336"/>
      <c r="AA798" s="337" t="s">
        <v>901</v>
      </c>
      <c r="AB798" s="338"/>
      <c r="AC798" s="212" t="s">
        <v>2513</v>
      </c>
      <c r="AD798" s="213"/>
      <c r="AE798" s="31" t="s">
        <v>2515</v>
      </c>
      <c r="AF798" s="212"/>
      <c r="AG798" s="408"/>
      <c r="AH798" s="213"/>
      <c r="AI798" s="167"/>
      <c r="AJ798" s="168"/>
      <c r="AK798" s="168"/>
      <c r="AL798" s="15"/>
    </row>
    <row r="799" spans="1:38" ht="90" x14ac:dyDescent="0.3">
      <c r="A799" s="178"/>
      <c r="B799" s="303" t="s">
        <v>2519</v>
      </c>
      <c r="C799" s="344"/>
      <c r="D799" s="304"/>
      <c r="E799" s="19" t="s">
        <v>2520</v>
      </c>
      <c r="F799" s="351" t="s">
        <v>2521</v>
      </c>
      <c r="G799" s="444"/>
      <c r="H799" s="352"/>
      <c r="I799" s="337" t="s">
        <v>706</v>
      </c>
      <c r="J799" s="338"/>
      <c r="K799" s="337" t="s">
        <v>2522</v>
      </c>
      <c r="L799" s="338"/>
      <c r="M799" s="351" t="s">
        <v>946</v>
      </c>
      <c r="N799" s="444"/>
      <c r="O799" s="352"/>
      <c r="P799" s="349">
        <v>2</v>
      </c>
      <c r="Q799" s="350"/>
      <c r="R799" s="22" t="s">
        <v>1127</v>
      </c>
      <c r="S799" s="423">
        <v>4</v>
      </c>
      <c r="T799" s="423"/>
      <c r="U799" s="350"/>
      <c r="V799" s="22" t="s">
        <v>2523</v>
      </c>
      <c r="W799" s="335">
        <v>49</v>
      </c>
      <c r="X799" s="335"/>
      <c r="Y799" s="335"/>
      <c r="Z799" s="336"/>
      <c r="AA799" s="337" t="s">
        <v>1369</v>
      </c>
      <c r="AB799" s="338"/>
      <c r="AC799" s="171" t="s">
        <v>675</v>
      </c>
      <c r="AD799" s="172"/>
      <c r="AE799" s="24" t="s">
        <v>2526</v>
      </c>
      <c r="AF799" s="171" t="s">
        <v>2330</v>
      </c>
      <c r="AG799" s="407"/>
      <c r="AH799" s="172"/>
      <c r="AI799" s="167"/>
      <c r="AJ799" s="168"/>
      <c r="AK799" s="168"/>
      <c r="AL799" s="15"/>
    </row>
    <row r="800" spans="1:38" ht="45" x14ac:dyDescent="0.3">
      <c r="A800" s="179"/>
      <c r="B800" s="292"/>
      <c r="C800" s="314"/>
      <c r="D800" s="293"/>
      <c r="E800" s="19" t="s">
        <v>2528</v>
      </c>
      <c r="F800" s="351" t="s">
        <v>2521</v>
      </c>
      <c r="G800" s="444"/>
      <c r="H800" s="352"/>
      <c r="I800" s="337" t="s">
        <v>706</v>
      </c>
      <c r="J800" s="338"/>
      <c r="K800" s="337" t="s">
        <v>2522</v>
      </c>
      <c r="L800" s="338"/>
      <c r="M800" s="351" t="s">
        <v>946</v>
      </c>
      <c r="N800" s="444"/>
      <c r="O800" s="352"/>
      <c r="P800" s="349">
        <v>2</v>
      </c>
      <c r="Q800" s="350"/>
      <c r="R800" s="22" t="s">
        <v>1127</v>
      </c>
      <c r="S800" s="423">
        <v>4</v>
      </c>
      <c r="T800" s="423"/>
      <c r="U800" s="350"/>
      <c r="V800" s="22" t="s">
        <v>2523</v>
      </c>
      <c r="W800" s="335">
        <v>49</v>
      </c>
      <c r="X800" s="335"/>
      <c r="Y800" s="335"/>
      <c r="Z800" s="336"/>
      <c r="AA800" s="337" t="s">
        <v>1369</v>
      </c>
      <c r="AB800" s="338"/>
      <c r="AC800" s="162" t="s">
        <v>2524</v>
      </c>
      <c r="AD800" s="163"/>
      <c r="AE800" s="31" t="s">
        <v>1356</v>
      </c>
      <c r="AF800" s="162"/>
      <c r="AG800" s="170"/>
      <c r="AH800" s="163"/>
      <c r="AI800" s="167"/>
      <c r="AJ800" s="168"/>
      <c r="AK800" s="168"/>
      <c r="AL800" s="15"/>
    </row>
    <row r="801" spans="1:38" ht="60" x14ac:dyDescent="0.3">
      <c r="A801" s="230"/>
      <c r="B801" s="290"/>
      <c r="C801" s="345"/>
      <c r="D801" s="291"/>
      <c r="E801" s="19" t="s">
        <v>2529</v>
      </c>
      <c r="F801" s="351" t="s">
        <v>2521</v>
      </c>
      <c r="G801" s="444"/>
      <c r="H801" s="352"/>
      <c r="I801" s="337" t="s">
        <v>706</v>
      </c>
      <c r="J801" s="338"/>
      <c r="K801" s="337" t="s">
        <v>2522</v>
      </c>
      <c r="L801" s="338"/>
      <c r="M801" s="351" t="s">
        <v>946</v>
      </c>
      <c r="N801" s="444"/>
      <c r="O801" s="352"/>
      <c r="P801" s="349">
        <v>2</v>
      </c>
      <c r="Q801" s="350"/>
      <c r="R801" s="22" t="s">
        <v>1127</v>
      </c>
      <c r="S801" s="423">
        <v>4</v>
      </c>
      <c r="T801" s="423"/>
      <c r="U801" s="350"/>
      <c r="V801" s="22" t="s">
        <v>2523</v>
      </c>
      <c r="W801" s="335">
        <v>49</v>
      </c>
      <c r="X801" s="335"/>
      <c r="Y801" s="335"/>
      <c r="Z801" s="336"/>
      <c r="AA801" s="337" t="s">
        <v>1369</v>
      </c>
      <c r="AB801" s="338"/>
      <c r="AC801" s="212" t="s">
        <v>2525</v>
      </c>
      <c r="AD801" s="213"/>
      <c r="AE801" s="31" t="s">
        <v>2527</v>
      </c>
      <c r="AF801" s="212"/>
      <c r="AG801" s="408"/>
      <c r="AH801" s="213"/>
      <c r="AI801" s="167"/>
      <c r="AJ801" s="168"/>
      <c r="AK801" s="168"/>
      <c r="AL801" s="15"/>
    </row>
    <row r="802" spans="1:38" ht="75" x14ac:dyDescent="0.3">
      <c r="A802" s="178"/>
      <c r="B802" s="303" t="s">
        <v>2530</v>
      </c>
      <c r="C802" s="344"/>
      <c r="D802" s="304"/>
      <c r="E802" s="19" t="s">
        <v>2531</v>
      </c>
      <c r="F802" s="337" t="s">
        <v>2532</v>
      </c>
      <c r="G802" s="516"/>
      <c r="H802" s="338"/>
      <c r="I802" s="349">
        <v>4</v>
      </c>
      <c r="J802" s="350"/>
      <c r="K802" s="337" t="s">
        <v>2533</v>
      </c>
      <c r="L802" s="338"/>
      <c r="M802" s="351" t="s">
        <v>2534</v>
      </c>
      <c r="N802" s="444"/>
      <c r="O802" s="352"/>
      <c r="P802" s="349">
        <v>3</v>
      </c>
      <c r="Q802" s="350"/>
      <c r="R802" s="21">
        <v>10</v>
      </c>
      <c r="S802" s="423">
        <v>6</v>
      </c>
      <c r="T802" s="423"/>
      <c r="U802" s="350"/>
      <c r="V802" s="22" t="s">
        <v>2535</v>
      </c>
      <c r="W802" s="335">
        <v>69</v>
      </c>
      <c r="X802" s="335"/>
      <c r="Y802" s="335"/>
      <c r="Z802" s="336"/>
      <c r="AA802" s="337" t="s">
        <v>2536</v>
      </c>
      <c r="AB802" s="338"/>
      <c r="AC802" s="171" t="s">
        <v>675</v>
      </c>
      <c r="AD802" s="172"/>
      <c r="AE802" s="24" t="s">
        <v>2538</v>
      </c>
      <c r="AF802" s="171" t="s">
        <v>2540</v>
      </c>
      <c r="AG802" s="407"/>
      <c r="AH802" s="172"/>
      <c r="AI802" s="167"/>
      <c r="AJ802" s="136"/>
      <c r="AK802" s="136"/>
      <c r="AL802" s="15"/>
    </row>
    <row r="803" spans="1:38" ht="60" x14ac:dyDescent="0.3">
      <c r="A803" s="179"/>
      <c r="B803" s="292"/>
      <c r="C803" s="314"/>
      <c r="D803" s="293"/>
      <c r="E803" s="28" t="s">
        <v>2542</v>
      </c>
      <c r="F803" s="110" t="s">
        <v>2532</v>
      </c>
      <c r="G803" s="138"/>
      <c r="H803" s="111"/>
      <c r="I803" s="183">
        <v>4</v>
      </c>
      <c r="J803" s="185"/>
      <c r="K803" s="110" t="s">
        <v>2533</v>
      </c>
      <c r="L803" s="111"/>
      <c r="M803" s="114" t="s">
        <v>2543</v>
      </c>
      <c r="N803" s="115"/>
      <c r="O803" s="116"/>
      <c r="P803" s="183">
        <v>3</v>
      </c>
      <c r="Q803" s="185"/>
      <c r="R803" s="29">
        <v>10</v>
      </c>
      <c r="S803" s="184">
        <v>6</v>
      </c>
      <c r="T803" s="184"/>
      <c r="U803" s="185"/>
      <c r="V803" s="20" t="s">
        <v>2544</v>
      </c>
      <c r="W803" s="228">
        <v>69</v>
      </c>
      <c r="X803" s="228"/>
      <c r="Y803" s="228"/>
      <c r="Z803" s="229"/>
      <c r="AA803" s="110" t="s">
        <v>2545</v>
      </c>
      <c r="AB803" s="111"/>
      <c r="AC803" s="162" t="s">
        <v>2537</v>
      </c>
      <c r="AD803" s="163"/>
      <c r="AE803" s="31" t="s">
        <v>848</v>
      </c>
      <c r="AF803" s="162" t="s">
        <v>2541</v>
      </c>
      <c r="AG803" s="170"/>
      <c r="AH803" s="163"/>
      <c r="AI803" s="167"/>
      <c r="AJ803" s="136"/>
      <c r="AK803" s="136"/>
      <c r="AL803" s="15"/>
    </row>
    <row r="804" spans="1:38" ht="60" x14ac:dyDescent="0.3">
      <c r="A804" s="179"/>
      <c r="B804" s="292"/>
      <c r="C804" s="314"/>
      <c r="D804" s="293"/>
      <c r="E804" s="28" t="s">
        <v>2546</v>
      </c>
      <c r="F804" s="110" t="s">
        <v>2532</v>
      </c>
      <c r="G804" s="138"/>
      <c r="H804" s="111"/>
      <c r="I804" s="183">
        <v>4</v>
      </c>
      <c r="J804" s="185"/>
      <c r="K804" s="110" t="s">
        <v>2533</v>
      </c>
      <c r="L804" s="111"/>
      <c r="M804" s="114" t="s">
        <v>2547</v>
      </c>
      <c r="N804" s="115"/>
      <c r="O804" s="116"/>
      <c r="P804" s="183">
        <v>3</v>
      </c>
      <c r="Q804" s="185"/>
      <c r="R804" s="29">
        <v>10</v>
      </c>
      <c r="S804" s="184">
        <v>6</v>
      </c>
      <c r="T804" s="184"/>
      <c r="U804" s="185"/>
      <c r="V804" s="20" t="s">
        <v>2548</v>
      </c>
      <c r="W804" s="228">
        <v>75</v>
      </c>
      <c r="X804" s="228"/>
      <c r="Y804" s="228"/>
      <c r="Z804" s="229"/>
      <c r="AA804" s="110" t="s">
        <v>2549</v>
      </c>
      <c r="AB804" s="111"/>
      <c r="AC804" s="162"/>
      <c r="AD804" s="163"/>
      <c r="AE804" s="31" t="s">
        <v>1356</v>
      </c>
      <c r="AF804" s="162"/>
      <c r="AG804" s="170"/>
      <c r="AH804" s="163"/>
      <c r="AI804" s="167"/>
      <c r="AJ804" s="136"/>
      <c r="AK804" s="136"/>
      <c r="AL804" s="15"/>
    </row>
    <row r="805" spans="1:38" ht="60" x14ac:dyDescent="0.3">
      <c r="A805" s="179"/>
      <c r="B805" s="292"/>
      <c r="C805" s="314"/>
      <c r="D805" s="293"/>
      <c r="E805" s="28" t="s">
        <v>2550</v>
      </c>
      <c r="F805" s="110" t="s">
        <v>2551</v>
      </c>
      <c r="G805" s="138"/>
      <c r="H805" s="111"/>
      <c r="I805" s="110" t="s">
        <v>1140</v>
      </c>
      <c r="J805" s="111"/>
      <c r="K805" s="114" t="s">
        <v>2174</v>
      </c>
      <c r="L805" s="116"/>
      <c r="M805" s="183">
        <v>88</v>
      </c>
      <c r="N805" s="184"/>
      <c r="O805" s="185"/>
      <c r="P805" s="183">
        <v>5</v>
      </c>
      <c r="Q805" s="185"/>
      <c r="R805" s="29">
        <v>19</v>
      </c>
      <c r="S805" s="184">
        <v>6</v>
      </c>
      <c r="T805" s="184"/>
      <c r="U805" s="185"/>
      <c r="V805" s="20" t="s">
        <v>2434</v>
      </c>
      <c r="W805" s="657">
        <v>120</v>
      </c>
      <c r="X805" s="657"/>
      <c r="Y805" s="657"/>
      <c r="Z805" s="658"/>
      <c r="AA805" s="110" t="s">
        <v>2552</v>
      </c>
      <c r="AB805" s="111"/>
      <c r="AC805" s="162"/>
      <c r="AD805" s="163"/>
      <c r="AE805" s="31" t="s">
        <v>2539</v>
      </c>
      <c r="AF805" s="162"/>
      <c r="AG805" s="170"/>
      <c r="AH805" s="163"/>
      <c r="AI805" s="167"/>
      <c r="AJ805" s="136"/>
      <c r="AK805" s="136"/>
      <c r="AL805" s="15"/>
    </row>
    <row r="806" spans="1:38" ht="60" x14ac:dyDescent="0.3">
      <c r="A806" s="179"/>
      <c r="B806" s="292"/>
      <c r="C806" s="314"/>
      <c r="D806" s="293"/>
      <c r="E806" s="19" t="s">
        <v>2553</v>
      </c>
      <c r="F806" s="337" t="s">
        <v>2551</v>
      </c>
      <c r="G806" s="516"/>
      <c r="H806" s="338"/>
      <c r="I806" s="337" t="s">
        <v>1140</v>
      </c>
      <c r="J806" s="338"/>
      <c r="K806" s="351" t="s">
        <v>2174</v>
      </c>
      <c r="L806" s="352"/>
      <c r="M806" s="351" t="s">
        <v>2554</v>
      </c>
      <c r="N806" s="444"/>
      <c r="O806" s="352"/>
      <c r="P806" s="349">
        <v>5</v>
      </c>
      <c r="Q806" s="350"/>
      <c r="R806" s="21">
        <v>19</v>
      </c>
      <c r="S806" s="423">
        <v>6</v>
      </c>
      <c r="T806" s="423"/>
      <c r="U806" s="350"/>
      <c r="V806" s="22" t="s">
        <v>2555</v>
      </c>
      <c r="W806" s="647">
        <v>120</v>
      </c>
      <c r="X806" s="647"/>
      <c r="Y806" s="647"/>
      <c r="Z806" s="648"/>
      <c r="AA806" s="337" t="s">
        <v>2556</v>
      </c>
      <c r="AB806" s="338"/>
      <c r="AC806" s="162"/>
      <c r="AD806" s="163"/>
      <c r="AE806" s="31"/>
      <c r="AF806" s="162"/>
      <c r="AG806" s="170"/>
      <c r="AH806" s="163"/>
      <c r="AI806" s="167"/>
      <c r="AJ806" s="136"/>
      <c r="AK806" s="136"/>
      <c r="AL806" s="15"/>
    </row>
    <row r="807" spans="1:38" ht="60" x14ac:dyDescent="0.3">
      <c r="A807" s="230"/>
      <c r="B807" s="290"/>
      <c r="C807" s="345"/>
      <c r="D807" s="291"/>
      <c r="E807" s="28" t="s">
        <v>2557</v>
      </c>
      <c r="F807" s="110" t="s">
        <v>2551</v>
      </c>
      <c r="G807" s="138"/>
      <c r="H807" s="111"/>
      <c r="I807" s="110" t="s">
        <v>1140</v>
      </c>
      <c r="J807" s="111"/>
      <c r="K807" s="114" t="s">
        <v>2174</v>
      </c>
      <c r="L807" s="116"/>
      <c r="M807" s="183">
        <v>94</v>
      </c>
      <c r="N807" s="184"/>
      <c r="O807" s="185"/>
      <c r="P807" s="183">
        <v>5</v>
      </c>
      <c r="Q807" s="185"/>
      <c r="R807" s="29">
        <v>19</v>
      </c>
      <c r="S807" s="184">
        <v>6</v>
      </c>
      <c r="T807" s="184"/>
      <c r="U807" s="185"/>
      <c r="V807" s="20" t="s">
        <v>2558</v>
      </c>
      <c r="W807" s="657">
        <v>125</v>
      </c>
      <c r="X807" s="657"/>
      <c r="Y807" s="657"/>
      <c r="Z807" s="658"/>
      <c r="AA807" s="110" t="s">
        <v>2056</v>
      </c>
      <c r="AB807" s="111"/>
      <c r="AC807" s="212"/>
      <c r="AD807" s="213"/>
      <c r="AE807" s="31"/>
      <c r="AF807" s="212"/>
      <c r="AG807" s="408"/>
      <c r="AH807" s="213"/>
      <c r="AI807" s="167"/>
      <c r="AJ807" s="136"/>
      <c r="AK807" s="136"/>
      <c r="AL807" s="15"/>
    </row>
    <row r="808" spans="1:38" ht="75" x14ac:dyDescent="0.3">
      <c r="A808" s="178"/>
      <c r="B808" s="303" t="s">
        <v>2559</v>
      </c>
      <c r="C808" s="344"/>
      <c r="D808" s="304"/>
      <c r="E808" s="19" t="s">
        <v>2560</v>
      </c>
      <c r="F808" s="337" t="s">
        <v>2561</v>
      </c>
      <c r="G808" s="516"/>
      <c r="H808" s="338"/>
      <c r="I808" s="337" t="s">
        <v>1023</v>
      </c>
      <c r="J808" s="338"/>
      <c r="K808" s="337" t="s">
        <v>2562</v>
      </c>
      <c r="L808" s="338"/>
      <c r="M808" s="351" t="s">
        <v>2384</v>
      </c>
      <c r="N808" s="444"/>
      <c r="O808" s="352"/>
      <c r="P808" s="351" t="s">
        <v>688</v>
      </c>
      <c r="Q808" s="352"/>
      <c r="R808" s="21">
        <v>6</v>
      </c>
      <c r="S808" s="423">
        <v>4</v>
      </c>
      <c r="T808" s="423"/>
      <c r="U808" s="350"/>
      <c r="V808" s="22" t="s">
        <v>2385</v>
      </c>
      <c r="W808" s="335">
        <v>49</v>
      </c>
      <c r="X808" s="335"/>
      <c r="Y808" s="335"/>
      <c r="Z808" s="336"/>
      <c r="AA808" s="337" t="s">
        <v>826</v>
      </c>
      <c r="AB808" s="338"/>
      <c r="AC808" s="171" t="s">
        <v>675</v>
      </c>
      <c r="AD808" s="172"/>
      <c r="AE808" s="24" t="s">
        <v>2564</v>
      </c>
      <c r="AF808" s="171" t="s">
        <v>2566</v>
      </c>
      <c r="AG808" s="407"/>
      <c r="AH808" s="172"/>
      <c r="AI808" s="167"/>
      <c r="AJ808" s="136"/>
      <c r="AK808" s="136"/>
      <c r="AL808" s="15"/>
    </row>
    <row r="809" spans="1:38" ht="75" x14ac:dyDescent="0.3">
      <c r="A809" s="179"/>
      <c r="B809" s="292"/>
      <c r="C809" s="314"/>
      <c r="D809" s="293"/>
      <c r="E809" s="19" t="s">
        <v>2567</v>
      </c>
      <c r="F809" s="337" t="s">
        <v>2561</v>
      </c>
      <c r="G809" s="516"/>
      <c r="H809" s="338"/>
      <c r="I809" s="337" t="s">
        <v>1023</v>
      </c>
      <c r="J809" s="338"/>
      <c r="K809" s="337" t="s">
        <v>2562</v>
      </c>
      <c r="L809" s="338"/>
      <c r="M809" s="351" t="s">
        <v>2384</v>
      </c>
      <c r="N809" s="444"/>
      <c r="O809" s="352"/>
      <c r="P809" s="351" t="s">
        <v>688</v>
      </c>
      <c r="Q809" s="352"/>
      <c r="R809" s="21">
        <v>6</v>
      </c>
      <c r="S809" s="423">
        <v>4</v>
      </c>
      <c r="T809" s="423"/>
      <c r="U809" s="350"/>
      <c r="V809" s="22" t="s">
        <v>2385</v>
      </c>
      <c r="W809" s="335">
        <v>49</v>
      </c>
      <c r="X809" s="335"/>
      <c r="Y809" s="335"/>
      <c r="Z809" s="336"/>
      <c r="AA809" s="337" t="s">
        <v>826</v>
      </c>
      <c r="AB809" s="338"/>
      <c r="AC809" s="162" t="s">
        <v>2563</v>
      </c>
      <c r="AD809" s="163"/>
      <c r="AE809" s="31" t="s">
        <v>848</v>
      </c>
      <c r="AF809" s="162" t="s">
        <v>2541</v>
      </c>
      <c r="AG809" s="170"/>
      <c r="AH809" s="163"/>
      <c r="AI809" s="167"/>
      <c r="AJ809" s="136"/>
      <c r="AK809" s="136"/>
      <c r="AL809" s="15"/>
    </row>
    <row r="810" spans="1:38" ht="75" x14ac:dyDescent="0.3">
      <c r="A810" s="179"/>
      <c r="B810" s="292"/>
      <c r="C810" s="314"/>
      <c r="D810" s="293"/>
      <c r="E810" s="19" t="s">
        <v>2568</v>
      </c>
      <c r="F810" s="337" t="s">
        <v>2561</v>
      </c>
      <c r="G810" s="516"/>
      <c r="H810" s="338"/>
      <c r="I810" s="337" t="s">
        <v>1023</v>
      </c>
      <c r="J810" s="338"/>
      <c r="K810" s="337" t="s">
        <v>2562</v>
      </c>
      <c r="L810" s="338"/>
      <c r="M810" s="351" t="s">
        <v>2384</v>
      </c>
      <c r="N810" s="444"/>
      <c r="O810" s="352"/>
      <c r="P810" s="351" t="s">
        <v>688</v>
      </c>
      <c r="Q810" s="352"/>
      <c r="R810" s="21">
        <v>6</v>
      </c>
      <c r="S810" s="423">
        <v>4</v>
      </c>
      <c r="T810" s="423"/>
      <c r="U810" s="350"/>
      <c r="V810" s="22" t="s">
        <v>2385</v>
      </c>
      <c r="W810" s="335">
        <v>49</v>
      </c>
      <c r="X810" s="335"/>
      <c r="Y810" s="335"/>
      <c r="Z810" s="336"/>
      <c r="AA810" s="337" t="s">
        <v>826</v>
      </c>
      <c r="AB810" s="338"/>
      <c r="AC810" s="162"/>
      <c r="AD810" s="163"/>
      <c r="AE810" s="31" t="s">
        <v>1356</v>
      </c>
      <c r="AF810" s="162"/>
      <c r="AG810" s="170"/>
      <c r="AH810" s="163"/>
      <c r="AI810" s="167"/>
      <c r="AJ810" s="136"/>
      <c r="AK810" s="136"/>
      <c r="AL810" s="15"/>
    </row>
    <row r="811" spans="1:38" ht="75" x14ac:dyDescent="0.3">
      <c r="A811" s="230"/>
      <c r="B811" s="290"/>
      <c r="C811" s="345"/>
      <c r="D811" s="291"/>
      <c r="E811" s="19" t="s">
        <v>2569</v>
      </c>
      <c r="F811" s="337" t="s">
        <v>2561</v>
      </c>
      <c r="G811" s="516"/>
      <c r="H811" s="338"/>
      <c r="I811" s="337" t="s">
        <v>1023</v>
      </c>
      <c r="J811" s="338"/>
      <c r="K811" s="337" t="s">
        <v>2562</v>
      </c>
      <c r="L811" s="338"/>
      <c r="M811" s="351" t="s">
        <v>2384</v>
      </c>
      <c r="N811" s="444"/>
      <c r="O811" s="352"/>
      <c r="P811" s="351" t="s">
        <v>688</v>
      </c>
      <c r="Q811" s="352"/>
      <c r="R811" s="21">
        <v>6</v>
      </c>
      <c r="S811" s="423">
        <v>4</v>
      </c>
      <c r="T811" s="423"/>
      <c r="U811" s="350"/>
      <c r="V811" s="22" t="s">
        <v>2385</v>
      </c>
      <c r="W811" s="335">
        <v>49</v>
      </c>
      <c r="X811" s="335"/>
      <c r="Y811" s="335"/>
      <c r="Z811" s="336"/>
      <c r="AA811" s="337" t="s">
        <v>826</v>
      </c>
      <c r="AB811" s="338"/>
      <c r="AC811" s="212"/>
      <c r="AD811" s="213"/>
      <c r="AE811" s="31" t="s">
        <v>2565</v>
      </c>
      <c r="AF811" s="212"/>
      <c r="AG811" s="408"/>
      <c r="AH811" s="213"/>
      <c r="AI811" s="214"/>
      <c r="AJ811" s="136"/>
      <c r="AK811" s="136"/>
      <c r="AL811" s="15"/>
    </row>
    <row r="812" spans="1:38" ht="90" x14ac:dyDescent="0.3">
      <c r="A812" s="178"/>
      <c r="B812" s="303" t="s">
        <v>2570</v>
      </c>
      <c r="C812" s="344"/>
      <c r="D812" s="304"/>
      <c r="E812" s="19" t="s">
        <v>2571</v>
      </c>
      <c r="F812" s="351" t="s">
        <v>2572</v>
      </c>
      <c r="G812" s="444"/>
      <c r="H812" s="352"/>
      <c r="I812" s="349">
        <v>1</v>
      </c>
      <c r="J812" s="350"/>
      <c r="K812" s="337" t="s">
        <v>2573</v>
      </c>
      <c r="L812" s="338"/>
      <c r="M812" s="337" t="s">
        <v>1062</v>
      </c>
      <c r="N812" s="516"/>
      <c r="O812" s="338"/>
      <c r="P812" s="349">
        <v>1</v>
      </c>
      <c r="Q812" s="350"/>
      <c r="R812" s="21">
        <v>3</v>
      </c>
      <c r="S812" s="423">
        <v>3</v>
      </c>
      <c r="T812" s="423"/>
      <c r="U812" s="350"/>
      <c r="V812" s="22" t="s">
        <v>2574</v>
      </c>
      <c r="W812" s="335">
        <v>38</v>
      </c>
      <c r="X812" s="335"/>
      <c r="Y812" s="335"/>
      <c r="Z812" s="336"/>
      <c r="AA812" s="337" t="s">
        <v>922</v>
      </c>
      <c r="AB812" s="338"/>
      <c r="AC812" s="171" t="s">
        <v>675</v>
      </c>
      <c r="AD812" s="172"/>
      <c r="AE812" s="16" t="s">
        <v>2576</v>
      </c>
      <c r="AF812" s="303" t="s">
        <v>1249</v>
      </c>
      <c r="AG812" s="344"/>
      <c r="AH812" s="304"/>
      <c r="AI812" s="24" t="s">
        <v>2578</v>
      </c>
      <c r="AJ812" s="135"/>
      <c r="AK812" s="136"/>
      <c r="AL812" s="15"/>
    </row>
    <row r="813" spans="1:38" ht="120" x14ac:dyDescent="0.3">
      <c r="A813" s="179"/>
      <c r="B813" s="292"/>
      <c r="C813" s="314"/>
      <c r="D813" s="293"/>
      <c r="E813" s="19" t="s">
        <v>2580</v>
      </c>
      <c r="F813" s="351" t="s">
        <v>2572</v>
      </c>
      <c r="G813" s="444"/>
      <c r="H813" s="352"/>
      <c r="I813" s="349">
        <v>1</v>
      </c>
      <c r="J813" s="350"/>
      <c r="K813" s="337" t="s">
        <v>2573</v>
      </c>
      <c r="L813" s="338"/>
      <c r="M813" s="337" t="s">
        <v>1537</v>
      </c>
      <c r="N813" s="516"/>
      <c r="O813" s="338"/>
      <c r="P813" s="349">
        <v>1</v>
      </c>
      <c r="Q813" s="350"/>
      <c r="R813" s="21">
        <v>3</v>
      </c>
      <c r="S813" s="423">
        <v>3</v>
      </c>
      <c r="T813" s="423"/>
      <c r="U813" s="350"/>
      <c r="V813" s="22" t="s">
        <v>2581</v>
      </c>
      <c r="W813" s="335">
        <v>38</v>
      </c>
      <c r="X813" s="335"/>
      <c r="Y813" s="335"/>
      <c r="Z813" s="336"/>
      <c r="AA813" s="337" t="s">
        <v>922</v>
      </c>
      <c r="AB813" s="338"/>
      <c r="AC813" s="162" t="s">
        <v>2575</v>
      </c>
      <c r="AD813" s="163"/>
      <c r="AE813" s="43" t="s">
        <v>848</v>
      </c>
      <c r="AF813" s="292"/>
      <c r="AG813" s="314"/>
      <c r="AH813" s="293"/>
      <c r="AI813" s="31" t="s">
        <v>2579</v>
      </c>
      <c r="AJ813" s="135"/>
      <c r="AK813" s="136"/>
      <c r="AL813" s="15"/>
    </row>
    <row r="814" spans="1:38" ht="90" x14ac:dyDescent="0.3">
      <c r="A814" s="179"/>
      <c r="B814" s="292"/>
      <c r="C814" s="314"/>
      <c r="D814" s="293"/>
      <c r="E814" s="19" t="s">
        <v>2582</v>
      </c>
      <c r="F814" s="351" t="s">
        <v>2572</v>
      </c>
      <c r="G814" s="444"/>
      <c r="H814" s="352"/>
      <c r="I814" s="349">
        <v>1</v>
      </c>
      <c r="J814" s="350"/>
      <c r="K814" s="337" t="s">
        <v>2573</v>
      </c>
      <c r="L814" s="338"/>
      <c r="M814" s="337" t="s">
        <v>1062</v>
      </c>
      <c r="N814" s="516"/>
      <c r="O814" s="338"/>
      <c r="P814" s="349">
        <v>1</v>
      </c>
      <c r="Q814" s="350"/>
      <c r="R814" s="21">
        <v>3</v>
      </c>
      <c r="S814" s="423">
        <v>3</v>
      </c>
      <c r="T814" s="423"/>
      <c r="U814" s="350"/>
      <c r="V814" s="22" t="s">
        <v>2574</v>
      </c>
      <c r="W814" s="335">
        <v>38</v>
      </c>
      <c r="X814" s="335"/>
      <c r="Y814" s="335"/>
      <c r="Z814" s="336"/>
      <c r="AA814" s="337" t="s">
        <v>922</v>
      </c>
      <c r="AB814" s="338"/>
      <c r="AC814" s="162"/>
      <c r="AD814" s="163"/>
      <c r="AE814" s="43" t="s">
        <v>1356</v>
      </c>
      <c r="AF814" s="292"/>
      <c r="AG814" s="314"/>
      <c r="AH814" s="293"/>
      <c r="AI814" s="31"/>
      <c r="AJ814" s="135"/>
      <c r="AK814" s="136"/>
      <c r="AL814" s="15"/>
    </row>
    <row r="815" spans="1:38" ht="90" x14ac:dyDescent="0.3">
      <c r="A815" s="230"/>
      <c r="B815" s="290"/>
      <c r="C815" s="345"/>
      <c r="D815" s="291"/>
      <c r="E815" s="19" t="s">
        <v>2583</v>
      </c>
      <c r="F815" s="351" t="s">
        <v>2572</v>
      </c>
      <c r="G815" s="444"/>
      <c r="H815" s="352"/>
      <c r="I815" s="349">
        <v>1</v>
      </c>
      <c r="J815" s="350"/>
      <c r="K815" s="337" t="s">
        <v>2573</v>
      </c>
      <c r="L815" s="338"/>
      <c r="M815" s="337" t="s">
        <v>1537</v>
      </c>
      <c r="N815" s="516"/>
      <c r="O815" s="338"/>
      <c r="P815" s="349">
        <v>1</v>
      </c>
      <c r="Q815" s="350"/>
      <c r="R815" s="21">
        <v>3</v>
      </c>
      <c r="S815" s="423">
        <v>3</v>
      </c>
      <c r="T815" s="423"/>
      <c r="U815" s="350"/>
      <c r="V815" s="22" t="s">
        <v>2581</v>
      </c>
      <c r="W815" s="335">
        <v>38</v>
      </c>
      <c r="X815" s="335"/>
      <c r="Y815" s="335"/>
      <c r="Z815" s="336"/>
      <c r="AA815" s="337" t="s">
        <v>922</v>
      </c>
      <c r="AB815" s="338"/>
      <c r="AC815" s="212"/>
      <c r="AD815" s="213"/>
      <c r="AE815" s="43" t="s">
        <v>2577</v>
      </c>
      <c r="AF815" s="290"/>
      <c r="AG815" s="345"/>
      <c r="AH815" s="291"/>
      <c r="AI815" s="31"/>
      <c r="AJ815" s="135"/>
      <c r="AK815" s="136"/>
      <c r="AL815" s="15"/>
    </row>
    <row r="816" spans="1:38" ht="90" x14ac:dyDescent="0.3">
      <c r="A816" s="178"/>
      <c r="B816" s="303" t="s">
        <v>2584</v>
      </c>
      <c r="C816" s="344"/>
      <c r="D816" s="304"/>
      <c r="E816" s="66" t="s">
        <v>2585</v>
      </c>
      <c r="F816" s="192" t="s">
        <v>2586</v>
      </c>
      <c r="G816" s="196"/>
      <c r="H816" s="193"/>
      <c r="I816" s="192" t="s">
        <v>1261</v>
      </c>
      <c r="J816" s="193"/>
      <c r="K816" s="192" t="s">
        <v>2587</v>
      </c>
      <c r="L816" s="193"/>
      <c r="M816" s="387">
        <v>51</v>
      </c>
      <c r="N816" s="495"/>
      <c r="O816" s="388"/>
      <c r="P816" s="387">
        <v>3</v>
      </c>
      <c r="Q816" s="388"/>
      <c r="R816" s="387">
        <v>7</v>
      </c>
      <c r="S816" s="495">
        <v>4</v>
      </c>
      <c r="T816" s="495"/>
      <c r="U816" s="388"/>
      <c r="V816" s="171" t="s">
        <v>2588</v>
      </c>
      <c r="W816" s="253">
        <v>89</v>
      </c>
      <c r="X816" s="253"/>
      <c r="Y816" s="253"/>
      <c r="Z816" s="254"/>
      <c r="AA816" s="192" t="s">
        <v>1338</v>
      </c>
      <c r="AB816" s="193"/>
      <c r="AC816" s="171" t="s">
        <v>675</v>
      </c>
      <c r="AD816" s="172"/>
      <c r="AE816" s="24" t="s">
        <v>2591</v>
      </c>
      <c r="AF816" s="171" t="s">
        <v>2330</v>
      </c>
      <c r="AG816" s="407"/>
      <c r="AH816" s="172"/>
      <c r="AI816" s="24" t="s">
        <v>2593</v>
      </c>
      <c r="AJ816" s="167"/>
      <c r="AK816" s="168"/>
      <c r="AL816" s="15"/>
    </row>
    <row r="817" spans="1:38" ht="45" x14ac:dyDescent="0.3">
      <c r="A817" s="179"/>
      <c r="B817" s="292"/>
      <c r="C817" s="314"/>
      <c r="D817" s="293"/>
      <c r="E817" s="67"/>
      <c r="F817" s="194"/>
      <c r="G817" s="197"/>
      <c r="H817" s="195"/>
      <c r="I817" s="194"/>
      <c r="J817" s="195"/>
      <c r="K817" s="194"/>
      <c r="L817" s="195"/>
      <c r="M817" s="389"/>
      <c r="N817" s="496"/>
      <c r="O817" s="390"/>
      <c r="P817" s="389"/>
      <c r="Q817" s="390"/>
      <c r="R817" s="389"/>
      <c r="S817" s="496"/>
      <c r="T817" s="496"/>
      <c r="U817" s="390"/>
      <c r="V817" s="212"/>
      <c r="W817" s="256"/>
      <c r="X817" s="256"/>
      <c r="Y817" s="256"/>
      <c r="Z817" s="257"/>
      <c r="AA817" s="194"/>
      <c r="AB817" s="195"/>
      <c r="AC817" s="162" t="s">
        <v>2589</v>
      </c>
      <c r="AD817" s="163"/>
      <c r="AE817" s="31" t="s">
        <v>1356</v>
      </c>
      <c r="AF817" s="162"/>
      <c r="AG817" s="170"/>
      <c r="AH817" s="163"/>
      <c r="AI817" s="31" t="s">
        <v>681</v>
      </c>
      <c r="AJ817" s="167"/>
      <c r="AK817" s="168"/>
      <c r="AL817" s="15"/>
    </row>
    <row r="818" spans="1:38" ht="75" x14ac:dyDescent="0.3">
      <c r="A818" s="179"/>
      <c r="B818" s="292"/>
      <c r="C818" s="314"/>
      <c r="D818" s="293"/>
      <c r="E818" s="19" t="s">
        <v>2595</v>
      </c>
      <c r="F818" s="337" t="s">
        <v>2586</v>
      </c>
      <c r="G818" s="516"/>
      <c r="H818" s="338"/>
      <c r="I818" s="337" t="s">
        <v>1261</v>
      </c>
      <c r="J818" s="338"/>
      <c r="K818" s="337" t="s">
        <v>2587</v>
      </c>
      <c r="L818" s="338"/>
      <c r="M818" s="349">
        <v>51</v>
      </c>
      <c r="N818" s="423"/>
      <c r="O818" s="350"/>
      <c r="P818" s="349">
        <v>3</v>
      </c>
      <c r="Q818" s="350"/>
      <c r="R818" s="21">
        <v>7</v>
      </c>
      <c r="S818" s="423">
        <v>4</v>
      </c>
      <c r="T818" s="423"/>
      <c r="U818" s="350"/>
      <c r="V818" s="22" t="s">
        <v>2588</v>
      </c>
      <c r="W818" s="335">
        <v>89</v>
      </c>
      <c r="X818" s="335"/>
      <c r="Y818" s="335"/>
      <c r="Z818" s="336"/>
      <c r="AA818" s="337" t="s">
        <v>1338</v>
      </c>
      <c r="AB818" s="338"/>
      <c r="AC818" s="162" t="s">
        <v>2211</v>
      </c>
      <c r="AD818" s="163"/>
      <c r="AE818" s="31" t="s">
        <v>2592</v>
      </c>
      <c r="AF818" s="162"/>
      <c r="AG818" s="170"/>
      <c r="AH818" s="163"/>
      <c r="AI818" s="31" t="s">
        <v>2594</v>
      </c>
      <c r="AJ818" s="167"/>
      <c r="AK818" s="168"/>
      <c r="AL818" s="15"/>
    </row>
    <row r="819" spans="1:38" ht="45" x14ac:dyDescent="0.3">
      <c r="A819" s="230"/>
      <c r="B819" s="290"/>
      <c r="C819" s="345"/>
      <c r="D819" s="291"/>
      <c r="E819" s="19" t="s">
        <v>2596</v>
      </c>
      <c r="F819" s="337" t="s">
        <v>2586</v>
      </c>
      <c r="G819" s="516"/>
      <c r="H819" s="338"/>
      <c r="I819" s="337" t="s">
        <v>1261</v>
      </c>
      <c r="J819" s="338"/>
      <c r="K819" s="337" t="s">
        <v>2587</v>
      </c>
      <c r="L819" s="338"/>
      <c r="M819" s="349">
        <v>51</v>
      </c>
      <c r="N819" s="423"/>
      <c r="O819" s="350"/>
      <c r="P819" s="349">
        <v>3</v>
      </c>
      <c r="Q819" s="350"/>
      <c r="R819" s="21">
        <v>7</v>
      </c>
      <c r="S819" s="423">
        <v>4</v>
      </c>
      <c r="T819" s="423"/>
      <c r="U819" s="350"/>
      <c r="V819" s="22" t="s">
        <v>2588</v>
      </c>
      <c r="W819" s="335">
        <v>89</v>
      </c>
      <c r="X819" s="335"/>
      <c r="Y819" s="335"/>
      <c r="Z819" s="336"/>
      <c r="AA819" s="337" t="s">
        <v>1338</v>
      </c>
      <c r="AB819" s="338"/>
      <c r="AC819" s="212" t="s">
        <v>2590</v>
      </c>
      <c r="AD819" s="213"/>
      <c r="AE819" s="31"/>
      <c r="AF819" s="212"/>
      <c r="AG819" s="408"/>
      <c r="AH819" s="213"/>
      <c r="AI819" s="31"/>
      <c r="AJ819" s="167"/>
      <c r="AK819" s="168"/>
      <c r="AL819" s="15"/>
    </row>
    <row r="820" spans="1:38" ht="90" x14ac:dyDescent="0.3">
      <c r="A820" s="178"/>
      <c r="B820" s="303" t="s">
        <v>2597</v>
      </c>
      <c r="C820" s="344"/>
      <c r="D820" s="304"/>
      <c r="E820" s="28" t="s">
        <v>2598</v>
      </c>
      <c r="F820" s="110" t="s">
        <v>2599</v>
      </c>
      <c r="G820" s="138"/>
      <c r="H820" s="111"/>
      <c r="I820" s="183">
        <v>22</v>
      </c>
      <c r="J820" s="185"/>
      <c r="K820" s="114" t="s">
        <v>2600</v>
      </c>
      <c r="L820" s="116"/>
      <c r="M820" s="183">
        <v>172</v>
      </c>
      <c r="N820" s="184"/>
      <c r="O820" s="185"/>
      <c r="P820" s="114" t="s">
        <v>2601</v>
      </c>
      <c r="Q820" s="116"/>
      <c r="R820" s="29">
        <v>30</v>
      </c>
      <c r="S820" s="659">
        <v>15</v>
      </c>
      <c r="T820" s="659"/>
      <c r="U820" s="660"/>
      <c r="V820" s="20" t="s">
        <v>2602</v>
      </c>
      <c r="W820" s="657">
        <v>279</v>
      </c>
      <c r="X820" s="657"/>
      <c r="Y820" s="657"/>
      <c r="Z820" s="658"/>
      <c r="AA820" s="110" t="s">
        <v>1174</v>
      </c>
      <c r="AB820" s="111"/>
      <c r="AC820" s="171" t="s">
        <v>675</v>
      </c>
      <c r="AD820" s="172"/>
      <c r="AE820" s="24" t="s">
        <v>2604</v>
      </c>
      <c r="AF820" s="303" t="s">
        <v>2606</v>
      </c>
      <c r="AG820" s="344"/>
      <c r="AH820" s="304"/>
      <c r="AI820" s="164"/>
      <c r="AJ820" s="136"/>
      <c r="AK820" s="136"/>
      <c r="AL820" s="15"/>
    </row>
    <row r="821" spans="1:38" ht="75" x14ac:dyDescent="0.3">
      <c r="A821" s="179"/>
      <c r="B821" s="292"/>
      <c r="C821" s="314"/>
      <c r="D821" s="293"/>
      <c r="E821" s="28" t="s">
        <v>2607</v>
      </c>
      <c r="F821" s="110" t="s">
        <v>2599</v>
      </c>
      <c r="G821" s="138"/>
      <c r="H821" s="111"/>
      <c r="I821" s="183">
        <v>22</v>
      </c>
      <c r="J821" s="185"/>
      <c r="K821" s="114" t="s">
        <v>2600</v>
      </c>
      <c r="L821" s="116"/>
      <c r="M821" s="183">
        <v>172</v>
      </c>
      <c r="N821" s="184"/>
      <c r="O821" s="185"/>
      <c r="P821" s="114" t="s">
        <v>2601</v>
      </c>
      <c r="Q821" s="116"/>
      <c r="R821" s="29">
        <v>30</v>
      </c>
      <c r="S821" s="659">
        <v>15</v>
      </c>
      <c r="T821" s="659"/>
      <c r="U821" s="660"/>
      <c r="V821" s="20" t="s">
        <v>2602</v>
      </c>
      <c r="W821" s="657">
        <v>279</v>
      </c>
      <c r="X821" s="657"/>
      <c r="Y821" s="657"/>
      <c r="Z821" s="658"/>
      <c r="AA821" s="110" t="s">
        <v>1174</v>
      </c>
      <c r="AB821" s="111"/>
      <c r="AC821" s="162" t="s">
        <v>2603</v>
      </c>
      <c r="AD821" s="163"/>
      <c r="AE821" s="31" t="s">
        <v>1356</v>
      </c>
      <c r="AF821" s="292"/>
      <c r="AG821" s="314"/>
      <c r="AH821" s="293"/>
      <c r="AI821" s="167"/>
      <c r="AJ821" s="136"/>
      <c r="AK821" s="136"/>
      <c r="AL821" s="15"/>
    </row>
    <row r="822" spans="1:38" ht="75" x14ac:dyDescent="0.3">
      <c r="A822" s="179"/>
      <c r="B822" s="292"/>
      <c r="C822" s="314"/>
      <c r="D822" s="293"/>
      <c r="E822" s="28" t="s">
        <v>2608</v>
      </c>
      <c r="F822" s="110" t="s">
        <v>2609</v>
      </c>
      <c r="G822" s="138"/>
      <c r="H822" s="111"/>
      <c r="I822" s="183">
        <v>24</v>
      </c>
      <c r="J822" s="185"/>
      <c r="K822" s="114" t="s">
        <v>2610</v>
      </c>
      <c r="L822" s="116"/>
      <c r="M822" s="183">
        <v>206</v>
      </c>
      <c r="N822" s="184"/>
      <c r="O822" s="185"/>
      <c r="P822" s="114" t="s">
        <v>2611</v>
      </c>
      <c r="Q822" s="116"/>
      <c r="R822" s="29">
        <v>35</v>
      </c>
      <c r="S822" s="659">
        <v>19</v>
      </c>
      <c r="T822" s="659"/>
      <c r="U822" s="660"/>
      <c r="V822" s="20" t="s">
        <v>2612</v>
      </c>
      <c r="W822" s="657">
        <v>339</v>
      </c>
      <c r="X822" s="657"/>
      <c r="Y822" s="657"/>
      <c r="Z822" s="658"/>
      <c r="AA822" s="110" t="s">
        <v>1742</v>
      </c>
      <c r="AB822" s="111"/>
      <c r="AC822" s="162"/>
      <c r="AD822" s="163"/>
      <c r="AE822" s="31" t="s">
        <v>2605</v>
      </c>
      <c r="AF822" s="292"/>
      <c r="AG822" s="314"/>
      <c r="AH822" s="293"/>
      <c r="AI822" s="167"/>
      <c r="AJ822" s="136"/>
      <c r="AK822" s="136"/>
      <c r="AL822" s="15"/>
    </row>
    <row r="823" spans="1:38" ht="75" x14ac:dyDescent="0.3">
      <c r="A823" s="179"/>
      <c r="B823" s="292"/>
      <c r="C823" s="314"/>
      <c r="D823" s="293"/>
      <c r="E823" s="28" t="s">
        <v>2613</v>
      </c>
      <c r="F823" s="110" t="s">
        <v>2609</v>
      </c>
      <c r="G823" s="138"/>
      <c r="H823" s="111"/>
      <c r="I823" s="183">
        <v>24</v>
      </c>
      <c r="J823" s="185"/>
      <c r="K823" s="114" t="s">
        <v>2610</v>
      </c>
      <c r="L823" s="116"/>
      <c r="M823" s="183">
        <v>206</v>
      </c>
      <c r="N823" s="184"/>
      <c r="O823" s="185"/>
      <c r="P823" s="114" t="s">
        <v>2611</v>
      </c>
      <c r="Q823" s="116"/>
      <c r="R823" s="29">
        <v>35</v>
      </c>
      <c r="S823" s="659">
        <v>19</v>
      </c>
      <c r="T823" s="659"/>
      <c r="U823" s="660"/>
      <c r="V823" s="20" t="s">
        <v>2612</v>
      </c>
      <c r="W823" s="657">
        <v>339</v>
      </c>
      <c r="X823" s="657"/>
      <c r="Y823" s="657"/>
      <c r="Z823" s="658"/>
      <c r="AA823" s="110" t="s">
        <v>1742</v>
      </c>
      <c r="AB823" s="111"/>
      <c r="AC823" s="162"/>
      <c r="AD823" s="163"/>
      <c r="AE823" s="31"/>
      <c r="AF823" s="292"/>
      <c r="AG823" s="314"/>
      <c r="AH823" s="293"/>
      <c r="AI823" s="167"/>
      <c r="AJ823" s="136"/>
      <c r="AK823" s="136"/>
      <c r="AL823" s="15"/>
    </row>
    <row r="824" spans="1:38" ht="75" x14ac:dyDescent="0.3">
      <c r="A824" s="179"/>
      <c r="B824" s="292"/>
      <c r="C824" s="314"/>
      <c r="D824" s="293"/>
      <c r="E824" s="28" t="s">
        <v>2614</v>
      </c>
      <c r="F824" s="110" t="s">
        <v>2615</v>
      </c>
      <c r="G824" s="138"/>
      <c r="H824" s="111"/>
      <c r="I824" s="183">
        <v>27</v>
      </c>
      <c r="J824" s="185"/>
      <c r="K824" s="114" t="s">
        <v>2616</v>
      </c>
      <c r="L824" s="116"/>
      <c r="M824" s="183">
        <v>242</v>
      </c>
      <c r="N824" s="184"/>
      <c r="O824" s="185"/>
      <c r="P824" s="114" t="s">
        <v>2617</v>
      </c>
      <c r="Q824" s="116"/>
      <c r="R824" s="29">
        <v>40</v>
      </c>
      <c r="S824" s="659">
        <v>22</v>
      </c>
      <c r="T824" s="659"/>
      <c r="U824" s="660"/>
      <c r="V824" s="20" t="s">
        <v>2618</v>
      </c>
      <c r="W824" s="657">
        <v>389</v>
      </c>
      <c r="X824" s="657"/>
      <c r="Y824" s="657"/>
      <c r="Z824" s="658"/>
      <c r="AA824" s="110" t="s">
        <v>1751</v>
      </c>
      <c r="AB824" s="111"/>
      <c r="AC824" s="162"/>
      <c r="AD824" s="163"/>
      <c r="AE824" s="31"/>
      <c r="AF824" s="292"/>
      <c r="AG824" s="314"/>
      <c r="AH824" s="293"/>
      <c r="AI824" s="167"/>
      <c r="AJ824" s="136"/>
      <c r="AK824" s="136"/>
      <c r="AL824" s="15"/>
    </row>
    <row r="825" spans="1:38" ht="75" x14ac:dyDescent="0.3">
      <c r="A825" s="230"/>
      <c r="B825" s="290"/>
      <c r="C825" s="345"/>
      <c r="D825" s="291"/>
      <c r="E825" s="19" t="s">
        <v>2619</v>
      </c>
      <c r="F825" s="337" t="s">
        <v>2615</v>
      </c>
      <c r="G825" s="516"/>
      <c r="H825" s="338"/>
      <c r="I825" s="349">
        <v>27</v>
      </c>
      <c r="J825" s="350"/>
      <c r="K825" s="351" t="s">
        <v>2616</v>
      </c>
      <c r="L825" s="352"/>
      <c r="M825" s="349">
        <v>242</v>
      </c>
      <c r="N825" s="423"/>
      <c r="O825" s="350"/>
      <c r="P825" s="351" t="s">
        <v>2617</v>
      </c>
      <c r="Q825" s="352"/>
      <c r="R825" s="21">
        <v>40</v>
      </c>
      <c r="S825" s="645">
        <v>22</v>
      </c>
      <c r="T825" s="645"/>
      <c r="U825" s="646"/>
      <c r="V825" s="22" t="s">
        <v>2618</v>
      </c>
      <c r="W825" s="647">
        <v>389</v>
      </c>
      <c r="X825" s="647"/>
      <c r="Y825" s="647"/>
      <c r="Z825" s="648"/>
      <c r="AA825" s="337" t="s">
        <v>1751</v>
      </c>
      <c r="AB825" s="338"/>
      <c r="AC825" s="212"/>
      <c r="AD825" s="213"/>
      <c r="AE825" s="31"/>
      <c r="AF825" s="290"/>
      <c r="AG825" s="345"/>
      <c r="AH825" s="291"/>
      <c r="AI825" s="167"/>
      <c r="AJ825" s="136"/>
      <c r="AK825" s="136"/>
      <c r="AL825" s="15"/>
    </row>
    <row r="826" spans="1:38" ht="90" x14ac:dyDescent="0.3">
      <c r="A826" s="178"/>
      <c r="B826" s="303" t="s">
        <v>2620</v>
      </c>
      <c r="C826" s="344"/>
      <c r="D826" s="304"/>
      <c r="E826" s="66" t="s">
        <v>2621</v>
      </c>
      <c r="F826" s="192" t="s">
        <v>2622</v>
      </c>
      <c r="G826" s="196"/>
      <c r="H826" s="193"/>
      <c r="I826" s="387">
        <v>17</v>
      </c>
      <c r="J826" s="388"/>
      <c r="K826" s="171" t="s">
        <v>2623</v>
      </c>
      <c r="L826" s="172"/>
      <c r="M826" s="387">
        <v>155</v>
      </c>
      <c r="N826" s="495"/>
      <c r="O826" s="388"/>
      <c r="P826" s="171" t="s">
        <v>1717</v>
      </c>
      <c r="Q826" s="172"/>
      <c r="R826" s="387">
        <v>25</v>
      </c>
      <c r="S826" s="649">
        <v>20</v>
      </c>
      <c r="T826" s="649"/>
      <c r="U826" s="650"/>
      <c r="V826" s="171" t="s">
        <v>2624</v>
      </c>
      <c r="W826" s="653">
        <v>269</v>
      </c>
      <c r="X826" s="653"/>
      <c r="Y826" s="653"/>
      <c r="Z826" s="654"/>
      <c r="AA826" s="192" t="s">
        <v>1045</v>
      </c>
      <c r="AB826" s="193"/>
      <c r="AC826" s="171" t="s">
        <v>675</v>
      </c>
      <c r="AD826" s="172"/>
      <c r="AE826" s="24" t="s">
        <v>2626</v>
      </c>
      <c r="AF826" s="171" t="s">
        <v>2628</v>
      </c>
      <c r="AG826" s="407"/>
      <c r="AH826" s="172"/>
      <c r="AI826" s="167"/>
      <c r="AJ826" s="168"/>
      <c r="AK826" s="168"/>
      <c r="AL826" s="15"/>
    </row>
    <row r="827" spans="1:38" ht="45" x14ac:dyDescent="0.3">
      <c r="A827" s="179"/>
      <c r="B827" s="292"/>
      <c r="C827" s="314"/>
      <c r="D827" s="293"/>
      <c r="E827" s="67"/>
      <c r="F827" s="194"/>
      <c r="G827" s="197"/>
      <c r="H827" s="195"/>
      <c r="I827" s="389"/>
      <c r="J827" s="390"/>
      <c r="K827" s="212"/>
      <c r="L827" s="213"/>
      <c r="M827" s="389"/>
      <c r="N827" s="496"/>
      <c r="O827" s="390"/>
      <c r="P827" s="212"/>
      <c r="Q827" s="213"/>
      <c r="R827" s="389"/>
      <c r="S827" s="651"/>
      <c r="T827" s="651"/>
      <c r="U827" s="652"/>
      <c r="V827" s="212"/>
      <c r="W827" s="655"/>
      <c r="X827" s="655"/>
      <c r="Y827" s="655"/>
      <c r="Z827" s="656"/>
      <c r="AA827" s="194"/>
      <c r="AB827" s="195"/>
      <c r="AC827" s="162" t="s">
        <v>2625</v>
      </c>
      <c r="AD827" s="163"/>
      <c r="AE827" s="31" t="s">
        <v>1356</v>
      </c>
      <c r="AF827" s="162" t="s">
        <v>2541</v>
      </c>
      <c r="AG827" s="170"/>
      <c r="AH827" s="163"/>
      <c r="AI827" s="167"/>
      <c r="AJ827" s="168"/>
      <c r="AK827" s="168"/>
      <c r="AL827" s="15"/>
    </row>
    <row r="828" spans="1:38" ht="60" x14ac:dyDescent="0.3">
      <c r="A828" s="230"/>
      <c r="B828" s="290"/>
      <c r="C828" s="345"/>
      <c r="D828" s="291"/>
      <c r="E828" s="19" t="s">
        <v>2629</v>
      </c>
      <c r="F828" s="337" t="s">
        <v>2622</v>
      </c>
      <c r="G828" s="516"/>
      <c r="H828" s="338"/>
      <c r="I828" s="349">
        <v>17</v>
      </c>
      <c r="J828" s="350"/>
      <c r="K828" s="351" t="s">
        <v>2623</v>
      </c>
      <c r="L828" s="352"/>
      <c r="M828" s="349">
        <v>155</v>
      </c>
      <c r="N828" s="423"/>
      <c r="O828" s="350"/>
      <c r="P828" s="351" t="s">
        <v>1717</v>
      </c>
      <c r="Q828" s="352"/>
      <c r="R828" s="21">
        <v>25</v>
      </c>
      <c r="S828" s="645">
        <v>20</v>
      </c>
      <c r="T828" s="645"/>
      <c r="U828" s="646"/>
      <c r="V828" s="22" t="s">
        <v>2624</v>
      </c>
      <c r="W828" s="647">
        <v>269</v>
      </c>
      <c r="X828" s="647"/>
      <c r="Y828" s="647"/>
      <c r="Z828" s="648"/>
      <c r="AA828" s="337" t="s">
        <v>1045</v>
      </c>
      <c r="AB828" s="338"/>
      <c r="AC828" s="212"/>
      <c r="AD828" s="213"/>
      <c r="AE828" s="31" t="s">
        <v>2627</v>
      </c>
      <c r="AF828" s="212"/>
      <c r="AG828" s="408"/>
      <c r="AH828" s="213"/>
      <c r="AI828" s="167"/>
      <c r="AJ828" s="168"/>
      <c r="AK828" s="168"/>
      <c r="AL828" s="15"/>
    </row>
    <row r="829" spans="1:38" ht="90" x14ac:dyDescent="0.35">
      <c r="A829" s="178"/>
      <c r="B829" s="164"/>
      <c r="C829" s="165"/>
      <c r="D829" s="166"/>
      <c r="E829" s="28" t="s">
        <v>2630</v>
      </c>
      <c r="F829" s="233" t="s">
        <v>2631</v>
      </c>
      <c r="G829" s="305"/>
      <c r="H829" s="234"/>
      <c r="I829" s="328">
        <v>22</v>
      </c>
      <c r="J829" s="329"/>
      <c r="K829" s="303" t="s">
        <v>2632</v>
      </c>
      <c r="L829" s="304"/>
      <c r="M829" s="303" t="s">
        <v>2633</v>
      </c>
      <c r="N829" s="344"/>
      <c r="O829" s="304"/>
      <c r="P829" s="328">
        <v>12</v>
      </c>
      <c r="Q829" s="329"/>
      <c r="R829" s="630">
        <v>56</v>
      </c>
      <c r="S829" s="633">
        <v>35</v>
      </c>
      <c r="T829" s="633"/>
      <c r="U829" s="634"/>
      <c r="V829" s="303" t="s">
        <v>2634</v>
      </c>
      <c r="W829" s="639">
        <v>449</v>
      </c>
      <c r="X829" s="639"/>
      <c r="Y829" s="639"/>
      <c r="Z829" s="640"/>
      <c r="AA829" s="233" t="s">
        <v>1742</v>
      </c>
      <c r="AB829" s="234"/>
      <c r="AC829" s="164"/>
      <c r="AD829" s="166"/>
      <c r="AE829" s="178"/>
      <c r="AF829" s="164"/>
      <c r="AG829" s="165"/>
      <c r="AH829" s="166"/>
      <c r="AI829" s="167"/>
      <c r="AJ829" s="122"/>
      <c r="AK829" s="122"/>
      <c r="AL829" s="15"/>
    </row>
    <row r="830" spans="1:38" ht="90" x14ac:dyDescent="0.3">
      <c r="A830" s="179"/>
      <c r="B830" s="167"/>
      <c r="C830" s="168"/>
      <c r="D830" s="169"/>
      <c r="E830" s="28" t="s">
        <v>2635</v>
      </c>
      <c r="F830" s="235"/>
      <c r="G830" s="270"/>
      <c r="H830" s="236"/>
      <c r="I830" s="517"/>
      <c r="J830" s="518"/>
      <c r="K830" s="292"/>
      <c r="L830" s="293"/>
      <c r="M830" s="292"/>
      <c r="N830" s="314"/>
      <c r="O830" s="293"/>
      <c r="P830" s="517"/>
      <c r="Q830" s="518"/>
      <c r="R830" s="631"/>
      <c r="S830" s="635"/>
      <c r="T830" s="635"/>
      <c r="U830" s="636"/>
      <c r="V830" s="292"/>
      <c r="W830" s="641"/>
      <c r="X830" s="641"/>
      <c r="Y830" s="641"/>
      <c r="Z830" s="642"/>
      <c r="AA830" s="235"/>
      <c r="AB830" s="236"/>
      <c r="AC830" s="167"/>
      <c r="AD830" s="169"/>
      <c r="AE830" s="179"/>
      <c r="AF830" s="167"/>
      <c r="AG830" s="168"/>
      <c r="AH830" s="169"/>
      <c r="AI830" s="167"/>
      <c r="AJ830" s="136"/>
      <c r="AK830" s="136"/>
      <c r="AL830" s="15"/>
    </row>
    <row r="831" spans="1:38" ht="90" x14ac:dyDescent="0.35">
      <c r="A831" s="179"/>
      <c r="B831" s="167"/>
      <c r="C831" s="168"/>
      <c r="D831" s="169"/>
      <c r="E831" s="28" t="s">
        <v>2636</v>
      </c>
      <c r="F831" s="235"/>
      <c r="G831" s="270"/>
      <c r="H831" s="236"/>
      <c r="I831" s="517"/>
      <c r="J831" s="518"/>
      <c r="K831" s="292"/>
      <c r="L831" s="293"/>
      <c r="M831" s="292"/>
      <c r="N831" s="314"/>
      <c r="O831" s="293"/>
      <c r="P831" s="517"/>
      <c r="Q831" s="518"/>
      <c r="R831" s="631"/>
      <c r="S831" s="635"/>
      <c r="T831" s="635"/>
      <c r="U831" s="636"/>
      <c r="V831" s="292"/>
      <c r="W831" s="641"/>
      <c r="X831" s="641"/>
      <c r="Y831" s="641"/>
      <c r="Z831" s="642"/>
      <c r="AA831" s="235"/>
      <c r="AB831" s="236"/>
      <c r="AC831" s="167"/>
      <c r="AD831" s="169"/>
      <c r="AE831" s="179"/>
      <c r="AF831" s="167"/>
      <c r="AG831" s="168"/>
      <c r="AH831" s="169"/>
      <c r="AI831" s="167"/>
      <c r="AJ831" s="122"/>
      <c r="AK831" s="122"/>
      <c r="AL831" s="15"/>
    </row>
    <row r="832" spans="1:38" ht="90" x14ac:dyDescent="0.3">
      <c r="A832" s="179"/>
      <c r="B832" s="167"/>
      <c r="C832" s="168"/>
      <c r="D832" s="169"/>
      <c r="E832" s="28" t="s">
        <v>2637</v>
      </c>
      <c r="F832" s="237"/>
      <c r="G832" s="306"/>
      <c r="H832" s="238"/>
      <c r="I832" s="519"/>
      <c r="J832" s="520"/>
      <c r="K832" s="290"/>
      <c r="L832" s="291"/>
      <c r="M832" s="290"/>
      <c r="N832" s="345"/>
      <c r="O832" s="291"/>
      <c r="P832" s="519"/>
      <c r="Q832" s="520"/>
      <c r="R832" s="632"/>
      <c r="S832" s="637"/>
      <c r="T832" s="637"/>
      <c r="U832" s="638"/>
      <c r="V832" s="290"/>
      <c r="W832" s="643"/>
      <c r="X832" s="643"/>
      <c r="Y832" s="643"/>
      <c r="Z832" s="644"/>
      <c r="AA832" s="237"/>
      <c r="AB832" s="238"/>
      <c r="AC832" s="167"/>
      <c r="AD832" s="169"/>
      <c r="AE832" s="179"/>
      <c r="AF832" s="167"/>
      <c r="AG832" s="168"/>
      <c r="AH832" s="169"/>
      <c r="AI832" s="167"/>
      <c r="AJ832" s="136"/>
      <c r="AK832" s="136"/>
      <c r="AL832" s="15"/>
    </row>
    <row r="833" spans="1:38" ht="90" x14ac:dyDescent="0.35">
      <c r="A833" s="179"/>
      <c r="B833" s="167"/>
      <c r="C833" s="168"/>
      <c r="D833" s="169"/>
      <c r="E833" s="28" t="s">
        <v>2638</v>
      </c>
      <c r="F833" s="149"/>
      <c r="G833" s="158"/>
      <c r="H833" s="150"/>
      <c r="I833" s="149"/>
      <c r="J833" s="150"/>
      <c r="K833" s="149"/>
      <c r="L833" s="150"/>
      <c r="M833" s="149"/>
      <c r="N833" s="158"/>
      <c r="O833" s="150"/>
      <c r="P833" s="149"/>
      <c r="Q833" s="150"/>
      <c r="R833" s="149"/>
      <c r="S833" s="158"/>
      <c r="T833" s="158"/>
      <c r="U833" s="150"/>
      <c r="V833" s="149"/>
      <c r="W833" s="628"/>
      <c r="X833" s="628"/>
      <c r="Y833" s="628"/>
      <c r="Z833" s="629"/>
      <c r="AA833" s="149"/>
      <c r="AB833" s="150"/>
      <c r="AC833" s="167"/>
      <c r="AD833" s="169"/>
      <c r="AE833" s="179"/>
      <c r="AF833" s="167"/>
      <c r="AG833" s="168"/>
      <c r="AH833" s="169"/>
      <c r="AI833" s="167"/>
      <c r="AJ833" s="122"/>
      <c r="AK833" s="122"/>
      <c r="AL833" s="15"/>
    </row>
    <row r="834" spans="1:38" ht="90" x14ac:dyDescent="0.3">
      <c r="A834" s="179"/>
      <c r="B834" s="167"/>
      <c r="C834" s="168"/>
      <c r="D834" s="169"/>
      <c r="E834" s="28" t="s">
        <v>2639</v>
      </c>
      <c r="F834" s="135"/>
      <c r="G834" s="136"/>
      <c r="H834" s="137"/>
      <c r="I834" s="135"/>
      <c r="J834" s="137"/>
      <c r="K834" s="135"/>
      <c r="L834" s="137"/>
      <c r="M834" s="135"/>
      <c r="N834" s="136"/>
      <c r="O834" s="137"/>
      <c r="P834" s="135"/>
      <c r="Q834" s="137"/>
      <c r="R834" s="135"/>
      <c r="S834" s="136"/>
      <c r="T834" s="136"/>
      <c r="U834" s="137"/>
      <c r="V834" s="135"/>
      <c r="W834" s="278"/>
      <c r="X834" s="278"/>
      <c r="Y834" s="278"/>
      <c r="Z834" s="279"/>
      <c r="AA834" s="135"/>
      <c r="AB834" s="137"/>
      <c r="AC834" s="167"/>
      <c r="AD834" s="169"/>
      <c r="AE834" s="179"/>
      <c r="AF834" s="167"/>
      <c r="AG834" s="168"/>
      <c r="AH834" s="169"/>
      <c r="AI834" s="167"/>
      <c r="AJ834" s="136"/>
      <c r="AK834" s="136"/>
      <c r="AL834" s="15"/>
    </row>
    <row r="835" spans="1:38" ht="30" x14ac:dyDescent="0.35">
      <c r="A835" s="39"/>
      <c r="B835" s="122"/>
      <c r="C835" s="122"/>
      <c r="D835" s="122"/>
      <c r="E835" s="39"/>
      <c r="F835" s="39"/>
      <c r="G835" s="38" t="s">
        <v>2640</v>
      </c>
      <c r="H835" s="39"/>
      <c r="I835" s="39"/>
      <c r="J835" s="203" t="s">
        <v>2641</v>
      </c>
      <c r="K835" s="203"/>
      <c r="L835" s="39"/>
      <c r="M835" s="39"/>
      <c r="N835" s="473">
        <v>316</v>
      </c>
      <c r="O835" s="473"/>
      <c r="P835" s="473"/>
      <c r="Q835" s="203" t="s">
        <v>2642</v>
      </c>
      <c r="R835" s="203"/>
      <c r="S835" s="122"/>
      <c r="T835" s="122"/>
      <c r="U835" s="203" t="s">
        <v>2643</v>
      </c>
      <c r="V835" s="203"/>
      <c r="W835" s="122"/>
      <c r="X835" s="122"/>
      <c r="Y835" s="122">
        <v>569</v>
      </c>
      <c r="Z835" s="122"/>
      <c r="AA835" s="39"/>
      <c r="AB835" s="26" t="s">
        <v>901</v>
      </c>
      <c r="AC835" s="122"/>
      <c r="AD835" s="122"/>
      <c r="AE835" s="39"/>
      <c r="AF835" s="122"/>
      <c r="AG835" s="122"/>
      <c r="AH835" s="122"/>
      <c r="AI835" s="39"/>
      <c r="AJ835" s="122"/>
      <c r="AK835" s="122"/>
      <c r="AL835" s="15"/>
    </row>
    <row r="836" spans="1:38" ht="90" x14ac:dyDescent="0.3">
      <c r="A836" s="179"/>
      <c r="B836" s="126" t="s">
        <v>2644</v>
      </c>
      <c r="C836" s="203"/>
      <c r="D836" s="127"/>
      <c r="E836" s="28" t="s">
        <v>2645</v>
      </c>
      <c r="F836" s="135"/>
      <c r="G836" s="136"/>
      <c r="H836" s="137"/>
      <c r="I836" s="135"/>
      <c r="J836" s="137"/>
      <c r="K836" s="135"/>
      <c r="L836" s="137"/>
      <c r="M836" s="135"/>
      <c r="N836" s="136"/>
      <c r="O836" s="137"/>
      <c r="P836" s="135"/>
      <c r="Q836" s="137"/>
      <c r="R836" s="135"/>
      <c r="S836" s="137"/>
      <c r="T836" s="135"/>
      <c r="U836" s="137"/>
      <c r="V836" s="135"/>
      <c r="W836" s="137"/>
      <c r="X836" s="277"/>
      <c r="Y836" s="278"/>
      <c r="Z836" s="279"/>
      <c r="AA836" s="135"/>
      <c r="AB836" s="137"/>
      <c r="AC836" s="126" t="s">
        <v>675</v>
      </c>
      <c r="AD836" s="127"/>
      <c r="AE836" s="40" t="s">
        <v>2647</v>
      </c>
      <c r="AF836" s="155" t="s">
        <v>2649</v>
      </c>
      <c r="AG836" s="156"/>
      <c r="AH836" s="157"/>
      <c r="AI836" s="167"/>
      <c r="AJ836" s="48"/>
      <c r="AK836" s="15"/>
      <c r="AL836" s="15"/>
    </row>
    <row r="837" spans="1:38" ht="90" x14ac:dyDescent="0.3">
      <c r="A837" s="179"/>
      <c r="B837" s="126"/>
      <c r="C837" s="203"/>
      <c r="D837" s="127"/>
      <c r="E837" s="28" t="s">
        <v>2650</v>
      </c>
      <c r="F837" s="151"/>
      <c r="G837" s="159"/>
      <c r="H837" s="152"/>
      <c r="I837" s="151"/>
      <c r="J837" s="152"/>
      <c r="K837" s="151"/>
      <c r="L837" s="152"/>
      <c r="M837" s="151"/>
      <c r="N837" s="159"/>
      <c r="O837" s="152"/>
      <c r="P837" s="151"/>
      <c r="Q837" s="152"/>
      <c r="R837" s="151"/>
      <c r="S837" s="152"/>
      <c r="T837" s="151"/>
      <c r="U837" s="152"/>
      <c r="V837" s="151"/>
      <c r="W837" s="152"/>
      <c r="X837" s="625"/>
      <c r="Y837" s="626"/>
      <c r="Z837" s="627"/>
      <c r="AA837" s="151"/>
      <c r="AB837" s="152"/>
      <c r="AC837" s="126" t="s">
        <v>2646</v>
      </c>
      <c r="AD837" s="127"/>
      <c r="AE837" s="40" t="s">
        <v>1356</v>
      </c>
      <c r="AF837" s="155"/>
      <c r="AG837" s="156"/>
      <c r="AH837" s="157"/>
      <c r="AI837" s="167"/>
      <c r="AJ837" s="48"/>
      <c r="AK837" s="15"/>
      <c r="AL837" s="15"/>
    </row>
    <row r="838" spans="1:38" ht="135" x14ac:dyDescent="0.3">
      <c r="A838" s="179"/>
      <c r="B838" s="126"/>
      <c r="C838" s="203"/>
      <c r="D838" s="127"/>
      <c r="E838" s="28" t="s">
        <v>2651</v>
      </c>
      <c r="F838" s="303" t="s">
        <v>2652</v>
      </c>
      <c r="G838" s="344"/>
      <c r="H838" s="304"/>
      <c r="I838" s="303" t="s">
        <v>2653</v>
      </c>
      <c r="J838" s="304"/>
      <c r="K838" s="303" t="s">
        <v>2654</v>
      </c>
      <c r="L838" s="304"/>
      <c r="M838" s="328">
        <v>317</v>
      </c>
      <c r="N838" s="600"/>
      <c r="O838" s="329"/>
      <c r="P838" s="328">
        <v>18</v>
      </c>
      <c r="Q838" s="329"/>
      <c r="R838" s="328">
        <v>80</v>
      </c>
      <c r="S838" s="329"/>
      <c r="T838" s="328">
        <v>47</v>
      </c>
      <c r="U838" s="329"/>
      <c r="V838" s="303" t="s">
        <v>2655</v>
      </c>
      <c r="W838" s="304"/>
      <c r="X838" s="294">
        <v>579</v>
      </c>
      <c r="Y838" s="295"/>
      <c r="Z838" s="296"/>
      <c r="AA838" s="233" t="s">
        <v>1364</v>
      </c>
      <c r="AB838" s="234"/>
      <c r="AC838" s="126"/>
      <c r="AD838" s="127"/>
      <c r="AE838" s="40" t="s">
        <v>2648</v>
      </c>
      <c r="AF838" s="155"/>
      <c r="AG838" s="156"/>
      <c r="AH838" s="157"/>
      <c r="AI838" s="167"/>
      <c r="AJ838" s="48"/>
      <c r="AK838" s="15"/>
      <c r="AL838" s="15"/>
    </row>
    <row r="839" spans="1:38" ht="135" x14ac:dyDescent="0.3">
      <c r="A839" s="179"/>
      <c r="B839" s="126"/>
      <c r="C839" s="203"/>
      <c r="D839" s="127"/>
      <c r="E839" s="28" t="s">
        <v>2656</v>
      </c>
      <c r="F839" s="292"/>
      <c r="G839" s="314"/>
      <c r="H839" s="293"/>
      <c r="I839" s="292"/>
      <c r="J839" s="293"/>
      <c r="K839" s="292"/>
      <c r="L839" s="293"/>
      <c r="M839" s="517"/>
      <c r="N839" s="610"/>
      <c r="O839" s="518"/>
      <c r="P839" s="517"/>
      <c r="Q839" s="518"/>
      <c r="R839" s="517"/>
      <c r="S839" s="518"/>
      <c r="T839" s="517"/>
      <c r="U839" s="518"/>
      <c r="V839" s="292"/>
      <c r="W839" s="293"/>
      <c r="X839" s="297"/>
      <c r="Y839" s="298"/>
      <c r="Z839" s="299"/>
      <c r="AA839" s="235"/>
      <c r="AB839" s="236"/>
      <c r="AC839" s="126"/>
      <c r="AD839" s="127"/>
      <c r="AE839" s="40"/>
      <c r="AF839" s="155"/>
      <c r="AG839" s="156"/>
      <c r="AH839" s="157"/>
      <c r="AI839" s="167"/>
      <c r="AJ839" s="48"/>
      <c r="AK839" s="15"/>
      <c r="AL839" s="15"/>
    </row>
    <row r="840" spans="1:38" ht="135" x14ac:dyDescent="0.3">
      <c r="A840" s="179"/>
      <c r="B840" s="126"/>
      <c r="C840" s="203"/>
      <c r="D840" s="127"/>
      <c r="E840" s="28" t="s">
        <v>2657</v>
      </c>
      <c r="F840" s="292"/>
      <c r="G840" s="314"/>
      <c r="H840" s="293"/>
      <c r="I840" s="292"/>
      <c r="J840" s="293"/>
      <c r="K840" s="292"/>
      <c r="L840" s="293"/>
      <c r="M840" s="517"/>
      <c r="N840" s="610"/>
      <c r="O840" s="518"/>
      <c r="P840" s="517"/>
      <c r="Q840" s="518"/>
      <c r="R840" s="517"/>
      <c r="S840" s="518"/>
      <c r="T840" s="517"/>
      <c r="U840" s="518"/>
      <c r="V840" s="292"/>
      <c r="W840" s="293"/>
      <c r="X840" s="297"/>
      <c r="Y840" s="298"/>
      <c r="Z840" s="299"/>
      <c r="AA840" s="235"/>
      <c r="AB840" s="236"/>
      <c r="AC840" s="126"/>
      <c r="AD840" s="127"/>
      <c r="AE840" s="40"/>
      <c r="AF840" s="155"/>
      <c r="AG840" s="156"/>
      <c r="AH840" s="157"/>
      <c r="AI840" s="167"/>
      <c r="AJ840" s="48"/>
      <c r="AK840" s="15"/>
      <c r="AL840" s="15"/>
    </row>
    <row r="841" spans="1:38" ht="135" x14ac:dyDescent="0.3">
      <c r="A841" s="179"/>
      <c r="B841" s="126"/>
      <c r="C841" s="203"/>
      <c r="D841" s="127"/>
      <c r="E841" s="28" t="s">
        <v>2658</v>
      </c>
      <c r="F841" s="290"/>
      <c r="G841" s="345"/>
      <c r="H841" s="291"/>
      <c r="I841" s="290"/>
      <c r="J841" s="291"/>
      <c r="K841" s="290"/>
      <c r="L841" s="291"/>
      <c r="M841" s="519"/>
      <c r="N841" s="601"/>
      <c r="O841" s="520"/>
      <c r="P841" s="519"/>
      <c r="Q841" s="520"/>
      <c r="R841" s="519"/>
      <c r="S841" s="520"/>
      <c r="T841" s="519"/>
      <c r="U841" s="520"/>
      <c r="V841" s="290"/>
      <c r="W841" s="291"/>
      <c r="X841" s="300"/>
      <c r="Y841" s="301"/>
      <c r="Z841" s="302"/>
      <c r="AA841" s="237"/>
      <c r="AB841" s="238"/>
      <c r="AC841" s="126"/>
      <c r="AD841" s="127"/>
      <c r="AE841" s="40"/>
      <c r="AF841" s="155"/>
      <c r="AG841" s="156"/>
      <c r="AH841" s="157"/>
      <c r="AI841" s="167"/>
      <c r="AJ841" s="48"/>
      <c r="AK841" s="15"/>
      <c r="AL841" s="15"/>
    </row>
    <row r="842" spans="1:38" ht="135" x14ac:dyDescent="0.3">
      <c r="A842" s="179"/>
      <c r="B842" s="126"/>
      <c r="C842" s="203"/>
      <c r="D842" s="127"/>
      <c r="E842" s="28" t="s">
        <v>2659</v>
      </c>
      <c r="F842" s="303" t="s">
        <v>2660</v>
      </c>
      <c r="G842" s="344"/>
      <c r="H842" s="304"/>
      <c r="I842" s="303" t="s">
        <v>2661</v>
      </c>
      <c r="J842" s="304"/>
      <c r="K842" s="303" t="s">
        <v>2662</v>
      </c>
      <c r="L842" s="304"/>
      <c r="M842" s="303" t="s">
        <v>2663</v>
      </c>
      <c r="N842" s="344"/>
      <c r="O842" s="304"/>
      <c r="P842" s="328">
        <v>26</v>
      </c>
      <c r="Q842" s="329"/>
      <c r="R842" s="328">
        <v>95</v>
      </c>
      <c r="S842" s="329"/>
      <c r="T842" s="328">
        <v>52</v>
      </c>
      <c r="U842" s="329"/>
      <c r="V842" s="303" t="s">
        <v>2664</v>
      </c>
      <c r="W842" s="304"/>
      <c r="X842" s="294">
        <v>689</v>
      </c>
      <c r="Y842" s="295"/>
      <c r="Z842" s="296"/>
      <c r="AA842" s="233" t="s">
        <v>1364</v>
      </c>
      <c r="AB842" s="234"/>
      <c r="AC842" s="126"/>
      <c r="AD842" s="127"/>
      <c r="AE842" s="40"/>
      <c r="AF842" s="155"/>
      <c r="AG842" s="156"/>
      <c r="AH842" s="157"/>
      <c r="AI842" s="167"/>
      <c r="AJ842" s="48"/>
      <c r="AK842" s="15"/>
      <c r="AL842" s="15"/>
    </row>
    <row r="843" spans="1:38" ht="135" x14ac:dyDescent="0.3">
      <c r="A843" s="179"/>
      <c r="B843" s="126"/>
      <c r="C843" s="203"/>
      <c r="D843" s="127"/>
      <c r="E843" s="28" t="s">
        <v>2665</v>
      </c>
      <c r="F843" s="292"/>
      <c r="G843" s="314"/>
      <c r="H843" s="293"/>
      <c r="I843" s="292"/>
      <c r="J843" s="293"/>
      <c r="K843" s="292"/>
      <c r="L843" s="293"/>
      <c r="M843" s="292"/>
      <c r="N843" s="314"/>
      <c r="O843" s="293"/>
      <c r="P843" s="517"/>
      <c r="Q843" s="518"/>
      <c r="R843" s="517"/>
      <c r="S843" s="518"/>
      <c r="T843" s="517"/>
      <c r="U843" s="518"/>
      <c r="V843" s="292"/>
      <c r="W843" s="293"/>
      <c r="X843" s="297"/>
      <c r="Y843" s="298"/>
      <c r="Z843" s="299"/>
      <c r="AA843" s="235"/>
      <c r="AB843" s="236"/>
      <c r="AC843" s="126"/>
      <c r="AD843" s="127"/>
      <c r="AE843" s="40"/>
      <c r="AF843" s="155"/>
      <c r="AG843" s="156"/>
      <c r="AH843" s="157"/>
      <c r="AI843" s="167"/>
      <c r="AJ843" s="48"/>
      <c r="AK843" s="15"/>
      <c r="AL843" s="15"/>
    </row>
    <row r="844" spans="1:38" ht="135" x14ac:dyDescent="0.3">
      <c r="A844" s="179"/>
      <c r="B844" s="126"/>
      <c r="C844" s="203"/>
      <c r="D844" s="127"/>
      <c r="E844" s="28" t="s">
        <v>2666</v>
      </c>
      <c r="F844" s="292"/>
      <c r="G844" s="314"/>
      <c r="H844" s="293"/>
      <c r="I844" s="292"/>
      <c r="J844" s="293"/>
      <c r="K844" s="292"/>
      <c r="L844" s="293"/>
      <c r="M844" s="292"/>
      <c r="N844" s="314"/>
      <c r="O844" s="293"/>
      <c r="P844" s="517"/>
      <c r="Q844" s="518"/>
      <c r="R844" s="517"/>
      <c r="S844" s="518"/>
      <c r="T844" s="517"/>
      <c r="U844" s="518"/>
      <c r="V844" s="292"/>
      <c r="W844" s="293"/>
      <c r="X844" s="297"/>
      <c r="Y844" s="298"/>
      <c r="Z844" s="299"/>
      <c r="AA844" s="235"/>
      <c r="AB844" s="236"/>
      <c r="AC844" s="126"/>
      <c r="AD844" s="127"/>
      <c r="AE844" s="40"/>
      <c r="AF844" s="155"/>
      <c r="AG844" s="156"/>
      <c r="AH844" s="157"/>
      <c r="AI844" s="167"/>
      <c r="AJ844" s="48"/>
      <c r="AK844" s="15"/>
      <c r="AL844" s="15"/>
    </row>
    <row r="845" spans="1:38" ht="135" x14ac:dyDescent="0.3">
      <c r="A845" s="230"/>
      <c r="B845" s="117"/>
      <c r="C845" s="154"/>
      <c r="D845" s="118"/>
      <c r="E845" s="28" t="s">
        <v>2667</v>
      </c>
      <c r="F845" s="290"/>
      <c r="G845" s="345"/>
      <c r="H845" s="291"/>
      <c r="I845" s="290"/>
      <c r="J845" s="291"/>
      <c r="K845" s="290"/>
      <c r="L845" s="291"/>
      <c r="M845" s="290"/>
      <c r="N845" s="345"/>
      <c r="O845" s="291"/>
      <c r="P845" s="519"/>
      <c r="Q845" s="520"/>
      <c r="R845" s="519"/>
      <c r="S845" s="520"/>
      <c r="T845" s="519"/>
      <c r="U845" s="520"/>
      <c r="V845" s="290"/>
      <c r="W845" s="291"/>
      <c r="X845" s="300"/>
      <c r="Y845" s="301"/>
      <c r="Z845" s="302"/>
      <c r="AA845" s="237"/>
      <c r="AB845" s="238"/>
      <c r="AC845" s="117"/>
      <c r="AD845" s="118"/>
      <c r="AE845" s="40"/>
      <c r="AF845" s="160"/>
      <c r="AG845" s="573"/>
      <c r="AH845" s="161"/>
      <c r="AI845" s="167"/>
      <c r="AJ845" s="48"/>
      <c r="AK845" s="15"/>
      <c r="AL845" s="15"/>
    </row>
    <row r="846" spans="1:38" ht="75" x14ac:dyDescent="0.3">
      <c r="A846" s="178"/>
      <c r="B846" s="303" t="s">
        <v>2668</v>
      </c>
      <c r="C846" s="344"/>
      <c r="D846" s="304"/>
      <c r="E846" s="19" t="s">
        <v>2669</v>
      </c>
      <c r="F846" s="351" t="s">
        <v>2670</v>
      </c>
      <c r="G846" s="444"/>
      <c r="H846" s="352"/>
      <c r="I846" s="351" t="s">
        <v>2671</v>
      </c>
      <c r="J846" s="352"/>
      <c r="K846" s="351" t="s">
        <v>2672</v>
      </c>
      <c r="L846" s="352"/>
      <c r="M846" s="511" t="s">
        <v>2673</v>
      </c>
      <c r="N846" s="512"/>
      <c r="O846" s="513"/>
      <c r="P846" s="349">
        <v>6</v>
      </c>
      <c r="Q846" s="350"/>
      <c r="R846" s="349">
        <v>17</v>
      </c>
      <c r="S846" s="350"/>
      <c r="T846" s="349">
        <v>12</v>
      </c>
      <c r="U846" s="350"/>
      <c r="V846" s="351" t="s">
        <v>1260</v>
      </c>
      <c r="W846" s="352"/>
      <c r="X846" s="334">
        <v>125</v>
      </c>
      <c r="Y846" s="335"/>
      <c r="Z846" s="336"/>
      <c r="AA846" s="337" t="s">
        <v>1854</v>
      </c>
      <c r="AB846" s="338"/>
      <c r="AC846" s="171" t="s">
        <v>675</v>
      </c>
      <c r="AD846" s="172"/>
      <c r="AE846" s="24" t="s">
        <v>2675</v>
      </c>
      <c r="AF846" s="303" t="s">
        <v>2330</v>
      </c>
      <c r="AG846" s="344"/>
      <c r="AH846" s="304"/>
      <c r="AI846" s="167"/>
      <c r="AJ846" s="48"/>
      <c r="AK846" s="15"/>
      <c r="AL846" s="15"/>
    </row>
    <row r="847" spans="1:38" ht="75" x14ac:dyDescent="0.3">
      <c r="A847" s="179"/>
      <c r="B847" s="292"/>
      <c r="C847" s="314"/>
      <c r="D847" s="293"/>
      <c r="E847" s="19" t="s">
        <v>2677</v>
      </c>
      <c r="F847" s="351" t="s">
        <v>2670</v>
      </c>
      <c r="G847" s="444"/>
      <c r="H847" s="352"/>
      <c r="I847" s="351" t="s">
        <v>2671</v>
      </c>
      <c r="J847" s="352"/>
      <c r="K847" s="351" t="s">
        <v>2672</v>
      </c>
      <c r="L847" s="352"/>
      <c r="M847" s="511" t="s">
        <v>2673</v>
      </c>
      <c r="N847" s="512"/>
      <c r="O847" s="513"/>
      <c r="P847" s="349">
        <v>6</v>
      </c>
      <c r="Q847" s="350"/>
      <c r="R847" s="349">
        <v>17</v>
      </c>
      <c r="S847" s="350"/>
      <c r="T847" s="349">
        <v>12</v>
      </c>
      <c r="U847" s="350"/>
      <c r="V847" s="351" t="s">
        <v>1260</v>
      </c>
      <c r="W847" s="352"/>
      <c r="X847" s="334">
        <v>125</v>
      </c>
      <c r="Y847" s="335"/>
      <c r="Z847" s="336"/>
      <c r="AA847" s="337" t="s">
        <v>1854</v>
      </c>
      <c r="AB847" s="338"/>
      <c r="AC847" s="162" t="s">
        <v>2674</v>
      </c>
      <c r="AD847" s="163"/>
      <c r="AE847" s="31" t="s">
        <v>848</v>
      </c>
      <c r="AF847" s="292"/>
      <c r="AG847" s="314"/>
      <c r="AH847" s="293"/>
      <c r="AI847" s="167"/>
      <c r="AJ847" s="48"/>
      <c r="AK847" s="15"/>
      <c r="AL847" s="15"/>
    </row>
    <row r="848" spans="1:38" ht="75" x14ac:dyDescent="0.3">
      <c r="A848" s="179"/>
      <c r="B848" s="292"/>
      <c r="C848" s="314"/>
      <c r="D848" s="293"/>
      <c r="E848" s="19" t="s">
        <v>2678</v>
      </c>
      <c r="F848" s="351" t="s">
        <v>2670</v>
      </c>
      <c r="G848" s="444"/>
      <c r="H848" s="352"/>
      <c r="I848" s="351" t="s">
        <v>2671</v>
      </c>
      <c r="J848" s="352"/>
      <c r="K848" s="351" t="s">
        <v>2672</v>
      </c>
      <c r="L848" s="352"/>
      <c r="M848" s="511" t="s">
        <v>913</v>
      </c>
      <c r="N848" s="512"/>
      <c r="O848" s="513"/>
      <c r="P848" s="349">
        <v>6</v>
      </c>
      <c r="Q848" s="350"/>
      <c r="R848" s="349">
        <v>17</v>
      </c>
      <c r="S848" s="350"/>
      <c r="T848" s="349">
        <v>12</v>
      </c>
      <c r="U848" s="350"/>
      <c r="V848" s="351" t="s">
        <v>2679</v>
      </c>
      <c r="W848" s="352"/>
      <c r="X848" s="334">
        <v>115</v>
      </c>
      <c r="Y848" s="335"/>
      <c r="Z848" s="336"/>
      <c r="AA848" s="337" t="s">
        <v>1364</v>
      </c>
      <c r="AB848" s="338"/>
      <c r="AC848" s="162"/>
      <c r="AD848" s="163"/>
      <c r="AE848" s="31" t="s">
        <v>1356</v>
      </c>
      <c r="AF848" s="292"/>
      <c r="AG848" s="314"/>
      <c r="AH848" s="293"/>
      <c r="AI848" s="167"/>
      <c r="AJ848" s="48"/>
      <c r="AK848" s="15"/>
      <c r="AL848" s="15"/>
    </row>
    <row r="849" spans="1:38" ht="75" x14ac:dyDescent="0.3">
      <c r="A849" s="230"/>
      <c r="B849" s="290"/>
      <c r="C849" s="345"/>
      <c r="D849" s="291"/>
      <c r="E849" s="19" t="s">
        <v>2680</v>
      </c>
      <c r="F849" s="351" t="s">
        <v>2670</v>
      </c>
      <c r="G849" s="444"/>
      <c r="H849" s="352"/>
      <c r="I849" s="351" t="s">
        <v>2671</v>
      </c>
      <c r="J849" s="352"/>
      <c r="K849" s="351" t="s">
        <v>2672</v>
      </c>
      <c r="L849" s="352"/>
      <c r="M849" s="511" t="s">
        <v>913</v>
      </c>
      <c r="N849" s="512"/>
      <c r="O849" s="513"/>
      <c r="P849" s="349">
        <v>6</v>
      </c>
      <c r="Q849" s="350"/>
      <c r="R849" s="349">
        <v>17</v>
      </c>
      <c r="S849" s="350"/>
      <c r="T849" s="349">
        <v>12</v>
      </c>
      <c r="U849" s="350"/>
      <c r="V849" s="351" t="s">
        <v>2679</v>
      </c>
      <c r="W849" s="352"/>
      <c r="X849" s="334">
        <v>115</v>
      </c>
      <c r="Y849" s="335"/>
      <c r="Z849" s="336"/>
      <c r="AA849" s="337" t="s">
        <v>1364</v>
      </c>
      <c r="AB849" s="338"/>
      <c r="AC849" s="212"/>
      <c r="AD849" s="213"/>
      <c r="AE849" s="31" t="s">
        <v>2676</v>
      </c>
      <c r="AF849" s="290"/>
      <c r="AG849" s="345"/>
      <c r="AH849" s="291"/>
      <c r="AI849" s="167"/>
      <c r="AJ849" s="48"/>
      <c r="AK849" s="15"/>
      <c r="AL849" s="15"/>
    </row>
    <row r="850" spans="1:38" ht="90" x14ac:dyDescent="0.3">
      <c r="A850" s="178"/>
      <c r="B850" s="303" t="s">
        <v>2681</v>
      </c>
      <c r="C850" s="344"/>
      <c r="D850" s="304"/>
      <c r="E850" s="19" t="s">
        <v>2682</v>
      </c>
      <c r="F850" s="233" t="s">
        <v>2683</v>
      </c>
      <c r="G850" s="305"/>
      <c r="H850" s="234"/>
      <c r="I850" s="233" t="s">
        <v>688</v>
      </c>
      <c r="J850" s="234"/>
      <c r="K850" s="233" t="s">
        <v>2684</v>
      </c>
      <c r="L850" s="234"/>
      <c r="M850" s="351" t="s">
        <v>2685</v>
      </c>
      <c r="N850" s="444"/>
      <c r="O850" s="352"/>
      <c r="P850" s="349">
        <v>2</v>
      </c>
      <c r="Q850" s="350"/>
      <c r="R850" s="349">
        <v>5</v>
      </c>
      <c r="S850" s="350"/>
      <c r="T850" s="349">
        <v>4</v>
      </c>
      <c r="U850" s="350"/>
      <c r="V850" s="351" t="s">
        <v>2686</v>
      </c>
      <c r="W850" s="352"/>
      <c r="X850" s="334">
        <v>65</v>
      </c>
      <c r="Y850" s="335"/>
      <c r="Z850" s="336"/>
      <c r="AA850" s="337" t="s">
        <v>1023</v>
      </c>
      <c r="AB850" s="338"/>
      <c r="AC850" s="171" t="s">
        <v>675</v>
      </c>
      <c r="AD850" s="172"/>
      <c r="AE850" s="24" t="s">
        <v>2689</v>
      </c>
      <c r="AF850" s="303" t="s">
        <v>2691</v>
      </c>
      <c r="AG850" s="344"/>
      <c r="AH850" s="304"/>
      <c r="AI850" s="167"/>
      <c r="AJ850" s="48"/>
      <c r="AK850" s="15"/>
      <c r="AL850" s="15"/>
    </row>
    <row r="851" spans="1:38" ht="45" x14ac:dyDescent="0.3">
      <c r="A851" s="179"/>
      <c r="B851" s="292"/>
      <c r="C851" s="314"/>
      <c r="D851" s="293"/>
      <c r="E851" s="19" t="s">
        <v>2692</v>
      </c>
      <c r="F851" s="235"/>
      <c r="G851" s="270"/>
      <c r="H851" s="236"/>
      <c r="I851" s="235"/>
      <c r="J851" s="236"/>
      <c r="K851" s="235"/>
      <c r="L851" s="236"/>
      <c r="M851" s="351" t="s">
        <v>2556</v>
      </c>
      <c r="N851" s="444"/>
      <c r="O851" s="352"/>
      <c r="P851" s="349">
        <v>2</v>
      </c>
      <c r="Q851" s="350"/>
      <c r="R851" s="349">
        <v>5</v>
      </c>
      <c r="S851" s="350"/>
      <c r="T851" s="349">
        <v>4</v>
      </c>
      <c r="U851" s="350"/>
      <c r="V851" s="351" t="s">
        <v>2693</v>
      </c>
      <c r="W851" s="352"/>
      <c r="X851" s="334">
        <v>65</v>
      </c>
      <c r="Y851" s="335"/>
      <c r="Z851" s="336"/>
      <c r="AA851" s="337" t="s">
        <v>1090</v>
      </c>
      <c r="AB851" s="338"/>
      <c r="AC851" s="162" t="s">
        <v>2687</v>
      </c>
      <c r="AD851" s="163"/>
      <c r="AE851" s="31" t="s">
        <v>1356</v>
      </c>
      <c r="AF851" s="292"/>
      <c r="AG851" s="314"/>
      <c r="AH851" s="293"/>
      <c r="AI851" s="167"/>
      <c r="AJ851" s="48"/>
      <c r="AK851" s="15"/>
      <c r="AL851" s="15"/>
    </row>
    <row r="852" spans="1:38" ht="60" x14ac:dyDescent="0.3">
      <c r="A852" s="230"/>
      <c r="B852" s="290"/>
      <c r="C852" s="345"/>
      <c r="D852" s="291"/>
      <c r="E852" s="19" t="s">
        <v>2694</v>
      </c>
      <c r="F852" s="237"/>
      <c r="G852" s="306"/>
      <c r="H852" s="238"/>
      <c r="I852" s="237"/>
      <c r="J852" s="238"/>
      <c r="K852" s="237"/>
      <c r="L852" s="238"/>
      <c r="M852" s="351" t="s">
        <v>2695</v>
      </c>
      <c r="N852" s="444"/>
      <c r="O852" s="352"/>
      <c r="P852" s="349">
        <v>2</v>
      </c>
      <c r="Q852" s="350"/>
      <c r="R852" s="349">
        <v>5</v>
      </c>
      <c r="S852" s="350"/>
      <c r="T852" s="349">
        <v>4</v>
      </c>
      <c r="U852" s="350"/>
      <c r="V852" s="351" t="s">
        <v>2696</v>
      </c>
      <c r="W852" s="352"/>
      <c r="X852" s="334">
        <v>69</v>
      </c>
      <c r="Y852" s="335"/>
      <c r="Z852" s="336"/>
      <c r="AA852" s="337" t="s">
        <v>1023</v>
      </c>
      <c r="AB852" s="338"/>
      <c r="AC852" s="212" t="s">
        <v>2688</v>
      </c>
      <c r="AD852" s="213"/>
      <c r="AE852" s="31" t="s">
        <v>2690</v>
      </c>
      <c r="AF852" s="290"/>
      <c r="AG852" s="345"/>
      <c r="AH852" s="291"/>
      <c r="AI852" s="167"/>
      <c r="AJ852" s="48"/>
      <c r="AK852" s="15"/>
      <c r="AL852" s="15"/>
    </row>
    <row r="853" spans="1:38" ht="90" x14ac:dyDescent="0.3">
      <c r="A853" s="178"/>
      <c r="B853" s="303" t="s">
        <v>2697</v>
      </c>
      <c r="C853" s="344"/>
      <c r="D853" s="304"/>
      <c r="E853" s="66" t="s">
        <v>2698</v>
      </c>
      <c r="F853" s="233" t="s">
        <v>2699</v>
      </c>
      <c r="G853" s="305"/>
      <c r="H853" s="234"/>
      <c r="I853" s="233" t="s">
        <v>717</v>
      </c>
      <c r="J853" s="234"/>
      <c r="K853" s="233" t="s">
        <v>2700</v>
      </c>
      <c r="L853" s="234"/>
      <c r="M853" s="171" t="s">
        <v>2701</v>
      </c>
      <c r="N853" s="407"/>
      <c r="O853" s="172"/>
      <c r="P853" s="171" t="s">
        <v>688</v>
      </c>
      <c r="Q853" s="172"/>
      <c r="R853" s="387">
        <v>5</v>
      </c>
      <c r="S853" s="388"/>
      <c r="T853" s="387">
        <v>4</v>
      </c>
      <c r="U853" s="388"/>
      <c r="V853" s="171" t="s">
        <v>2702</v>
      </c>
      <c r="W853" s="172"/>
      <c r="X853" s="252">
        <v>39</v>
      </c>
      <c r="Y853" s="253"/>
      <c r="Z853" s="254"/>
      <c r="AA853" s="192" t="s">
        <v>1854</v>
      </c>
      <c r="AB853" s="193"/>
      <c r="AC853" s="171" t="s">
        <v>675</v>
      </c>
      <c r="AD853" s="172"/>
      <c r="AE853" s="24" t="s">
        <v>2705</v>
      </c>
      <c r="AF853" s="171" t="s">
        <v>2707</v>
      </c>
      <c r="AG853" s="407"/>
      <c r="AH853" s="172"/>
      <c r="AI853" s="167"/>
      <c r="AJ853" s="271"/>
      <c r="AK853" s="15"/>
      <c r="AL853" s="15"/>
    </row>
    <row r="854" spans="1:38" ht="45" x14ac:dyDescent="0.3">
      <c r="A854" s="179"/>
      <c r="B854" s="292"/>
      <c r="C854" s="314"/>
      <c r="D854" s="293"/>
      <c r="E854" s="67"/>
      <c r="F854" s="235"/>
      <c r="G854" s="270"/>
      <c r="H854" s="236"/>
      <c r="I854" s="235"/>
      <c r="J854" s="236"/>
      <c r="K854" s="235"/>
      <c r="L854" s="236"/>
      <c r="M854" s="212"/>
      <c r="N854" s="408"/>
      <c r="O854" s="213"/>
      <c r="P854" s="212"/>
      <c r="Q854" s="213"/>
      <c r="R854" s="389"/>
      <c r="S854" s="390"/>
      <c r="T854" s="389"/>
      <c r="U854" s="390"/>
      <c r="V854" s="212"/>
      <c r="W854" s="213"/>
      <c r="X854" s="255"/>
      <c r="Y854" s="256"/>
      <c r="Z854" s="257"/>
      <c r="AA854" s="194"/>
      <c r="AB854" s="195"/>
      <c r="AC854" s="162" t="s">
        <v>2703</v>
      </c>
      <c r="AD854" s="163"/>
      <c r="AE854" s="31" t="s">
        <v>1356</v>
      </c>
      <c r="AF854" s="162"/>
      <c r="AG854" s="170"/>
      <c r="AH854" s="163"/>
      <c r="AI854" s="167"/>
      <c r="AJ854" s="271"/>
      <c r="AK854" s="15"/>
      <c r="AL854" s="15"/>
    </row>
    <row r="855" spans="1:38" ht="75" x14ac:dyDescent="0.3">
      <c r="A855" s="179"/>
      <c r="B855" s="292"/>
      <c r="C855" s="314"/>
      <c r="D855" s="293"/>
      <c r="E855" s="19" t="s">
        <v>2708</v>
      </c>
      <c r="F855" s="235"/>
      <c r="G855" s="270"/>
      <c r="H855" s="236"/>
      <c r="I855" s="235"/>
      <c r="J855" s="236"/>
      <c r="K855" s="235"/>
      <c r="L855" s="236"/>
      <c r="M855" s="351" t="s">
        <v>2001</v>
      </c>
      <c r="N855" s="444"/>
      <c r="O855" s="352"/>
      <c r="P855" s="351" t="s">
        <v>688</v>
      </c>
      <c r="Q855" s="352"/>
      <c r="R855" s="349">
        <v>5</v>
      </c>
      <c r="S855" s="350"/>
      <c r="T855" s="349">
        <v>4</v>
      </c>
      <c r="U855" s="350"/>
      <c r="V855" s="351" t="s">
        <v>2709</v>
      </c>
      <c r="W855" s="352"/>
      <c r="X855" s="334">
        <v>39</v>
      </c>
      <c r="Y855" s="335"/>
      <c r="Z855" s="336"/>
      <c r="AA855" s="337" t="s">
        <v>1038</v>
      </c>
      <c r="AB855" s="338"/>
      <c r="AC855" s="162" t="s">
        <v>2211</v>
      </c>
      <c r="AD855" s="163"/>
      <c r="AE855" s="31" t="s">
        <v>2706</v>
      </c>
      <c r="AF855" s="162"/>
      <c r="AG855" s="170"/>
      <c r="AH855" s="163"/>
      <c r="AI855" s="167"/>
      <c r="AJ855" s="48"/>
      <c r="AK855" s="15"/>
      <c r="AL855" s="15"/>
    </row>
    <row r="856" spans="1:38" ht="75" x14ac:dyDescent="0.3">
      <c r="A856" s="230"/>
      <c r="B856" s="290"/>
      <c r="C856" s="345"/>
      <c r="D856" s="291"/>
      <c r="E856" s="19" t="s">
        <v>2710</v>
      </c>
      <c r="F856" s="237"/>
      <c r="G856" s="306"/>
      <c r="H856" s="238"/>
      <c r="I856" s="237"/>
      <c r="J856" s="238"/>
      <c r="K856" s="237"/>
      <c r="L856" s="238"/>
      <c r="M856" s="351" t="s">
        <v>2711</v>
      </c>
      <c r="N856" s="444"/>
      <c r="O856" s="352"/>
      <c r="P856" s="351" t="s">
        <v>688</v>
      </c>
      <c r="Q856" s="352"/>
      <c r="R856" s="349">
        <v>5</v>
      </c>
      <c r="S856" s="350"/>
      <c r="T856" s="349">
        <v>4</v>
      </c>
      <c r="U856" s="350"/>
      <c r="V856" s="351" t="s">
        <v>2712</v>
      </c>
      <c r="W856" s="352"/>
      <c r="X856" s="334">
        <v>43</v>
      </c>
      <c r="Y856" s="335"/>
      <c r="Z856" s="336"/>
      <c r="AA856" s="337" t="s">
        <v>1261</v>
      </c>
      <c r="AB856" s="338"/>
      <c r="AC856" s="212" t="s">
        <v>2704</v>
      </c>
      <c r="AD856" s="213"/>
      <c r="AE856" s="31"/>
      <c r="AF856" s="212"/>
      <c r="AG856" s="408"/>
      <c r="AH856" s="213"/>
      <c r="AI856" s="167"/>
      <c r="AJ856" s="48"/>
      <c r="AK856" s="15"/>
      <c r="AL856" s="15"/>
    </row>
    <row r="857" spans="1:38" ht="75" x14ac:dyDescent="0.3">
      <c r="A857" s="178"/>
      <c r="B857" s="233" t="s">
        <v>2713</v>
      </c>
      <c r="C857" s="305"/>
      <c r="D857" s="234"/>
      <c r="E857" s="66" t="s">
        <v>2714</v>
      </c>
      <c r="F857" s="223" t="s">
        <v>2208</v>
      </c>
      <c r="G857" s="398"/>
      <c r="H857" s="224"/>
      <c r="I857" s="192" t="s">
        <v>2113</v>
      </c>
      <c r="J857" s="193"/>
      <c r="K857" s="171" t="s">
        <v>2209</v>
      </c>
      <c r="L857" s="172"/>
      <c r="M857" s="387">
        <v>260</v>
      </c>
      <c r="N857" s="495"/>
      <c r="O857" s="388"/>
      <c r="P857" s="164"/>
      <c r="Q857" s="166"/>
      <c r="R857" s="387">
        <v>90</v>
      </c>
      <c r="S857" s="388"/>
      <c r="T857" s="164"/>
      <c r="U857" s="166"/>
      <c r="V857" s="171" t="s">
        <v>2715</v>
      </c>
      <c r="W857" s="172"/>
      <c r="X857" s="252">
        <v>390</v>
      </c>
      <c r="Y857" s="253"/>
      <c r="Z857" s="254"/>
      <c r="AA857" s="192" t="s">
        <v>2716</v>
      </c>
      <c r="AB857" s="193"/>
      <c r="AC857" s="171" t="s">
        <v>675</v>
      </c>
      <c r="AD857" s="172"/>
      <c r="AE857" s="24" t="s">
        <v>2720</v>
      </c>
      <c r="AF857" s="164"/>
      <c r="AG857" s="165"/>
      <c r="AH857" s="166"/>
      <c r="AI857" s="167"/>
      <c r="AJ857" s="271"/>
      <c r="AK857" s="15"/>
      <c r="AL857" s="15"/>
    </row>
    <row r="858" spans="1:38" ht="45" x14ac:dyDescent="0.3">
      <c r="A858" s="179"/>
      <c r="B858" s="235"/>
      <c r="C858" s="270"/>
      <c r="D858" s="236"/>
      <c r="E858" s="67"/>
      <c r="F858" s="225"/>
      <c r="G858" s="391"/>
      <c r="H858" s="226"/>
      <c r="I858" s="194"/>
      <c r="J858" s="195"/>
      <c r="K858" s="212"/>
      <c r="L858" s="213"/>
      <c r="M858" s="389"/>
      <c r="N858" s="496"/>
      <c r="O858" s="390"/>
      <c r="P858" s="214"/>
      <c r="Q858" s="216"/>
      <c r="R858" s="389"/>
      <c r="S858" s="390"/>
      <c r="T858" s="214"/>
      <c r="U858" s="216"/>
      <c r="V858" s="212"/>
      <c r="W858" s="213"/>
      <c r="X858" s="255"/>
      <c r="Y858" s="256"/>
      <c r="Z858" s="257"/>
      <c r="AA858" s="194"/>
      <c r="AB858" s="195"/>
      <c r="AC858" s="162" t="s">
        <v>2717</v>
      </c>
      <c r="AD858" s="163"/>
      <c r="AE858" s="31" t="s">
        <v>1356</v>
      </c>
      <c r="AF858" s="167"/>
      <c r="AG858" s="168"/>
      <c r="AH858" s="169"/>
      <c r="AI858" s="167"/>
      <c r="AJ858" s="271"/>
      <c r="AK858" s="15"/>
      <c r="AL858" s="15"/>
    </row>
    <row r="859" spans="1:38" ht="60" x14ac:dyDescent="0.3">
      <c r="A859" s="179"/>
      <c r="B859" s="235"/>
      <c r="C859" s="270"/>
      <c r="D859" s="236"/>
      <c r="E859" s="19" t="s">
        <v>2722</v>
      </c>
      <c r="F859" s="346" t="s">
        <v>2208</v>
      </c>
      <c r="G859" s="347"/>
      <c r="H859" s="348"/>
      <c r="I859" s="337" t="s">
        <v>2113</v>
      </c>
      <c r="J859" s="338"/>
      <c r="K859" s="351" t="s">
        <v>2209</v>
      </c>
      <c r="L859" s="352"/>
      <c r="M859" s="349">
        <v>260</v>
      </c>
      <c r="N859" s="423"/>
      <c r="O859" s="350"/>
      <c r="P859" s="479"/>
      <c r="Q859" s="481"/>
      <c r="R859" s="349">
        <v>90</v>
      </c>
      <c r="S859" s="350"/>
      <c r="T859" s="479"/>
      <c r="U859" s="481"/>
      <c r="V859" s="351" t="s">
        <v>2715</v>
      </c>
      <c r="W859" s="352"/>
      <c r="X859" s="334">
        <v>390</v>
      </c>
      <c r="Y859" s="335"/>
      <c r="Z859" s="336"/>
      <c r="AA859" s="337" t="s">
        <v>2716</v>
      </c>
      <c r="AB859" s="338"/>
      <c r="AC859" s="162" t="s">
        <v>2718</v>
      </c>
      <c r="AD859" s="163"/>
      <c r="AE859" s="31" t="s">
        <v>2721</v>
      </c>
      <c r="AF859" s="167"/>
      <c r="AG859" s="168"/>
      <c r="AH859" s="169"/>
      <c r="AI859" s="167"/>
      <c r="AJ859" s="48"/>
      <c r="AK859" s="15"/>
      <c r="AL859" s="15"/>
    </row>
    <row r="860" spans="1:38" ht="30" x14ac:dyDescent="0.3">
      <c r="A860" s="230"/>
      <c r="B860" s="237"/>
      <c r="C860" s="306"/>
      <c r="D860" s="238"/>
      <c r="E860" s="19" t="s">
        <v>2723</v>
      </c>
      <c r="F860" s="346" t="s">
        <v>2208</v>
      </c>
      <c r="G860" s="347"/>
      <c r="H860" s="348"/>
      <c r="I860" s="337" t="s">
        <v>2113</v>
      </c>
      <c r="J860" s="338"/>
      <c r="K860" s="351" t="s">
        <v>2209</v>
      </c>
      <c r="L860" s="352"/>
      <c r="M860" s="349">
        <v>260</v>
      </c>
      <c r="N860" s="423"/>
      <c r="O860" s="350"/>
      <c r="P860" s="479"/>
      <c r="Q860" s="481"/>
      <c r="R860" s="349">
        <v>90</v>
      </c>
      <c r="S860" s="350"/>
      <c r="T860" s="479"/>
      <c r="U860" s="481"/>
      <c r="V860" s="351" t="s">
        <v>2715</v>
      </c>
      <c r="W860" s="352"/>
      <c r="X860" s="334">
        <v>390</v>
      </c>
      <c r="Y860" s="335"/>
      <c r="Z860" s="336"/>
      <c r="AA860" s="337" t="s">
        <v>2716</v>
      </c>
      <c r="AB860" s="338"/>
      <c r="AC860" s="212" t="s">
        <v>2719</v>
      </c>
      <c r="AD860" s="213"/>
      <c r="AE860" s="31"/>
      <c r="AF860" s="214"/>
      <c r="AG860" s="215"/>
      <c r="AH860" s="216"/>
      <c r="AI860" s="167"/>
      <c r="AJ860" s="48"/>
      <c r="AK860" s="15"/>
      <c r="AL860" s="15"/>
    </row>
    <row r="861" spans="1:38" ht="75" x14ac:dyDescent="0.3">
      <c r="A861" s="178"/>
      <c r="B861" s="303" t="s">
        <v>2724</v>
      </c>
      <c r="C861" s="344"/>
      <c r="D861" s="304"/>
      <c r="E861" s="71" t="s">
        <v>2725</v>
      </c>
      <c r="F861" s="303" t="s">
        <v>2726</v>
      </c>
      <c r="G861" s="344"/>
      <c r="H861" s="304"/>
      <c r="I861" s="233" t="s">
        <v>2727</v>
      </c>
      <c r="J861" s="234"/>
      <c r="K861" s="303" t="s">
        <v>2728</v>
      </c>
      <c r="L861" s="304"/>
      <c r="M861" s="303" t="s">
        <v>2729</v>
      </c>
      <c r="N861" s="344"/>
      <c r="O861" s="304"/>
      <c r="P861" s="328">
        <v>10</v>
      </c>
      <c r="Q861" s="329"/>
      <c r="R861" s="328">
        <v>40</v>
      </c>
      <c r="S861" s="329"/>
      <c r="T861" s="328">
        <v>18</v>
      </c>
      <c r="U861" s="329"/>
      <c r="V861" s="303" t="s">
        <v>2730</v>
      </c>
      <c r="W861" s="304"/>
      <c r="X861" s="294">
        <v>190</v>
      </c>
      <c r="Y861" s="295"/>
      <c r="Z861" s="296"/>
      <c r="AA861" s="409" t="s">
        <v>2731</v>
      </c>
      <c r="AB861" s="411"/>
      <c r="AC861" s="171" t="s">
        <v>675</v>
      </c>
      <c r="AD861" s="172"/>
      <c r="AE861" s="24" t="s">
        <v>2733</v>
      </c>
      <c r="AF861" s="303" t="s">
        <v>2735</v>
      </c>
      <c r="AG861" s="344"/>
      <c r="AH861" s="304"/>
      <c r="AI861" s="167"/>
      <c r="AJ861" s="271"/>
      <c r="AK861" s="15"/>
      <c r="AL861" s="15"/>
    </row>
    <row r="862" spans="1:38" ht="15.5" x14ac:dyDescent="0.3">
      <c r="A862" s="179"/>
      <c r="B862" s="292"/>
      <c r="C862" s="314"/>
      <c r="D862" s="293"/>
      <c r="E862" s="72"/>
      <c r="F862" s="292"/>
      <c r="G862" s="314"/>
      <c r="H862" s="293"/>
      <c r="I862" s="235"/>
      <c r="J862" s="236"/>
      <c r="K862" s="292"/>
      <c r="L862" s="293"/>
      <c r="M862" s="292"/>
      <c r="N862" s="314"/>
      <c r="O862" s="293"/>
      <c r="P862" s="517"/>
      <c r="Q862" s="518"/>
      <c r="R862" s="517"/>
      <c r="S862" s="518"/>
      <c r="T862" s="517"/>
      <c r="U862" s="518"/>
      <c r="V862" s="292"/>
      <c r="W862" s="293"/>
      <c r="X862" s="297"/>
      <c r="Y862" s="298"/>
      <c r="Z862" s="299"/>
      <c r="AA862" s="401"/>
      <c r="AB862" s="403"/>
      <c r="AC862" s="162" t="s">
        <v>2732</v>
      </c>
      <c r="AD862" s="163"/>
      <c r="AE862" s="31" t="s">
        <v>848</v>
      </c>
      <c r="AF862" s="292"/>
      <c r="AG862" s="314"/>
      <c r="AH862" s="293"/>
      <c r="AI862" s="167"/>
      <c r="AJ862" s="271"/>
      <c r="AK862" s="15"/>
      <c r="AL862" s="15"/>
    </row>
    <row r="863" spans="1:38" ht="45" x14ac:dyDescent="0.3">
      <c r="A863" s="179"/>
      <c r="B863" s="292"/>
      <c r="C863" s="314"/>
      <c r="D863" s="293"/>
      <c r="E863" s="73"/>
      <c r="F863" s="290"/>
      <c r="G863" s="345"/>
      <c r="H863" s="291"/>
      <c r="I863" s="237"/>
      <c r="J863" s="238"/>
      <c r="K863" s="290"/>
      <c r="L863" s="291"/>
      <c r="M863" s="290"/>
      <c r="N863" s="345"/>
      <c r="O863" s="291"/>
      <c r="P863" s="519"/>
      <c r="Q863" s="520"/>
      <c r="R863" s="519"/>
      <c r="S863" s="520"/>
      <c r="T863" s="519"/>
      <c r="U863" s="520"/>
      <c r="V863" s="290"/>
      <c r="W863" s="291"/>
      <c r="X863" s="300"/>
      <c r="Y863" s="301"/>
      <c r="Z863" s="302"/>
      <c r="AA863" s="404"/>
      <c r="AB863" s="406"/>
      <c r="AC863" s="162"/>
      <c r="AD863" s="163"/>
      <c r="AE863" s="31" t="s">
        <v>1356</v>
      </c>
      <c r="AF863" s="292"/>
      <c r="AG863" s="314"/>
      <c r="AH863" s="293"/>
      <c r="AI863" s="167"/>
      <c r="AJ863" s="271"/>
      <c r="AK863" s="15"/>
      <c r="AL863" s="15"/>
    </row>
    <row r="864" spans="1:38" ht="60" x14ac:dyDescent="0.3">
      <c r="A864" s="230"/>
      <c r="B864" s="290"/>
      <c r="C864" s="345"/>
      <c r="D864" s="291"/>
      <c r="E864" s="19" t="s">
        <v>2736</v>
      </c>
      <c r="F864" s="351" t="s">
        <v>2726</v>
      </c>
      <c r="G864" s="444"/>
      <c r="H864" s="352"/>
      <c r="I864" s="337" t="s">
        <v>2727</v>
      </c>
      <c r="J864" s="338"/>
      <c r="K864" s="351" t="s">
        <v>2728</v>
      </c>
      <c r="L864" s="352"/>
      <c r="M864" s="351" t="s">
        <v>2737</v>
      </c>
      <c r="N864" s="444"/>
      <c r="O864" s="352"/>
      <c r="P864" s="349">
        <v>10</v>
      </c>
      <c r="Q864" s="350"/>
      <c r="R864" s="349">
        <v>40</v>
      </c>
      <c r="S864" s="350"/>
      <c r="T864" s="349">
        <v>18</v>
      </c>
      <c r="U864" s="350"/>
      <c r="V864" s="351" t="s">
        <v>2738</v>
      </c>
      <c r="W864" s="352"/>
      <c r="X864" s="334">
        <v>190</v>
      </c>
      <c r="Y864" s="335"/>
      <c r="Z864" s="336"/>
      <c r="AA864" s="337" t="s">
        <v>2739</v>
      </c>
      <c r="AB864" s="338"/>
      <c r="AC864" s="212"/>
      <c r="AD864" s="213"/>
      <c r="AE864" s="31" t="s">
        <v>2734</v>
      </c>
      <c r="AF864" s="290"/>
      <c r="AG864" s="345"/>
      <c r="AH864" s="291"/>
      <c r="AI864" s="214"/>
      <c r="AJ864" s="48"/>
      <c r="AK864" s="15"/>
      <c r="AL864" s="15"/>
    </row>
    <row r="865" spans="1:38" ht="90" x14ac:dyDescent="0.3">
      <c r="A865" s="178"/>
      <c r="B865" s="303" t="s">
        <v>2740</v>
      </c>
      <c r="C865" s="344"/>
      <c r="D865" s="304"/>
      <c r="E865" s="66" t="s">
        <v>2741</v>
      </c>
      <c r="F865" s="303" t="s">
        <v>2742</v>
      </c>
      <c r="G865" s="344"/>
      <c r="H865" s="304"/>
      <c r="I865" s="233" t="s">
        <v>1140</v>
      </c>
      <c r="J865" s="234"/>
      <c r="K865" s="233" t="s">
        <v>2743</v>
      </c>
      <c r="L865" s="234"/>
      <c r="M865" s="387">
        <v>80</v>
      </c>
      <c r="N865" s="495"/>
      <c r="O865" s="388"/>
      <c r="P865" s="171" t="s">
        <v>1751</v>
      </c>
      <c r="Q865" s="172"/>
      <c r="R865" s="387">
        <v>15</v>
      </c>
      <c r="S865" s="388"/>
      <c r="T865" s="387">
        <v>6</v>
      </c>
      <c r="U865" s="388"/>
      <c r="V865" s="171" t="s">
        <v>2744</v>
      </c>
      <c r="W865" s="172"/>
      <c r="X865" s="252">
        <v>109</v>
      </c>
      <c r="Y865" s="253"/>
      <c r="Z865" s="254"/>
      <c r="AA865" s="192" t="s">
        <v>2745</v>
      </c>
      <c r="AB865" s="193"/>
      <c r="AC865" s="171" t="s">
        <v>675</v>
      </c>
      <c r="AD865" s="172"/>
      <c r="AE865" s="24" t="s">
        <v>2747</v>
      </c>
      <c r="AF865" s="171" t="s">
        <v>2691</v>
      </c>
      <c r="AG865" s="407"/>
      <c r="AH865" s="172"/>
      <c r="AI865" s="24" t="s">
        <v>2749</v>
      </c>
      <c r="AJ865" s="603"/>
      <c r="AK865" s="15"/>
      <c r="AL865" s="15"/>
    </row>
    <row r="866" spans="1:38" ht="120" x14ac:dyDescent="0.3">
      <c r="A866" s="179"/>
      <c r="B866" s="292"/>
      <c r="C866" s="314"/>
      <c r="D866" s="293"/>
      <c r="E866" s="74"/>
      <c r="F866" s="292"/>
      <c r="G866" s="314"/>
      <c r="H866" s="293"/>
      <c r="I866" s="235"/>
      <c r="J866" s="236"/>
      <c r="K866" s="235"/>
      <c r="L866" s="236"/>
      <c r="M866" s="506"/>
      <c r="N866" s="602"/>
      <c r="O866" s="507"/>
      <c r="P866" s="162"/>
      <c r="Q866" s="163"/>
      <c r="R866" s="506"/>
      <c r="S866" s="507"/>
      <c r="T866" s="506"/>
      <c r="U866" s="507"/>
      <c r="V866" s="162"/>
      <c r="W866" s="163"/>
      <c r="X866" s="311"/>
      <c r="Y866" s="312"/>
      <c r="Z866" s="313"/>
      <c r="AA866" s="272"/>
      <c r="AB866" s="273"/>
      <c r="AC866" s="162" t="s">
        <v>2746</v>
      </c>
      <c r="AD866" s="163"/>
      <c r="AE866" s="31" t="s">
        <v>848</v>
      </c>
      <c r="AF866" s="162"/>
      <c r="AG866" s="170"/>
      <c r="AH866" s="163"/>
      <c r="AI866" s="31" t="s">
        <v>2750</v>
      </c>
      <c r="AJ866" s="603"/>
      <c r="AK866" s="15"/>
      <c r="AL866" s="15"/>
    </row>
    <row r="867" spans="1:38" ht="45" x14ac:dyDescent="0.3">
      <c r="A867" s="179"/>
      <c r="B867" s="292"/>
      <c r="C867" s="314"/>
      <c r="D867" s="293"/>
      <c r="E867" s="67"/>
      <c r="F867" s="292"/>
      <c r="G867" s="314"/>
      <c r="H867" s="293"/>
      <c r="I867" s="235"/>
      <c r="J867" s="236"/>
      <c r="K867" s="235"/>
      <c r="L867" s="236"/>
      <c r="M867" s="389"/>
      <c r="N867" s="496"/>
      <c r="O867" s="390"/>
      <c r="P867" s="212"/>
      <c r="Q867" s="213"/>
      <c r="R867" s="389"/>
      <c r="S867" s="390"/>
      <c r="T867" s="389"/>
      <c r="U867" s="390"/>
      <c r="V867" s="212"/>
      <c r="W867" s="213"/>
      <c r="X867" s="255"/>
      <c r="Y867" s="256"/>
      <c r="Z867" s="257"/>
      <c r="AA867" s="194"/>
      <c r="AB867" s="195"/>
      <c r="AC867" s="162"/>
      <c r="AD867" s="163"/>
      <c r="AE867" s="31" t="s">
        <v>1356</v>
      </c>
      <c r="AF867" s="162"/>
      <c r="AG867" s="170"/>
      <c r="AH867" s="163"/>
      <c r="AI867" s="31"/>
      <c r="AJ867" s="603"/>
      <c r="AK867" s="15"/>
      <c r="AL867" s="15"/>
    </row>
    <row r="868" spans="1:38" ht="60" x14ac:dyDescent="0.3">
      <c r="A868" s="230"/>
      <c r="B868" s="290"/>
      <c r="C868" s="345"/>
      <c r="D868" s="291"/>
      <c r="E868" s="19" t="s">
        <v>2751</v>
      </c>
      <c r="F868" s="290"/>
      <c r="G868" s="345"/>
      <c r="H868" s="291"/>
      <c r="I868" s="237"/>
      <c r="J868" s="238"/>
      <c r="K868" s="237"/>
      <c r="L868" s="238"/>
      <c r="M868" s="349">
        <v>80</v>
      </c>
      <c r="N868" s="423"/>
      <c r="O868" s="350"/>
      <c r="P868" s="351" t="s">
        <v>1751</v>
      </c>
      <c r="Q868" s="352"/>
      <c r="R868" s="349">
        <v>15</v>
      </c>
      <c r="S868" s="350"/>
      <c r="T868" s="349">
        <v>6</v>
      </c>
      <c r="U868" s="350"/>
      <c r="V868" s="351" t="s">
        <v>2744</v>
      </c>
      <c r="W868" s="352"/>
      <c r="X868" s="334">
        <v>109</v>
      </c>
      <c r="Y868" s="335"/>
      <c r="Z868" s="336"/>
      <c r="AA868" s="337" t="s">
        <v>2745</v>
      </c>
      <c r="AB868" s="338"/>
      <c r="AC868" s="212"/>
      <c r="AD868" s="213"/>
      <c r="AE868" s="31" t="s">
        <v>2748</v>
      </c>
      <c r="AF868" s="212"/>
      <c r="AG868" s="408"/>
      <c r="AH868" s="213"/>
      <c r="AI868" s="31"/>
      <c r="AJ868" s="48"/>
      <c r="AK868" s="15"/>
      <c r="AL868" s="15"/>
    </row>
    <row r="869" spans="1:38" ht="75" x14ac:dyDescent="0.3">
      <c r="A869" s="178"/>
      <c r="B869" s="303" t="s">
        <v>2752</v>
      </c>
      <c r="C869" s="344"/>
      <c r="D869" s="304"/>
      <c r="E869" s="66" t="s">
        <v>2753</v>
      </c>
      <c r="F869" s="223" t="s">
        <v>2754</v>
      </c>
      <c r="G869" s="398"/>
      <c r="H869" s="224"/>
      <c r="I869" s="192" t="s">
        <v>2755</v>
      </c>
      <c r="J869" s="193"/>
      <c r="K869" s="192" t="s">
        <v>2756</v>
      </c>
      <c r="L869" s="193"/>
      <c r="M869" s="387">
        <v>27</v>
      </c>
      <c r="N869" s="495"/>
      <c r="O869" s="388"/>
      <c r="P869" s="392" t="s">
        <v>989</v>
      </c>
      <c r="Q869" s="394"/>
      <c r="R869" s="387">
        <v>8</v>
      </c>
      <c r="S869" s="388"/>
      <c r="T869" s="387">
        <v>4</v>
      </c>
      <c r="U869" s="388"/>
      <c r="V869" s="171" t="s">
        <v>2757</v>
      </c>
      <c r="W869" s="172"/>
      <c r="X869" s="252">
        <v>48</v>
      </c>
      <c r="Y869" s="253"/>
      <c r="Z869" s="254"/>
      <c r="AA869" s="192" t="s">
        <v>2758</v>
      </c>
      <c r="AB869" s="193"/>
      <c r="AC869" s="171" t="s">
        <v>675</v>
      </c>
      <c r="AD869" s="172"/>
      <c r="AE869" s="24" t="s">
        <v>2760</v>
      </c>
      <c r="AF869" s="303" t="s">
        <v>683</v>
      </c>
      <c r="AG869" s="344"/>
      <c r="AH869" s="304"/>
      <c r="AI869" s="164"/>
      <c r="AJ869" s="271"/>
      <c r="AK869" s="15"/>
      <c r="AL869" s="15"/>
    </row>
    <row r="870" spans="1:38" ht="15.5" x14ac:dyDescent="0.3">
      <c r="A870" s="179"/>
      <c r="B870" s="292"/>
      <c r="C870" s="314"/>
      <c r="D870" s="293"/>
      <c r="E870" s="67"/>
      <c r="F870" s="225"/>
      <c r="G870" s="391"/>
      <c r="H870" s="226"/>
      <c r="I870" s="194"/>
      <c r="J870" s="195"/>
      <c r="K870" s="194"/>
      <c r="L870" s="195"/>
      <c r="M870" s="389"/>
      <c r="N870" s="496"/>
      <c r="O870" s="390"/>
      <c r="P870" s="395"/>
      <c r="Q870" s="397"/>
      <c r="R870" s="389"/>
      <c r="S870" s="390"/>
      <c r="T870" s="389"/>
      <c r="U870" s="390"/>
      <c r="V870" s="212"/>
      <c r="W870" s="213"/>
      <c r="X870" s="255"/>
      <c r="Y870" s="256"/>
      <c r="Z870" s="257"/>
      <c r="AA870" s="194"/>
      <c r="AB870" s="195"/>
      <c r="AC870" s="162" t="s">
        <v>2759</v>
      </c>
      <c r="AD870" s="163"/>
      <c r="AE870" s="31" t="s">
        <v>848</v>
      </c>
      <c r="AF870" s="292"/>
      <c r="AG870" s="314"/>
      <c r="AH870" s="293"/>
      <c r="AI870" s="167"/>
      <c r="AJ870" s="271"/>
      <c r="AK870" s="15"/>
      <c r="AL870" s="15"/>
    </row>
    <row r="871" spans="1:38" ht="45" x14ac:dyDescent="0.3">
      <c r="A871" s="179"/>
      <c r="B871" s="292"/>
      <c r="C871" s="314"/>
      <c r="D871" s="293"/>
      <c r="E871" s="19" t="s">
        <v>2762</v>
      </c>
      <c r="F871" s="346" t="s">
        <v>2754</v>
      </c>
      <c r="G871" s="347"/>
      <c r="H871" s="348"/>
      <c r="I871" s="337" t="s">
        <v>2755</v>
      </c>
      <c r="J871" s="338"/>
      <c r="K871" s="337" t="s">
        <v>2756</v>
      </c>
      <c r="L871" s="338"/>
      <c r="M871" s="349">
        <v>27</v>
      </c>
      <c r="N871" s="423"/>
      <c r="O871" s="350"/>
      <c r="P871" s="511" t="s">
        <v>989</v>
      </c>
      <c r="Q871" s="513"/>
      <c r="R871" s="349">
        <v>8</v>
      </c>
      <c r="S871" s="350"/>
      <c r="T871" s="349">
        <v>4</v>
      </c>
      <c r="U871" s="350"/>
      <c r="V871" s="351" t="s">
        <v>2757</v>
      </c>
      <c r="W871" s="352"/>
      <c r="X871" s="334">
        <v>48</v>
      </c>
      <c r="Y871" s="335"/>
      <c r="Z871" s="336"/>
      <c r="AA871" s="337" t="s">
        <v>2758</v>
      </c>
      <c r="AB871" s="338"/>
      <c r="AC871" s="162"/>
      <c r="AD871" s="163"/>
      <c r="AE871" s="31" t="s">
        <v>1356</v>
      </c>
      <c r="AF871" s="292"/>
      <c r="AG871" s="314"/>
      <c r="AH871" s="293"/>
      <c r="AI871" s="167"/>
      <c r="AJ871" s="48"/>
      <c r="AK871" s="15"/>
      <c r="AL871" s="15"/>
    </row>
    <row r="872" spans="1:38" ht="60" x14ac:dyDescent="0.25">
      <c r="A872" s="230"/>
      <c r="B872" s="290"/>
      <c r="C872" s="345"/>
      <c r="D872" s="291"/>
      <c r="E872" s="49" t="s">
        <v>2763</v>
      </c>
      <c r="F872" s="366" t="s">
        <v>2754</v>
      </c>
      <c r="G872" s="367"/>
      <c r="H872" s="368"/>
      <c r="I872" s="362" t="s">
        <v>2755</v>
      </c>
      <c r="J872" s="363"/>
      <c r="K872" s="362" t="s">
        <v>2756</v>
      </c>
      <c r="L872" s="363"/>
      <c r="M872" s="358">
        <v>27</v>
      </c>
      <c r="N872" s="485"/>
      <c r="O872" s="359"/>
      <c r="P872" s="623" t="s">
        <v>989</v>
      </c>
      <c r="Q872" s="624"/>
      <c r="R872" s="358">
        <v>8</v>
      </c>
      <c r="S872" s="359"/>
      <c r="T872" s="358">
        <v>4</v>
      </c>
      <c r="U872" s="359"/>
      <c r="V872" s="375" t="s">
        <v>2757</v>
      </c>
      <c r="W872" s="376"/>
      <c r="X872" s="482">
        <v>48</v>
      </c>
      <c r="Y872" s="483"/>
      <c r="Z872" s="484"/>
      <c r="AA872" s="362" t="s">
        <v>2758</v>
      </c>
      <c r="AB872" s="363"/>
      <c r="AC872" s="212"/>
      <c r="AD872" s="213"/>
      <c r="AE872" s="31" t="s">
        <v>2761</v>
      </c>
      <c r="AF872" s="290"/>
      <c r="AG872" s="345"/>
      <c r="AH872" s="291"/>
      <c r="AI872" s="167"/>
      <c r="AJ872" s="48"/>
      <c r="AK872" s="15"/>
      <c r="AL872" s="15"/>
    </row>
    <row r="873" spans="1:38" ht="75" x14ac:dyDescent="0.3">
      <c r="A873" s="178"/>
      <c r="B873" s="303" t="s">
        <v>2764</v>
      </c>
      <c r="C873" s="344"/>
      <c r="D873" s="304"/>
      <c r="E873" s="66" t="s">
        <v>2765</v>
      </c>
      <c r="F873" s="223" t="s">
        <v>2766</v>
      </c>
      <c r="G873" s="398"/>
      <c r="H873" s="224"/>
      <c r="I873" s="192" t="s">
        <v>2767</v>
      </c>
      <c r="J873" s="193"/>
      <c r="K873" s="171" t="s">
        <v>2768</v>
      </c>
      <c r="L873" s="172"/>
      <c r="M873" s="392" t="s">
        <v>2769</v>
      </c>
      <c r="N873" s="393"/>
      <c r="O873" s="394"/>
      <c r="P873" s="387">
        <v>10</v>
      </c>
      <c r="Q873" s="388"/>
      <c r="R873" s="387">
        <v>40</v>
      </c>
      <c r="S873" s="388"/>
      <c r="T873" s="387">
        <v>22</v>
      </c>
      <c r="U873" s="388"/>
      <c r="V873" s="171" t="s">
        <v>2770</v>
      </c>
      <c r="W873" s="172"/>
      <c r="X873" s="252">
        <v>358</v>
      </c>
      <c r="Y873" s="253"/>
      <c r="Z873" s="254"/>
      <c r="AA873" s="192" t="s">
        <v>768</v>
      </c>
      <c r="AB873" s="193"/>
      <c r="AC873" s="171" t="s">
        <v>675</v>
      </c>
      <c r="AD873" s="172"/>
      <c r="AE873" s="24" t="s">
        <v>2772</v>
      </c>
      <c r="AF873" s="303" t="s">
        <v>2503</v>
      </c>
      <c r="AG873" s="344"/>
      <c r="AH873" s="304"/>
      <c r="AI873" s="167"/>
      <c r="AJ873" s="271"/>
      <c r="AK873" s="15"/>
      <c r="AL873" s="15"/>
    </row>
    <row r="874" spans="1:38" ht="15.5" x14ac:dyDescent="0.3">
      <c r="A874" s="179"/>
      <c r="B874" s="292"/>
      <c r="C874" s="314"/>
      <c r="D874" s="293"/>
      <c r="E874" s="67"/>
      <c r="F874" s="225"/>
      <c r="G874" s="391"/>
      <c r="H874" s="226"/>
      <c r="I874" s="194"/>
      <c r="J874" s="195"/>
      <c r="K874" s="212"/>
      <c r="L874" s="213"/>
      <c r="M874" s="395"/>
      <c r="N874" s="396"/>
      <c r="O874" s="397"/>
      <c r="P874" s="389"/>
      <c r="Q874" s="390"/>
      <c r="R874" s="389"/>
      <c r="S874" s="390"/>
      <c r="T874" s="389"/>
      <c r="U874" s="390"/>
      <c r="V874" s="212"/>
      <c r="W874" s="213"/>
      <c r="X874" s="255"/>
      <c r="Y874" s="256"/>
      <c r="Z874" s="257"/>
      <c r="AA874" s="194"/>
      <c r="AB874" s="195"/>
      <c r="AC874" s="162" t="s">
        <v>2771</v>
      </c>
      <c r="AD874" s="163"/>
      <c r="AE874" s="31" t="s">
        <v>848</v>
      </c>
      <c r="AF874" s="292"/>
      <c r="AG874" s="314"/>
      <c r="AH874" s="293"/>
      <c r="AI874" s="167"/>
      <c r="AJ874" s="271"/>
      <c r="AK874" s="15"/>
      <c r="AL874" s="15"/>
    </row>
    <row r="875" spans="1:38" ht="60" x14ac:dyDescent="0.3">
      <c r="A875" s="179"/>
      <c r="B875" s="292"/>
      <c r="C875" s="314"/>
      <c r="D875" s="293"/>
      <c r="E875" s="19" t="s">
        <v>2774</v>
      </c>
      <c r="F875" s="346" t="s">
        <v>2766</v>
      </c>
      <c r="G875" s="347"/>
      <c r="H875" s="348"/>
      <c r="I875" s="337" t="s">
        <v>2767</v>
      </c>
      <c r="J875" s="338"/>
      <c r="K875" s="351" t="s">
        <v>2768</v>
      </c>
      <c r="L875" s="352"/>
      <c r="M875" s="511" t="s">
        <v>2775</v>
      </c>
      <c r="N875" s="512"/>
      <c r="O875" s="513"/>
      <c r="P875" s="349">
        <v>10</v>
      </c>
      <c r="Q875" s="350"/>
      <c r="R875" s="349">
        <v>40</v>
      </c>
      <c r="S875" s="350"/>
      <c r="T875" s="349">
        <v>22</v>
      </c>
      <c r="U875" s="350"/>
      <c r="V875" s="351" t="s">
        <v>2776</v>
      </c>
      <c r="W875" s="352"/>
      <c r="X875" s="334">
        <v>358</v>
      </c>
      <c r="Y875" s="335"/>
      <c r="Z875" s="336"/>
      <c r="AA875" s="337" t="s">
        <v>768</v>
      </c>
      <c r="AB875" s="338"/>
      <c r="AC875" s="162"/>
      <c r="AD875" s="163"/>
      <c r="AE875" s="31" t="s">
        <v>1356</v>
      </c>
      <c r="AF875" s="292"/>
      <c r="AG875" s="314"/>
      <c r="AH875" s="293"/>
      <c r="AI875" s="167"/>
      <c r="AJ875" s="48"/>
      <c r="AK875" s="15"/>
      <c r="AL875" s="15"/>
    </row>
    <row r="876" spans="1:38" ht="60" x14ac:dyDescent="0.3">
      <c r="A876" s="230"/>
      <c r="B876" s="290"/>
      <c r="C876" s="345"/>
      <c r="D876" s="291"/>
      <c r="E876" s="19" t="s">
        <v>2777</v>
      </c>
      <c r="F876" s="346" t="s">
        <v>2766</v>
      </c>
      <c r="G876" s="347"/>
      <c r="H876" s="348"/>
      <c r="I876" s="337" t="s">
        <v>2767</v>
      </c>
      <c r="J876" s="338"/>
      <c r="K876" s="351" t="s">
        <v>2768</v>
      </c>
      <c r="L876" s="352"/>
      <c r="M876" s="511" t="s">
        <v>2778</v>
      </c>
      <c r="N876" s="512"/>
      <c r="O876" s="513"/>
      <c r="P876" s="349">
        <v>10</v>
      </c>
      <c r="Q876" s="350"/>
      <c r="R876" s="349">
        <v>40</v>
      </c>
      <c r="S876" s="350"/>
      <c r="T876" s="349">
        <v>22</v>
      </c>
      <c r="U876" s="350"/>
      <c r="V876" s="351" t="s">
        <v>2779</v>
      </c>
      <c r="W876" s="352"/>
      <c r="X876" s="334">
        <v>358</v>
      </c>
      <c r="Y876" s="335"/>
      <c r="Z876" s="336"/>
      <c r="AA876" s="337" t="s">
        <v>688</v>
      </c>
      <c r="AB876" s="338"/>
      <c r="AC876" s="212"/>
      <c r="AD876" s="213"/>
      <c r="AE876" s="31" t="s">
        <v>2773</v>
      </c>
      <c r="AF876" s="290"/>
      <c r="AG876" s="345"/>
      <c r="AH876" s="291"/>
      <c r="AI876" s="167"/>
      <c r="AJ876" s="48"/>
      <c r="AK876" s="15"/>
      <c r="AL876" s="15"/>
    </row>
    <row r="877" spans="1:38" ht="90" x14ac:dyDescent="0.3">
      <c r="A877" s="178"/>
      <c r="B877" s="409" t="s">
        <v>2780</v>
      </c>
      <c r="C877" s="410"/>
      <c r="D877" s="411"/>
      <c r="E877" s="71" t="s">
        <v>2781</v>
      </c>
      <c r="F877" s="409" t="s">
        <v>2782</v>
      </c>
      <c r="G877" s="410"/>
      <c r="H877" s="411"/>
      <c r="I877" s="233" t="s">
        <v>2783</v>
      </c>
      <c r="J877" s="234"/>
      <c r="K877" s="303" t="s">
        <v>2784</v>
      </c>
      <c r="L877" s="304"/>
      <c r="M877" s="328">
        <v>220</v>
      </c>
      <c r="N877" s="600"/>
      <c r="O877" s="329"/>
      <c r="P877" s="164"/>
      <c r="Q877" s="166"/>
      <c r="R877" s="328">
        <v>65</v>
      </c>
      <c r="S877" s="329"/>
      <c r="T877" s="164"/>
      <c r="U877" s="166"/>
      <c r="V877" s="303" t="s">
        <v>2785</v>
      </c>
      <c r="W877" s="304"/>
      <c r="X877" s="294">
        <v>368</v>
      </c>
      <c r="Y877" s="295"/>
      <c r="Z877" s="296"/>
      <c r="AA877" s="233" t="s">
        <v>1045</v>
      </c>
      <c r="AB877" s="234"/>
      <c r="AC877" s="223" t="s">
        <v>675</v>
      </c>
      <c r="AD877" s="224"/>
      <c r="AE877" s="24" t="s">
        <v>2788</v>
      </c>
      <c r="AF877" s="164"/>
      <c r="AG877" s="165"/>
      <c r="AH877" s="166"/>
      <c r="AI877" s="167"/>
      <c r="AJ877" s="271"/>
      <c r="AK877" s="15"/>
      <c r="AL877" s="15"/>
    </row>
    <row r="878" spans="1:38" ht="45" x14ac:dyDescent="0.3">
      <c r="A878" s="179"/>
      <c r="B878" s="401"/>
      <c r="C878" s="402"/>
      <c r="D878" s="403"/>
      <c r="E878" s="72"/>
      <c r="F878" s="401"/>
      <c r="G878" s="402"/>
      <c r="H878" s="403"/>
      <c r="I878" s="235"/>
      <c r="J878" s="236"/>
      <c r="K878" s="292"/>
      <c r="L878" s="293"/>
      <c r="M878" s="517"/>
      <c r="N878" s="610"/>
      <c r="O878" s="518"/>
      <c r="P878" s="167"/>
      <c r="Q878" s="169"/>
      <c r="R878" s="517"/>
      <c r="S878" s="518"/>
      <c r="T878" s="167"/>
      <c r="U878" s="169"/>
      <c r="V878" s="292"/>
      <c r="W878" s="293"/>
      <c r="X878" s="297"/>
      <c r="Y878" s="298"/>
      <c r="Z878" s="299"/>
      <c r="AA878" s="235"/>
      <c r="AB878" s="236"/>
      <c r="AC878" s="239" t="s">
        <v>2786</v>
      </c>
      <c r="AD878" s="240"/>
      <c r="AE878" s="31" t="s">
        <v>1356</v>
      </c>
      <c r="AF878" s="167"/>
      <c r="AG878" s="168"/>
      <c r="AH878" s="169"/>
      <c r="AI878" s="167"/>
      <c r="AJ878" s="271"/>
      <c r="AK878" s="15"/>
      <c r="AL878" s="15"/>
    </row>
    <row r="879" spans="1:38" ht="75" x14ac:dyDescent="0.3">
      <c r="A879" s="179"/>
      <c r="B879" s="401"/>
      <c r="C879" s="402"/>
      <c r="D879" s="403"/>
      <c r="E879" s="72"/>
      <c r="F879" s="401"/>
      <c r="G879" s="402"/>
      <c r="H879" s="403"/>
      <c r="I879" s="235"/>
      <c r="J879" s="236"/>
      <c r="K879" s="292"/>
      <c r="L879" s="293"/>
      <c r="M879" s="517"/>
      <c r="N879" s="610"/>
      <c r="O879" s="518"/>
      <c r="P879" s="167"/>
      <c r="Q879" s="169"/>
      <c r="R879" s="517"/>
      <c r="S879" s="518"/>
      <c r="T879" s="167"/>
      <c r="U879" s="169"/>
      <c r="V879" s="292"/>
      <c r="W879" s="293"/>
      <c r="X879" s="297"/>
      <c r="Y879" s="298"/>
      <c r="Z879" s="299"/>
      <c r="AA879" s="235"/>
      <c r="AB879" s="236"/>
      <c r="AC879" s="239" t="s">
        <v>828</v>
      </c>
      <c r="AD879" s="240"/>
      <c r="AE879" s="31" t="s">
        <v>2789</v>
      </c>
      <c r="AF879" s="167"/>
      <c r="AG879" s="168"/>
      <c r="AH879" s="169"/>
      <c r="AI879" s="167"/>
      <c r="AJ879" s="271"/>
      <c r="AK879" s="15"/>
      <c r="AL879" s="15"/>
    </row>
    <row r="880" spans="1:38" ht="15.5" x14ac:dyDescent="0.3">
      <c r="A880" s="179"/>
      <c r="B880" s="401"/>
      <c r="C880" s="402"/>
      <c r="D880" s="403"/>
      <c r="E880" s="72"/>
      <c r="F880" s="401"/>
      <c r="G880" s="402"/>
      <c r="H880" s="403"/>
      <c r="I880" s="235"/>
      <c r="J880" s="236"/>
      <c r="K880" s="292"/>
      <c r="L880" s="293"/>
      <c r="M880" s="517"/>
      <c r="N880" s="610"/>
      <c r="O880" s="518"/>
      <c r="P880" s="167"/>
      <c r="Q880" s="169"/>
      <c r="R880" s="517"/>
      <c r="S880" s="518"/>
      <c r="T880" s="167"/>
      <c r="U880" s="169"/>
      <c r="V880" s="292"/>
      <c r="W880" s="293"/>
      <c r="X880" s="297"/>
      <c r="Y880" s="298"/>
      <c r="Z880" s="299"/>
      <c r="AA880" s="235"/>
      <c r="AB880" s="236"/>
      <c r="AC880" s="239" t="s">
        <v>677</v>
      </c>
      <c r="AD880" s="240"/>
      <c r="AE880" s="31"/>
      <c r="AF880" s="167"/>
      <c r="AG880" s="168"/>
      <c r="AH880" s="169"/>
      <c r="AI880" s="167"/>
      <c r="AJ880" s="271"/>
      <c r="AK880" s="15"/>
      <c r="AL880" s="15"/>
    </row>
    <row r="881" spans="1:38" ht="15.5" x14ac:dyDescent="0.3">
      <c r="A881" s="179"/>
      <c r="B881" s="401"/>
      <c r="C881" s="402"/>
      <c r="D881" s="403"/>
      <c r="E881" s="72"/>
      <c r="F881" s="401"/>
      <c r="G881" s="402"/>
      <c r="H881" s="403"/>
      <c r="I881" s="235"/>
      <c r="J881" s="236"/>
      <c r="K881" s="292"/>
      <c r="L881" s="293"/>
      <c r="M881" s="517"/>
      <c r="N881" s="610"/>
      <c r="O881" s="518"/>
      <c r="P881" s="167"/>
      <c r="Q881" s="169"/>
      <c r="R881" s="517"/>
      <c r="S881" s="518"/>
      <c r="T881" s="167"/>
      <c r="U881" s="169"/>
      <c r="V881" s="292"/>
      <c r="W881" s="293"/>
      <c r="X881" s="297"/>
      <c r="Y881" s="298"/>
      <c r="Z881" s="299"/>
      <c r="AA881" s="235"/>
      <c r="AB881" s="236"/>
      <c r="AC881" s="239" t="s">
        <v>678</v>
      </c>
      <c r="AD881" s="240"/>
      <c r="AE881" s="31"/>
      <c r="AF881" s="167"/>
      <c r="AG881" s="168"/>
      <c r="AH881" s="169"/>
      <c r="AI881" s="167"/>
      <c r="AJ881" s="271"/>
      <c r="AK881" s="15"/>
      <c r="AL881" s="15"/>
    </row>
    <row r="882" spans="1:38" ht="15.5" x14ac:dyDescent="0.3">
      <c r="A882" s="230"/>
      <c r="B882" s="404"/>
      <c r="C882" s="405"/>
      <c r="D882" s="406"/>
      <c r="E882" s="73"/>
      <c r="F882" s="404"/>
      <c r="G882" s="405"/>
      <c r="H882" s="406"/>
      <c r="I882" s="237"/>
      <c r="J882" s="238"/>
      <c r="K882" s="290"/>
      <c r="L882" s="291"/>
      <c r="M882" s="519"/>
      <c r="N882" s="601"/>
      <c r="O882" s="520"/>
      <c r="P882" s="214"/>
      <c r="Q882" s="216"/>
      <c r="R882" s="519"/>
      <c r="S882" s="520"/>
      <c r="T882" s="214"/>
      <c r="U882" s="216"/>
      <c r="V882" s="290"/>
      <c r="W882" s="291"/>
      <c r="X882" s="300"/>
      <c r="Y882" s="301"/>
      <c r="Z882" s="302"/>
      <c r="AA882" s="237"/>
      <c r="AB882" s="238"/>
      <c r="AC882" s="225" t="s">
        <v>2787</v>
      </c>
      <c r="AD882" s="226"/>
      <c r="AE882" s="37"/>
      <c r="AF882" s="214"/>
      <c r="AG882" s="215"/>
      <c r="AH882" s="216"/>
      <c r="AI882" s="167"/>
      <c r="AJ882" s="271"/>
      <c r="AK882" s="15"/>
      <c r="AL882" s="15"/>
    </row>
    <row r="883" spans="1:38" ht="90" x14ac:dyDescent="0.3">
      <c r="A883" s="178"/>
      <c r="B883" s="303" t="s">
        <v>2790</v>
      </c>
      <c r="C883" s="344"/>
      <c r="D883" s="304"/>
      <c r="E883" s="66" t="s">
        <v>2791</v>
      </c>
      <c r="F883" s="233" t="s">
        <v>2792</v>
      </c>
      <c r="G883" s="305"/>
      <c r="H883" s="234"/>
      <c r="I883" s="233" t="s">
        <v>2793</v>
      </c>
      <c r="J883" s="234"/>
      <c r="K883" s="171" t="s">
        <v>2794</v>
      </c>
      <c r="L883" s="172"/>
      <c r="M883" s="614">
        <v>35</v>
      </c>
      <c r="N883" s="615"/>
      <c r="O883" s="616"/>
      <c r="P883" s="171" t="s">
        <v>688</v>
      </c>
      <c r="Q883" s="172"/>
      <c r="R883" s="387">
        <v>7</v>
      </c>
      <c r="S883" s="388"/>
      <c r="T883" s="387">
        <v>6</v>
      </c>
      <c r="U883" s="388"/>
      <c r="V883" s="171" t="s">
        <v>990</v>
      </c>
      <c r="W883" s="172"/>
      <c r="X883" s="252">
        <v>59</v>
      </c>
      <c r="Y883" s="253"/>
      <c r="Z883" s="254"/>
      <c r="AA883" s="192" t="s">
        <v>1695</v>
      </c>
      <c r="AB883" s="193"/>
      <c r="AC883" s="88" t="s">
        <v>2795</v>
      </c>
      <c r="AD883" s="89"/>
      <c r="AE883" s="24" t="s">
        <v>2798</v>
      </c>
      <c r="AF883" s="303" t="s">
        <v>1249</v>
      </c>
      <c r="AG883" s="344"/>
      <c r="AH883" s="304"/>
      <c r="AI883" s="167"/>
      <c r="AJ883" s="271"/>
      <c r="AK883" s="15"/>
      <c r="AL883" s="15"/>
    </row>
    <row r="884" spans="1:38" ht="45" x14ac:dyDescent="0.3">
      <c r="A884" s="179"/>
      <c r="B884" s="292"/>
      <c r="C884" s="314"/>
      <c r="D884" s="293"/>
      <c r="E884" s="74"/>
      <c r="F884" s="235"/>
      <c r="G884" s="270"/>
      <c r="H884" s="236"/>
      <c r="I884" s="235"/>
      <c r="J884" s="236"/>
      <c r="K884" s="162"/>
      <c r="L884" s="163"/>
      <c r="M884" s="617"/>
      <c r="N884" s="618"/>
      <c r="O884" s="619"/>
      <c r="P884" s="162"/>
      <c r="Q884" s="163"/>
      <c r="R884" s="506"/>
      <c r="S884" s="507"/>
      <c r="T884" s="506"/>
      <c r="U884" s="507"/>
      <c r="V884" s="162"/>
      <c r="W884" s="163"/>
      <c r="X884" s="311"/>
      <c r="Y884" s="312"/>
      <c r="Z884" s="313"/>
      <c r="AA884" s="272"/>
      <c r="AB884" s="273"/>
      <c r="AC884" s="126" t="s">
        <v>675</v>
      </c>
      <c r="AD884" s="127"/>
      <c r="AE884" s="31" t="s">
        <v>1356</v>
      </c>
      <c r="AF884" s="292"/>
      <c r="AG884" s="314"/>
      <c r="AH884" s="293"/>
      <c r="AI884" s="167"/>
      <c r="AJ884" s="271"/>
      <c r="AK884" s="15"/>
      <c r="AL884" s="15"/>
    </row>
    <row r="885" spans="1:38" ht="60" x14ac:dyDescent="0.3">
      <c r="A885" s="179"/>
      <c r="B885" s="292"/>
      <c r="C885" s="314"/>
      <c r="D885" s="293"/>
      <c r="E885" s="74"/>
      <c r="F885" s="235"/>
      <c r="G885" s="270"/>
      <c r="H885" s="236"/>
      <c r="I885" s="235"/>
      <c r="J885" s="236"/>
      <c r="K885" s="162"/>
      <c r="L885" s="163"/>
      <c r="M885" s="617"/>
      <c r="N885" s="618"/>
      <c r="O885" s="619"/>
      <c r="P885" s="162"/>
      <c r="Q885" s="163"/>
      <c r="R885" s="506"/>
      <c r="S885" s="507"/>
      <c r="T885" s="506"/>
      <c r="U885" s="507"/>
      <c r="V885" s="162"/>
      <c r="W885" s="163"/>
      <c r="X885" s="311"/>
      <c r="Y885" s="312"/>
      <c r="Z885" s="313"/>
      <c r="AA885" s="272"/>
      <c r="AB885" s="273"/>
      <c r="AC885" s="126" t="s">
        <v>2796</v>
      </c>
      <c r="AD885" s="127"/>
      <c r="AE885" s="31" t="s">
        <v>2799</v>
      </c>
      <c r="AF885" s="292"/>
      <c r="AG885" s="314"/>
      <c r="AH885" s="293"/>
      <c r="AI885" s="167"/>
      <c r="AJ885" s="271"/>
      <c r="AK885" s="15"/>
      <c r="AL885" s="15"/>
    </row>
    <row r="886" spans="1:38" ht="15.5" x14ac:dyDescent="0.3">
      <c r="A886" s="179"/>
      <c r="B886" s="292"/>
      <c r="C886" s="314"/>
      <c r="D886" s="293"/>
      <c r="E886" s="67"/>
      <c r="F886" s="235"/>
      <c r="G886" s="270"/>
      <c r="H886" s="236"/>
      <c r="I886" s="235"/>
      <c r="J886" s="236"/>
      <c r="K886" s="212"/>
      <c r="L886" s="213"/>
      <c r="M886" s="620"/>
      <c r="N886" s="621"/>
      <c r="O886" s="622"/>
      <c r="P886" s="212"/>
      <c r="Q886" s="213"/>
      <c r="R886" s="389"/>
      <c r="S886" s="390"/>
      <c r="T886" s="389"/>
      <c r="U886" s="390"/>
      <c r="V886" s="212"/>
      <c r="W886" s="213"/>
      <c r="X886" s="255"/>
      <c r="Y886" s="256"/>
      <c r="Z886" s="257"/>
      <c r="AA886" s="194"/>
      <c r="AB886" s="195"/>
      <c r="AC886" s="126" t="s">
        <v>2211</v>
      </c>
      <c r="AD886" s="127"/>
      <c r="AE886" s="31"/>
      <c r="AF886" s="292"/>
      <c r="AG886" s="314"/>
      <c r="AH886" s="293"/>
      <c r="AI886" s="167"/>
      <c r="AJ886" s="271"/>
      <c r="AK886" s="15"/>
      <c r="AL886" s="15"/>
    </row>
    <row r="887" spans="1:38" ht="45" x14ac:dyDescent="0.25">
      <c r="A887" s="230"/>
      <c r="B887" s="290"/>
      <c r="C887" s="345"/>
      <c r="D887" s="291"/>
      <c r="E887" s="49" t="s">
        <v>2800</v>
      </c>
      <c r="F887" s="237"/>
      <c r="G887" s="306"/>
      <c r="H887" s="238"/>
      <c r="I887" s="237"/>
      <c r="J887" s="238"/>
      <c r="K887" s="375" t="s">
        <v>2794</v>
      </c>
      <c r="L887" s="376"/>
      <c r="M887" s="611">
        <v>35</v>
      </c>
      <c r="N887" s="612"/>
      <c r="O887" s="613"/>
      <c r="P887" s="375" t="s">
        <v>688</v>
      </c>
      <c r="Q887" s="376"/>
      <c r="R887" s="358">
        <v>7</v>
      </c>
      <c r="S887" s="359"/>
      <c r="T887" s="358">
        <v>6</v>
      </c>
      <c r="U887" s="359"/>
      <c r="V887" s="375" t="s">
        <v>990</v>
      </c>
      <c r="W887" s="376"/>
      <c r="X887" s="482">
        <v>59</v>
      </c>
      <c r="Y887" s="483"/>
      <c r="Z887" s="484"/>
      <c r="AA887" s="362" t="s">
        <v>1695</v>
      </c>
      <c r="AB887" s="363"/>
      <c r="AC887" s="117" t="s">
        <v>2797</v>
      </c>
      <c r="AD887" s="118"/>
      <c r="AE887" s="31"/>
      <c r="AF887" s="290"/>
      <c r="AG887" s="345"/>
      <c r="AH887" s="291"/>
      <c r="AI887" s="167"/>
      <c r="AJ887" s="48"/>
      <c r="AK887" s="15"/>
      <c r="AL887" s="15"/>
    </row>
    <row r="888" spans="1:38" ht="60" x14ac:dyDescent="0.25">
      <c r="A888" s="178"/>
      <c r="B888" s="409" t="s">
        <v>2801</v>
      </c>
      <c r="C888" s="410"/>
      <c r="D888" s="411"/>
      <c r="E888" s="71" t="s">
        <v>2802</v>
      </c>
      <c r="F888" s="409" t="s">
        <v>2803</v>
      </c>
      <c r="G888" s="410"/>
      <c r="H888" s="411"/>
      <c r="I888" s="409" t="s">
        <v>2804</v>
      </c>
      <c r="J888" s="411"/>
      <c r="K888" s="303" t="s">
        <v>2805</v>
      </c>
      <c r="L888" s="304"/>
      <c r="M888" s="328">
        <v>98</v>
      </c>
      <c r="N888" s="600"/>
      <c r="O888" s="329"/>
      <c r="P888" s="303" t="s">
        <v>1140</v>
      </c>
      <c r="Q888" s="304"/>
      <c r="R888" s="328">
        <v>25</v>
      </c>
      <c r="S888" s="329"/>
      <c r="T888" s="328">
        <v>11</v>
      </c>
      <c r="U888" s="329"/>
      <c r="V888" s="303" t="s">
        <v>2806</v>
      </c>
      <c r="W888" s="304"/>
      <c r="X888" s="294">
        <v>140</v>
      </c>
      <c r="Y888" s="295"/>
      <c r="Z888" s="296"/>
      <c r="AA888" s="409" t="s">
        <v>2807</v>
      </c>
      <c r="AB888" s="411"/>
      <c r="AC888" s="88" t="s">
        <v>2795</v>
      </c>
      <c r="AD888" s="89"/>
      <c r="AE888" s="24" t="s">
        <v>2809</v>
      </c>
      <c r="AF888" s="303" t="s">
        <v>2811</v>
      </c>
      <c r="AG888" s="344"/>
      <c r="AH888" s="304"/>
      <c r="AI888" s="167"/>
      <c r="AJ888" s="271"/>
      <c r="AK888" s="15"/>
      <c r="AL888" s="15"/>
    </row>
    <row r="889" spans="1:38" ht="15.5" x14ac:dyDescent="0.25">
      <c r="A889" s="179"/>
      <c r="B889" s="401"/>
      <c r="C889" s="402"/>
      <c r="D889" s="403"/>
      <c r="E889" s="72"/>
      <c r="F889" s="401"/>
      <c r="G889" s="402"/>
      <c r="H889" s="403"/>
      <c r="I889" s="401"/>
      <c r="J889" s="403"/>
      <c r="K889" s="292"/>
      <c r="L889" s="293"/>
      <c r="M889" s="517"/>
      <c r="N889" s="610"/>
      <c r="O889" s="518"/>
      <c r="P889" s="292"/>
      <c r="Q889" s="293"/>
      <c r="R889" s="517"/>
      <c r="S889" s="518"/>
      <c r="T889" s="517"/>
      <c r="U889" s="518"/>
      <c r="V889" s="292"/>
      <c r="W889" s="293"/>
      <c r="X889" s="297"/>
      <c r="Y889" s="298"/>
      <c r="Z889" s="299"/>
      <c r="AA889" s="401"/>
      <c r="AB889" s="403"/>
      <c r="AC889" s="126" t="s">
        <v>675</v>
      </c>
      <c r="AD889" s="127"/>
      <c r="AE889" s="31" t="s">
        <v>848</v>
      </c>
      <c r="AF889" s="292" t="s">
        <v>2541</v>
      </c>
      <c r="AG889" s="314"/>
      <c r="AH889" s="293"/>
      <c r="AI889" s="167"/>
      <c r="AJ889" s="271"/>
      <c r="AK889" s="15"/>
      <c r="AL889" s="15"/>
    </row>
    <row r="890" spans="1:38" ht="45" x14ac:dyDescent="0.25">
      <c r="A890" s="179"/>
      <c r="B890" s="401"/>
      <c r="C890" s="402"/>
      <c r="D890" s="403"/>
      <c r="E890" s="72"/>
      <c r="F890" s="401"/>
      <c r="G890" s="402"/>
      <c r="H890" s="403"/>
      <c r="I890" s="401"/>
      <c r="J890" s="403"/>
      <c r="K890" s="292"/>
      <c r="L890" s="293"/>
      <c r="M890" s="517"/>
      <c r="N890" s="610"/>
      <c r="O890" s="518"/>
      <c r="P890" s="292"/>
      <c r="Q890" s="293"/>
      <c r="R890" s="517"/>
      <c r="S890" s="518"/>
      <c r="T890" s="517"/>
      <c r="U890" s="518"/>
      <c r="V890" s="292"/>
      <c r="W890" s="293"/>
      <c r="X890" s="297"/>
      <c r="Y890" s="298"/>
      <c r="Z890" s="299"/>
      <c r="AA890" s="401"/>
      <c r="AB890" s="403"/>
      <c r="AC890" s="126" t="s">
        <v>2808</v>
      </c>
      <c r="AD890" s="127"/>
      <c r="AE890" s="31" t="s">
        <v>1356</v>
      </c>
      <c r="AF890" s="292"/>
      <c r="AG890" s="314"/>
      <c r="AH890" s="293"/>
      <c r="AI890" s="167"/>
      <c r="AJ890" s="271"/>
      <c r="AK890" s="15"/>
      <c r="AL890" s="15"/>
    </row>
    <row r="891" spans="1:38" ht="60" x14ac:dyDescent="0.25">
      <c r="A891" s="230"/>
      <c r="B891" s="404"/>
      <c r="C891" s="405"/>
      <c r="D891" s="406"/>
      <c r="E891" s="73"/>
      <c r="F891" s="404"/>
      <c r="G891" s="405"/>
      <c r="H891" s="406"/>
      <c r="I891" s="404"/>
      <c r="J891" s="406"/>
      <c r="K891" s="290"/>
      <c r="L891" s="291"/>
      <c r="M891" s="519"/>
      <c r="N891" s="601"/>
      <c r="O891" s="520"/>
      <c r="P891" s="290"/>
      <c r="Q891" s="291"/>
      <c r="R891" s="519"/>
      <c r="S891" s="520"/>
      <c r="T891" s="519"/>
      <c r="U891" s="520"/>
      <c r="V891" s="290"/>
      <c r="W891" s="291"/>
      <c r="X891" s="300"/>
      <c r="Y891" s="301"/>
      <c r="Z891" s="302"/>
      <c r="AA891" s="404"/>
      <c r="AB891" s="406"/>
      <c r="AC891" s="117"/>
      <c r="AD891" s="118"/>
      <c r="AE891" s="37" t="s">
        <v>2810</v>
      </c>
      <c r="AF891" s="290"/>
      <c r="AG891" s="345"/>
      <c r="AH891" s="291"/>
      <c r="AI891" s="167"/>
      <c r="AJ891" s="271"/>
      <c r="AK891" s="15"/>
      <c r="AL891" s="15"/>
    </row>
    <row r="892" spans="1:38" ht="90" x14ac:dyDescent="0.3">
      <c r="A892" s="178"/>
      <c r="B892" s="303" t="s">
        <v>2812</v>
      </c>
      <c r="C892" s="344"/>
      <c r="D892" s="304"/>
      <c r="E892" s="66" t="s">
        <v>2813</v>
      </c>
      <c r="F892" s="223" t="s">
        <v>2814</v>
      </c>
      <c r="G892" s="398"/>
      <c r="H892" s="224"/>
      <c r="I892" s="223" t="s">
        <v>2815</v>
      </c>
      <c r="J892" s="224"/>
      <c r="K892" s="171" t="s">
        <v>2816</v>
      </c>
      <c r="L892" s="172"/>
      <c r="M892" s="392" t="s">
        <v>2817</v>
      </c>
      <c r="N892" s="393"/>
      <c r="O892" s="394"/>
      <c r="P892" s="604">
        <v>41</v>
      </c>
      <c r="Q892" s="605"/>
      <c r="R892" s="387">
        <v>70</v>
      </c>
      <c r="S892" s="388"/>
      <c r="T892" s="387">
        <v>30</v>
      </c>
      <c r="U892" s="388"/>
      <c r="V892" s="171" t="s">
        <v>2818</v>
      </c>
      <c r="W892" s="172"/>
      <c r="X892" s="252">
        <v>555</v>
      </c>
      <c r="Y892" s="253"/>
      <c r="Z892" s="254"/>
      <c r="AA892" s="192" t="s">
        <v>1114</v>
      </c>
      <c r="AB892" s="193"/>
      <c r="AC892" s="88" t="s">
        <v>2795</v>
      </c>
      <c r="AD892" s="89"/>
      <c r="AE892" s="24" t="s">
        <v>2821</v>
      </c>
      <c r="AF892" s="171" t="s">
        <v>1249</v>
      </c>
      <c r="AG892" s="407"/>
      <c r="AH892" s="172"/>
      <c r="AI892" s="167"/>
      <c r="AJ892" s="271"/>
      <c r="AK892" s="15"/>
      <c r="AL892" s="15"/>
    </row>
    <row r="893" spans="1:38" ht="45" x14ac:dyDescent="0.3">
      <c r="A893" s="179"/>
      <c r="B893" s="292"/>
      <c r="C893" s="314"/>
      <c r="D893" s="293"/>
      <c r="E893" s="74"/>
      <c r="F893" s="239"/>
      <c r="G893" s="399"/>
      <c r="H893" s="240"/>
      <c r="I893" s="239"/>
      <c r="J893" s="240"/>
      <c r="K893" s="162"/>
      <c r="L893" s="163"/>
      <c r="M893" s="582"/>
      <c r="N893" s="583"/>
      <c r="O893" s="584"/>
      <c r="P893" s="606"/>
      <c r="Q893" s="607"/>
      <c r="R893" s="506"/>
      <c r="S893" s="507"/>
      <c r="T893" s="506"/>
      <c r="U893" s="507"/>
      <c r="V893" s="162"/>
      <c r="W893" s="163"/>
      <c r="X893" s="311"/>
      <c r="Y893" s="312"/>
      <c r="Z893" s="313"/>
      <c r="AA893" s="272"/>
      <c r="AB893" s="273"/>
      <c r="AC893" s="126" t="s">
        <v>675</v>
      </c>
      <c r="AD893" s="127"/>
      <c r="AE893" s="31" t="s">
        <v>1356</v>
      </c>
      <c r="AF893" s="162"/>
      <c r="AG893" s="170"/>
      <c r="AH893" s="163"/>
      <c r="AI893" s="167"/>
      <c r="AJ893" s="271"/>
      <c r="AK893" s="15"/>
      <c r="AL893" s="15"/>
    </row>
    <row r="894" spans="1:38" ht="60" x14ac:dyDescent="0.3">
      <c r="A894" s="179"/>
      <c r="B894" s="292"/>
      <c r="C894" s="314"/>
      <c r="D894" s="293"/>
      <c r="E894" s="67"/>
      <c r="F894" s="225"/>
      <c r="G894" s="391"/>
      <c r="H894" s="226"/>
      <c r="I894" s="225"/>
      <c r="J894" s="226"/>
      <c r="K894" s="212"/>
      <c r="L894" s="213"/>
      <c r="M894" s="395"/>
      <c r="N894" s="396"/>
      <c r="O894" s="397"/>
      <c r="P894" s="608"/>
      <c r="Q894" s="609"/>
      <c r="R894" s="389"/>
      <c r="S894" s="390"/>
      <c r="T894" s="389"/>
      <c r="U894" s="390"/>
      <c r="V894" s="212"/>
      <c r="W894" s="213"/>
      <c r="X894" s="255"/>
      <c r="Y894" s="256"/>
      <c r="Z894" s="257"/>
      <c r="AA894" s="194"/>
      <c r="AB894" s="195"/>
      <c r="AC894" s="126" t="s">
        <v>2819</v>
      </c>
      <c r="AD894" s="127"/>
      <c r="AE894" s="31" t="s">
        <v>2822</v>
      </c>
      <c r="AF894" s="162"/>
      <c r="AG894" s="170"/>
      <c r="AH894" s="163"/>
      <c r="AI894" s="167"/>
      <c r="AJ894" s="271"/>
      <c r="AK894" s="15"/>
      <c r="AL894" s="15"/>
    </row>
    <row r="895" spans="1:38" ht="75" x14ac:dyDescent="0.3">
      <c r="A895" s="230"/>
      <c r="B895" s="290"/>
      <c r="C895" s="345"/>
      <c r="D895" s="291"/>
      <c r="E895" s="19" t="s">
        <v>2823</v>
      </c>
      <c r="F895" s="346" t="s">
        <v>2814</v>
      </c>
      <c r="G895" s="347"/>
      <c r="H895" s="348"/>
      <c r="I895" s="346" t="s">
        <v>2815</v>
      </c>
      <c r="J895" s="348"/>
      <c r="K895" s="351" t="s">
        <v>2816</v>
      </c>
      <c r="L895" s="352"/>
      <c r="M895" s="511" t="s">
        <v>2824</v>
      </c>
      <c r="N895" s="512"/>
      <c r="O895" s="513"/>
      <c r="P895" s="551">
        <v>41</v>
      </c>
      <c r="Q895" s="553"/>
      <c r="R895" s="349">
        <v>70</v>
      </c>
      <c r="S895" s="350"/>
      <c r="T895" s="349">
        <v>30</v>
      </c>
      <c r="U895" s="350"/>
      <c r="V895" s="351" t="s">
        <v>2825</v>
      </c>
      <c r="W895" s="352"/>
      <c r="X895" s="334">
        <v>555</v>
      </c>
      <c r="Y895" s="335"/>
      <c r="Z895" s="336"/>
      <c r="AA895" s="337" t="s">
        <v>1311</v>
      </c>
      <c r="AB895" s="338"/>
      <c r="AC895" s="117" t="s">
        <v>2820</v>
      </c>
      <c r="AD895" s="118"/>
      <c r="AE895" s="31"/>
      <c r="AF895" s="212"/>
      <c r="AG895" s="408"/>
      <c r="AH895" s="213"/>
      <c r="AI895" s="167"/>
      <c r="AJ895" s="48"/>
      <c r="AK895" s="15"/>
      <c r="AL895" s="15"/>
    </row>
    <row r="896" spans="1:38" ht="90" x14ac:dyDescent="0.3">
      <c r="A896" s="178"/>
      <c r="B896" s="303" t="s">
        <v>2826</v>
      </c>
      <c r="C896" s="344"/>
      <c r="D896" s="304"/>
      <c r="E896" s="19" t="s">
        <v>2827</v>
      </c>
      <c r="F896" s="192" t="s">
        <v>2828</v>
      </c>
      <c r="G896" s="196"/>
      <c r="H896" s="193"/>
      <c r="I896" s="223" t="s">
        <v>2829</v>
      </c>
      <c r="J896" s="224"/>
      <c r="K896" s="171" t="s">
        <v>2830</v>
      </c>
      <c r="L896" s="172"/>
      <c r="M896" s="171" t="s">
        <v>2831</v>
      </c>
      <c r="N896" s="407"/>
      <c r="O896" s="172"/>
      <c r="P896" s="387">
        <v>9</v>
      </c>
      <c r="Q896" s="388"/>
      <c r="R896" s="387">
        <v>18</v>
      </c>
      <c r="S896" s="388"/>
      <c r="T896" s="387">
        <v>6</v>
      </c>
      <c r="U896" s="388"/>
      <c r="V896" s="171" t="s">
        <v>2832</v>
      </c>
      <c r="W896" s="172"/>
      <c r="X896" s="252">
        <v>138</v>
      </c>
      <c r="Y896" s="253"/>
      <c r="Z896" s="254"/>
      <c r="AA896" s="192" t="s">
        <v>1338</v>
      </c>
      <c r="AB896" s="193"/>
      <c r="AC896" s="171" t="s">
        <v>2795</v>
      </c>
      <c r="AD896" s="172"/>
      <c r="AE896" s="24" t="s">
        <v>2835</v>
      </c>
      <c r="AF896" s="303" t="s">
        <v>2707</v>
      </c>
      <c r="AG896" s="344"/>
      <c r="AH896" s="304"/>
      <c r="AI896" s="167"/>
      <c r="AJ896" s="48"/>
      <c r="AK896" s="15"/>
      <c r="AL896" s="15"/>
    </row>
    <row r="897" spans="1:38" ht="75" x14ac:dyDescent="0.3">
      <c r="A897" s="179"/>
      <c r="B897" s="292"/>
      <c r="C897" s="314"/>
      <c r="D897" s="293"/>
      <c r="E897" s="28" t="s">
        <v>2837</v>
      </c>
      <c r="F897" s="194"/>
      <c r="G897" s="197"/>
      <c r="H897" s="195"/>
      <c r="I897" s="225"/>
      <c r="J897" s="226"/>
      <c r="K897" s="212"/>
      <c r="L897" s="213"/>
      <c r="M897" s="212"/>
      <c r="N897" s="408"/>
      <c r="O897" s="213"/>
      <c r="P897" s="389"/>
      <c r="Q897" s="390"/>
      <c r="R897" s="389"/>
      <c r="S897" s="390"/>
      <c r="T897" s="389"/>
      <c r="U897" s="390"/>
      <c r="V897" s="212"/>
      <c r="W897" s="213"/>
      <c r="X897" s="255"/>
      <c r="Y897" s="256"/>
      <c r="Z897" s="257"/>
      <c r="AA897" s="194"/>
      <c r="AB897" s="195"/>
      <c r="AC897" s="162" t="s">
        <v>675</v>
      </c>
      <c r="AD897" s="163"/>
      <c r="AE897" s="31" t="s">
        <v>1356</v>
      </c>
      <c r="AF897" s="292"/>
      <c r="AG897" s="314"/>
      <c r="AH897" s="293"/>
      <c r="AI897" s="167"/>
      <c r="AJ897" s="48"/>
      <c r="AK897" s="15"/>
      <c r="AL897" s="15"/>
    </row>
    <row r="898" spans="1:38" ht="90" x14ac:dyDescent="0.3">
      <c r="A898" s="179"/>
      <c r="B898" s="292"/>
      <c r="C898" s="314"/>
      <c r="D898" s="293"/>
      <c r="E898" s="28" t="s">
        <v>2838</v>
      </c>
      <c r="F898" s="192" t="s">
        <v>2839</v>
      </c>
      <c r="G898" s="196"/>
      <c r="H898" s="193"/>
      <c r="I898" s="223" t="s">
        <v>2840</v>
      </c>
      <c r="J898" s="224"/>
      <c r="K898" s="171" t="s">
        <v>2841</v>
      </c>
      <c r="L898" s="172"/>
      <c r="M898" s="171" t="s">
        <v>2842</v>
      </c>
      <c r="N898" s="407"/>
      <c r="O898" s="172"/>
      <c r="P898" s="171" t="s">
        <v>2843</v>
      </c>
      <c r="Q898" s="172"/>
      <c r="R898" s="387">
        <v>20</v>
      </c>
      <c r="S898" s="388"/>
      <c r="T898" s="387">
        <v>7</v>
      </c>
      <c r="U898" s="388"/>
      <c r="V898" s="171" t="s">
        <v>2844</v>
      </c>
      <c r="W898" s="172"/>
      <c r="X898" s="252">
        <v>168</v>
      </c>
      <c r="Y898" s="253"/>
      <c r="Z898" s="254"/>
      <c r="AA898" s="192" t="s">
        <v>1338</v>
      </c>
      <c r="AB898" s="193"/>
      <c r="AC898" s="162" t="s">
        <v>2833</v>
      </c>
      <c r="AD898" s="163"/>
      <c r="AE898" s="31" t="s">
        <v>2836</v>
      </c>
      <c r="AF898" s="292"/>
      <c r="AG898" s="314"/>
      <c r="AH898" s="293"/>
      <c r="AI898" s="167"/>
      <c r="AJ898" s="48"/>
      <c r="AK898" s="15"/>
      <c r="AL898" s="15"/>
    </row>
    <row r="899" spans="1:38" ht="90" x14ac:dyDescent="0.3">
      <c r="A899" s="179"/>
      <c r="B899" s="292"/>
      <c r="C899" s="314"/>
      <c r="D899" s="293"/>
      <c r="E899" s="19" t="s">
        <v>2845</v>
      </c>
      <c r="F899" s="194"/>
      <c r="G899" s="197"/>
      <c r="H899" s="195"/>
      <c r="I899" s="225"/>
      <c r="J899" s="226"/>
      <c r="K899" s="212"/>
      <c r="L899" s="213"/>
      <c r="M899" s="212"/>
      <c r="N899" s="408"/>
      <c r="O899" s="213"/>
      <c r="P899" s="212"/>
      <c r="Q899" s="213"/>
      <c r="R899" s="389"/>
      <c r="S899" s="390"/>
      <c r="T899" s="389"/>
      <c r="U899" s="390"/>
      <c r="V899" s="212"/>
      <c r="W899" s="213"/>
      <c r="X899" s="255"/>
      <c r="Y899" s="256"/>
      <c r="Z899" s="257"/>
      <c r="AA899" s="194"/>
      <c r="AB899" s="195"/>
      <c r="AC899" s="162" t="s">
        <v>2834</v>
      </c>
      <c r="AD899" s="163"/>
      <c r="AE899" s="31"/>
      <c r="AF899" s="292"/>
      <c r="AG899" s="314"/>
      <c r="AH899" s="293"/>
      <c r="AI899" s="167"/>
      <c r="AJ899" s="48"/>
      <c r="AK899" s="15"/>
      <c r="AL899" s="15"/>
    </row>
    <row r="900" spans="1:38" ht="90" x14ac:dyDescent="0.3">
      <c r="A900" s="179"/>
      <c r="B900" s="292"/>
      <c r="C900" s="314"/>
      <c r="D900" s="293"/>
      <c r="E900" s="19" t="s">
        <v>2846</v>
      </c>
      <c r="F900" s="192" t="s">
        <v>2847</v>
      </c>
      <c r="G900" s="196"/>
      <c r="H900" s="193"/>
      <c r="I900" s="223" t="s">
        <v>2848</v>
      </c>
      <c r="J900" s="224"/>
      <c r="K900" s="171" t="s">
        <v>2849</v>
      </c>
      <c r="L900" s="172"/>
      <c r="M900" s="171" t="s">
        <v>2850</v>
      </c>
      <c r="N900" s="407"/>
      <c r="O900" s="172"/>
      <c r="P900" s="171" t="s">
        <v>2851</v>
      </c>
      <c r="Q900" s="172"/>
      <c r="R900" s="387">
        <v>22</v>
      </c>
      <c r="S900" s="388"/>
      <c r="T900" s="387">
        <v>8</v>
      </c>
      <c r="U900" s="388"/>
      <c r="V900" s="171" t="s">
        <v>2852</v>
      </c>
      <c r="W900" s="172"/>
      <c r="X900" s="252">
        <v>208</v>
      </c>
      <c r="Y900" s="253"/>
      <c r="Z900" s="254"/>
      <c r="AA900" s="192" t="s">
        <v>1338</v>
      </c>
      <c r="AB900" s="193"/>
      <c r="AC900" s="162"/>
      <c r="AD900" s="163"/>
      <c r="AE900" s="31"/>
      <c r="AF900" s="292"/>
      <c r="AG900" s="314"/>
      <c r="AH900" s="293"/>
      <c r="AI900" s="167"/>
      <c r="AJ900" s="48"/>
      <c r="AK900" s="15"/>
      <c r="AL900" s="15"/>
    </row>
    <row r="901" spans="1:38" ht="90" x14ac:dyDescent="0.3">
      <c r="A901" s="179"/>
      <c r="B901" s="292"/>
      <c r="C901" s="314"/>
      <c r="D901" s="293"/>
      <c r="E901" s="28" t="s">
        <v>2853</v>
      </c>
      <c r="F901" s="194"/>
      <c r="G901" s="197"/>
      <c r="H901" s="195"/>
      <c r="I901" s="225"/>
      <c r="J901" s="226"/>
      <c r="K901" s="212"/>
      <c r="L901" s="213"/>
      <c r="M901" s="212"/>
      <c r="N901" s="408"/>
      <c r="O901" s="213"/>
      <c r="P901" s="212"/>
      <c r="Q901" s="213"/>
      <c r="R901" s="389"/>
      <c r="S901" s="390"/>
      <c r="T901" s="389"/>
      <c r="U901" s="390"/>
      <c r="V901" s="212"/>
      <c r="W901" s="213"/>
      <c r="X901" s="255"/>
      <c r="Y901" s="256"/>
      <c r="Z901" s="257"/>
      <c r="AA901" s="194"/>
      <c r="AB901" s="195"/>
      <c r="AC901" s="162"/>
      <c r="AD901" s="163"/>
      <c r="AE901" s="31"/>
      <c r="AF901" s="292"/>
      <c r="AG901" s="314"/>
      <c r="AH901" s="293"/>
      <c r="AI901" s="167"/>
      <c r="AJ901" s="48"/>
      <c r="AK901" s="15"/>
      <c r="AL901" s="15"/>
    </row>
    <row r="902" spans="1:38" ht="90" x14ac:dyDescent="0.3">
      <c r="A902" s="179"/>
      <c r="B902" s="292"/>
      <c r="C902" s="314"/>
      <c r="D902" s="293"/>
      <c r="E902" s="28" t="s">
        <v>2854</v>
      </c>
      <c r="F902" s="192" t="s">
        <v>2855</v>
      </c>
      <c r="G902" s="196"/>
      <c r="H902" s="193"/>
      <c r="I902" s="223" t="s">
        <v>775</v>
      </c>
      <c r="J902" s="224"/>
      <c r="K902" s="171" t="s">
        <v>2856</v>
      </c>
      <c r="L902" s="172"/>
      <c r="M902" s="171" t="s">
        <v>2857</v>
      </c>
      <c r="N902" s="407"/>
      <c r="O902" s="172"/>
      <c r="P902" s="171" t="s">
        <v>2858</v>
      </c>
      <c r="Q902" s="172"/>
      <c r="R902" s="387">
        <v>30</v>
      </c>
      <c r="S902" s="388"/>
      <c r="T902" s="387">
        <v>8</v>
      </c>
      <c r="U902" s="388"/>
      <c r="V902" s="171" t="s">
        <v>2859</v>
      </c>
      <c r="W902" s="172"/>
      <c r="X902" s="252">
        <v>258</v>
      </c>
      <c r="Y902" s="253"/>
      <c r="Z902" s="254"/>
      <c r="AA902" s="192" t="s">
        <v>989</v>
      </c>
      <c r="AB902" s="193"/>
      <c r="AC902" s="162"/>
      <c r="AD902" s="163"/>
      <c r="AE902" s="31"/>
      <c r="AF902" s="292"/>
      <c r="AG902" s="314"/>
      <c r="AH902" s="293"/>
      <c r="AI902" s="167"/>
      <c r="AJ902" s="48"/>
      <c r="AK902" s="15"/>
      <c r="AL902" s="15"/>
    </row>
    <row r="903" spans="1:38" ht="90" x14ac:dyDescent="0.3">
      <c r="A903" s="230"/>
      <c r="B903" s="290"/>
      <c r="C903" s="345"/>
      <c r="D903" s="291"/>
      <c r="E903" s="28" t="s">
        <v>2860</v>
      </c>
      <c r="F903" s="194"/>
      <c r="G903" s="197"/>
      <c r="H903" s="195"/>
      <c r="I903" s="225"/>
      <c r="J903" s="226"/>
      <c r="K903" s="212"/>
      <c r="L903" s="213"/>
      <c r="M903" s="212"/>
      <c r="N903" s="408"/>
      <c r="O903" s="213"/>
      <c r="P903" s="212"/>
      <c r="Q903" s="213"/>
      <c r="R903" s="389"/>
      <c r="S903" s="390"/>
      <c r="T903" s="389"/>
      <c r="U903" s="390"/>
      <c r="V903" s="212"/>
      <c r="W903" s="213"/>
      <c r="X903" s="255"/>
      <c r="Y903" s="256"/>
      <c r="Z903" s="257"/>
      <c r="AA903" s="194"/>
      <c r="AB903" s="195"/>
      <c r="AC903" s="212"/>
      <c r="AD903" s="213"/>
      <c r="AE903" s="31"/>
      <c r="AF903" s="290"/>
      <c r="AG903" s="345"/>
      <c r="AH903" s="291"/>
      <c r="AI903" s="167"/>
      <c r="AJ903" s="48"/>
      <c r="AK903" s="15"/>
      <c r="AL903" s="15"/>
    </row>
    <row r="904" spans="1:38" ht="75" x14ac:dyDescent="0.3">
      <c r="A904" s="178"/>
      <c r="B904" s="409" t="s">
        <v>2861</v>
      </c>
      <c r="C904" s="410"/>
      <c r="D904" s="411"/>
      <c r="E904" s="71" t="s">
        <v>104</v>
      </c>
      <c r="F904" s="409" t="s">
        <v>2862</v>
      </c>
      <c r="G904" s="410"/>
      <c r="H904" s="411"/>
      <c r="I904" s="233" t="s">
        <v>952</v>
      </c>
      <c r="J904" s="234"/>
      <c r="K904" s="303" t="s">
        <v>2863</v>
      </c>
      <c r="L904" s="304"/>
      <c r="M904" s="527" t="s">
        <v>2864</v>
      </c>
      <c r="N904" s="528"/>
      <c r="O904" s="529"/>
      <c r="P904" s="303" t="s">
        <v>2865</v>
      </c>
      <c r="Q904" s="304"/>
      <c r="R904" s="328">
        <v>22</v>
      </c>
      <c r="S904" s="329"/>
      <c r="T904" s="328">
        <v>10</v>
      </c>
      <c r="U904" s="329"/>
      <c r="V904" s="303" t="s">
        <v>2866</v>
      </c>
      <c r="W904" s="304"/>
      <c r="X904" s="294">
        <v>149</v>
      </c>
      <c r="Y904" s="295"/>
      <c r="Z904" s="296"/>
      <c r="AA904" s="233" t="s">
        <v>1140</v>
      </c>
      <c r="AB904" s="234"/>
      <c r="AC904" s="88" t="s">
        <v>2795</v>
      </c>
      <c r="AD904" s="89"/>
      <c r="AE904" s="24" t="s">
        <v>2868</v>
      </c>
      <c r="AF904" s="171" t="s">
        <v>2414</v>
      </c>
      <c r="AG904" s="407"/>
      <c r="AH904" s="172"/>
      <c r="AI904" s="167"/>
      <c r="AJ904" s="271"/>
      <c r="AK904" s="15"/>
      <c r="AL904" s="15"/>
    </row>
    <row r="905" spans="1:38" ht="15.5" x14ac:dyDescent="0.3">
      <c r="A905" s="179"/>
      <c r="B905" s="401"/>
      <c r="C905" s="402"/>
      <c r="D905" s="403"/>
      <c r="E905" s="72"/>
      <c r="F905" s="401"/>
      <c r="G905" s="402"/>
      <c r="H905" s="403"/>
      <c r="I905" s="235"/>
      <c r="J905" s="236"/>
      <c r="K905" s="292"/>
      <c r="L905" s="293"/>
      <c r="M905" s="530"/>
      <c r="N905" s="531"/>
      <c r="O905" s="532"/>
      <c r="P905" s="292"/>
      <c r="Q905" s="293"/>
      <c r="R905" s="517"/>
      <c r="S905" s="518"/>
      <c r="T905" s="517"/>
      <c r="U905" s="518"/>
      <c r="V905" s="292"/>
      <c r="W905" s="293"/>
      <c r="X905" s="297"/>
      <c r="Y905" s="298"/>
      <c r="Z905" s="299"/>
      <c r="AA905" s="235"/>
      <c r="AB905" s="236"/>
      <c r="AC905" s="126" t="s">
        <v>675</v>
      </c>
      <c r="AD905" s="127"/>
      <c r="AE905" s="31" t="s">
        <v>848</v>
      </c>
      <c r="AF905" s="162"/>
      <c r="AG905" s="170"/>
      <c r="AH905" s="163"/>
      <c r="AI905" s="167"/>
      <c r="AJ905" s="271"/>
      <c r="AK905" s="15"/>
      <c r="AL905" s="15"/>
    </row>
    <row r="906" spans="1:38" ht="45" x14ac:dyDescent="0.3">
      <c r="A906" s="179"/>
      <c r="B906" s="401"/>
      <c r="C906" s="402"/>
      <c r="D906" s="403"/>
      <c r="E906" s="72"/>
      <c r="F906" s="401"/>
      <c r="G906" s="402"/>
      <c r="H906" s="403"/>
      <c r="I906" s="235"/>
      <c r="J906" s="236"/>
      <c r="K906" s="292"/>
      <c r="L906" s="293"/>
      <c r="M906" s="530"/>
      <c r="N906" s="531"/>
      <c r="O906" s="532"/>
      <c r="P906" s="292"/>
      <c r="Q906" s="293"/>
      <c r="R906" s="517"/>
      <c r="S906" s="518"/>
      <c r="T906" s="517"/>
      <c r="U906" s="518"/>
      <c r="V906" s="292"/>
      <c r="W906" s="293"/>
      <c r="X906" s="297"/>
      <c r="Y906" s="298"/>
      <c r="Z906" s="299"/>
      <c r="AA906" s="235"/>
      <c r="AB906" s="236"/>
      <c r="AC906" s="126" t="s">
        <v>2867</v>
      </c>
      <c r="AD906" s="127"/>
      <c r="AE906" s="31" t="s">
        <v>1356</v>
      </c>
      <c r="AF906" s="162"/>
      <c r="AG906" s="170"/>
      <c r="AH906" s="163"/>
      <c r="AI906" s="167"/>
      <c r="AJ906" s="271"/>
      <c r="AK906" s="15"/>
      <c r="AL906" s="15"/>
    </row>
    <row r="907" spans="1:38" ht="60" x14ac:dyDescent="0.3">
      <c r="A907" s="230"/>
      <c r="B907" s="404"/>
      <c r="C907" s="405"/>
      <c r="D907" s="406"/>
      <c r="E907" s="73"/>
      <c r="F907" s="404"/>
      <c r="G907" s="405"/>
      <c r="H907" s="406"/>
      <c r="I907" s="237"/>
      <c r="J907" s="238"/>
      <c r="K907" s="290"/>
      <c r="L907" s="291"/>
      <c r="M907" s="533"/>
      <c r="N907" s="534"/>
      <c r="O907" s="535"/>
      <c r="P907" s="290"/>
      <c r="Q907" s="291"/>
      <c r="R907" s="519"/>
      <c r="S907" s="520"/>
      <c r="T907" s="519"/>
      <c r="U907" s="520"/>
      <c r="V907" s="290"/>
      <c r="W907" s="291"/>
      <c r="X907" s="300"/>
      <c r="Y907" s="301"/>
      <c r="Z907" s="302"/>
      <c r="AA907" s="237"/>
      <c r="AB907" s="238"/>
      <c r="AC907" s="117"/>
      <c r="AD907" s="118"/>
      <c r="AE907" s="37" t="s">
        <v>2869</v>
      </c>
      <c r="AF907" s="212"/>
      <c r="AG907" s="408"/>
      <c r="AH907" s="213"/>
      <c r="AI907" s="167"/>
      <c r="AJ907" s="271"/>
      <c r="AK907" s="15"/>
      <c r="AL907" s="15"/>
    </row>
    <row r="908" spans="1:38" ht="45" x14ac:dyDescent="0.3">
      <c r="A908" s="178"/>
      <c r="B908" s="164"/>
      <c r="C908" s="165"/>
      <c r="D908" s="166"/>
      <c r="E908" s="19" t="s">
        <v>2870</v>
      </c>
      <c r="F908" s="114" t="s">
        <v>2871</v>
      </c>
      <c r="G908" s="115"/>
      <c r="H908" s="116"/>
      <c r="I908" s="114" t="s">
        <v>2872</v>
      </c>
      <c r="J908" s="116"/>
      <c r="K908" s="337" t="s">
        <v>2873</v>
      </c>
      <c r="L908" s="338"/>
      <c r="M908" s="511" t="s">
        <v>2874</v>
      </c>
      <c r="N908" s="512"/>
      <c r="O908" s="513"/>
      <c r="P908" s="351" t="s">
        <v>2875</v>
      </c>
      <c r="Q908" s="352"/>
      <c r="R908" s="349">
        <v>23</v>
      </c>
      <c r="S908" s="350"/>
      <c r="T908" s="349">
        <v>9</v>
      </c>
      <c r="U908" s="350"/>
      <c r="V908" s="351" t="s">
        <v>2180</v>
      </c>
      <c r="W908" s="352"/>
      <c r="X908" s="334">
        <v>198</v>
      </c>
      <c r="Y908" s="335"/>
      <c r="Z908" s="336"/>
      <c r="AA908" s="337" t="s">
        <v>1045</v>
      </c>
      <c r="AB908" s="338"/>
      <c r="AC908" s="164"/>
      <c r="AD908" s="166"/>
      <c r="AE908" s="178"/>
      <c r="AF908" s="164"/>
      <c r="AG908" s="165"/>
      <c r="AH908" s="166"/>
      <c r="AI908" s="167"/>
      <c r="AJ908" s="48"/>
      <c r="AK908" s="15"/>
      <c r="AL908" s="15"/>
    </row>
    <row r="909" spans="1:38" ht="45" x14ac:dyDescent="0.3">
      <c r="A909" s="179"/>
      <c r="B909" s="167"/>
      <c r="C909" s="168"/>
      <c r="D909" s="169"/>
      <c r="E909" s="28" t="s">
        <v>2876</v>
      </c>
      <c r="F909" s="114" t="s">
        <v>2877</v>
      </c>
      <c r="G909" s="115"/>
      <c r="H909" s="116"/>
      <c r="I909" s="114" t="s">
        <v>2878</v>
      </c>
      <c r="J909" s="116"/>
      <c r="K909" s="114" t="s">
        <v>2879</v>
      </c>
      <c r="L909" s="116"/>
      <c r="M909" s="384" t="s">
        <v>2880</v>
      </c>
      <c r="N909" s="385"/>
      <c r="O909" s="386"/>
      <c r="P909" s="114" t="s">
        <v>2881</v>
      </c>
      <c r="Q909" s="116"/>
      <c r="R909" s="183">
        <v>23</v>
      </c>
      <c r="S909" s="185"/>
      <c r="T909" s="183">
        <v>10</v>
      </c>
      <c r="U909" s="185"/>
      <c r="V909" s="114" t="s">
        <v>2882</v>
      </c>
      <c r="W909" s="116"/>
      <c r="X909" s="227">
        <v>228</v>
      </c>
      <c r="Y909" s="228"/>
      <c r="Z909" s="229"/>
      <c r="AA909" s="110" t="s">
        <v>1854</v>
      </c>
      <c r="AB909" s="111"/>
      <c r="AC909" s="167"/>
      <c r="AD909" s="169"/>
      <c r="AE909" s="179"/>
      <c r="AF909" s="167"/>
      <c r="AG909" s="168"/>
      <c r="AH909" s="169"/>
      <c r="AI909" s="167"/>
      <c r="AJ909" s="48"/>
      <c r="AK909" s="15"/>
      <c r="AL909" s="15"/>
    </row>
    <row r="910" spans="1:38" ht="75" x14ac:dyDescent="0.3">
      <c r="A910" s="179"/>
      <c r="B910" s="162" t="s">
        <v>2883</v>
      </c>
      <c r="C910" s="170"/>
      <c r="D910" s="163"/>
      <c r="E910" s="19" t="s">
        <v>2884</v>
      </c>
      <c r="F910" s="114" t="s">
        <v>2885</v>
      </c>
      <c r="G910" s="115"/>
      <c r="H910" s="116"/>
      <c r="I910" s="114" t="s">
        <v>2886</v>
      </c>
      <c r="J910" s="116"/>
      <c r="K910" s="351" t="s">
        <v>2887</v>
      </c>
      <c r="L910" s="352"/>
      <c r="M910" s="511" t="s">
        <v>2888</v>
      </c>
      <c r="N910" s="512"/>
      <c r="O910" s="513"/>
      <c r="P910" s="351" t="s">
        <v>2889</v>
      </c>
      <c r="Q910" s="352"/>
      <c r="R910" s="349">
        <v>30</v>
      </c>
      <c r="S910" s="350"/>
      <c r="T910" s="349">
        <v>12</v>
      </c>
      <c r="U910" s="350"/>
      <c r="V910" s="351" t="s">
        <v>2890</v>
      </c>
      <c r="W910" s="352"/>
      <c r="X910" s="334">
        <v>298</v>
      </c>
      <c r="Y910" s="335"/>
      <c r="Z910" s="336"/>
      <c r="AA910" s="337" t="s">
        <v>1127</v>
      </c>
      <c r="AB910" s="338"/>
      <c r="AC910" s="126" t="s">
        <v>2795</v>
      </c>
      <c r="AD910" s="127"/>
      <c r="AE910" s="31" t="s">
        <v>2892</v>
      </c>
      <c r="AF910" s="162" t="s">
        <v>2414</v>
      </c>
      <c r="AG910" s="170"/>
      <c r="AH910" s="163"/>
      <c r="AI910" s="272" t="s">
        <v>2894</v>
      </c>
      <c r="AJ910" s="48"/>
      <c r="AK910" s="15"/>
      <c r="AL910" s="15"/>
    </row>
    <row r="911" spans="1:38" ht="15.5" x14ac:dyDescent="0.3">
      <c r="A911" s="179"/>
      <c r="B911" s="162"/>
      <c r="C911" s="170"/>
      <c r="D911" s="163"/>
      <c r="E911" s="66" t="s">
        <v>2895</v>
      </c>
      <c r="F911" s="171" t="s">
        <v>2896</v>
      </c>
      <c r="G911" s="407"/>
      <c r="H911" s="172"/>
      <c r="I911" s="112" t="s">
        <v>2897</v>
      </c>
      <c r="J911" s="113"/>
      <c r="K911" s="171" t="s">
        <v>2900</v>
      </c>
      <c r="L911" s="172"/>
      <c r="M911" s="392" t="s">
        <v>2901</v>
      </c>
      <c r="N911" s="393"/>
      <c r="O911" s="394"/>
      <c r="P911" s="171" t="s">
        <v>2875</v>
      </c>
      <c r="Q911" s="172"/>
      <c r="R911" s="387">
        <v>23</v>
      </c>
      <c r="S911" s="388"/>
      <c r="T911" s="387">
        <v>9</v>
      </c>
      <c r="U911" s="388"/>
      <c r="V911" s="171" t="s">
        <v>2902</v>
      </c>
      <c r="W911" s="172"/>
      <c r="X911" s="252">
        <v>308</v>
      </c>
      <c r="Y911" s="253"/>
      <c r="Z911" s="254"/>
      <c r="AA911" s="192" t="s">
        <v>1854</v>
      </c>
      <c r="AB911" s="193"/>
      <c r="AC911" s="126" t="s">
        <v>675</v>
      </c>
      <c r="AD911" s="127"/>
      <c r="AE911" s="31" t="s">
        <v>848</v>
      </c>
      <c r="AF911" s="162"/>
      <c r="AG911" s="170"/>
      <c r="AH911" s="163"/>
      <c r="AI911" s="272"/>
      <c r="AJ911" s="271"/>
      <c r="AK911" s="15"/>
      <c r="AL911" s="15"/>
    </row>
    <row r="912" spans="1:38" ht="45" x14ac:dyDescent="0.3">
      <c r="A912" s="179"/>
      <c r="B912" s="162"/>
      <c r="C912" s="170"/>
      <c r="D912" s="163"/>
      <c r="E912" s="74"/>
      <c r="F912" s="162"/>
      <c r="G912" s="170"/>
      <c r="H912" s="163"/>
      <c r="I912" s="155" t="s">
        <v>2898</v>
      </c>
      <c r="J912" s="157"/>
      <c r="K912" s="162"/>
      <c r="L912" s="163"/>
      <c r="M912" s="582"/>
      <c r="N912" s="583"/>
      <c r="O912" s="584"/>
      <c r="P912" s="162"/>
      <c r="Q912" s="163"/>
      <c r="R912" s="506"/>
      <c r="S912" s="507"/>
      <c r="T912" s="506"/>
      <c r="U912" s="507"/>
      <c r="V912" s="162"/>
      <c r="W912" s="163"/>
      <c r="X912" s="311"/>
      <c r="Y912" s="312"/>
      <c r="Z912" s="313"/>
      <c r="AA912" s="272"/>
      <c r="AB912" s="273"/>
      <c r="AC912" s="126" t="s">
        <v>2891</v>
      </c>
      <c r="AD912" s="127"/>
      <c r="AE912" s="31" t="s">
        <v>1356</v>
      </c>
      <c r="AF912" s="162"/>
      <c r="AG912" s="170"/>
      <c r="AH912" s="163"/>
      <c r="AI912" s="272"/>
      <c r="AJ912" s="271"/>
      <c r="AK912" s="15"/>
      <c r="AL912" s="15"/>
    </row>
    <row r="913" spans="1:38" ht="60" x14ac:dyDescent="0.3">
      <c r="A913" s="179"/>
      <c r="B913" s="162"/>
      <c r="C913" s="170"/>
      <c r="D913" s="163"/>
      <c r="E913" s="67"/>
      <c r="F913" s="162"/>
      <c r="G913" s="170"/>
      <c r="H913" s="163"/>
      <c r="I913" s="160" t="s">
        <v>2899</v>
      </c>
      <c r="J913" s="161"/>
      <c r="K913" s="212"/>
      <c r="L913" s="213"/>
      <c r="M913" s="395"/>
      <c r="N913" s="396"/>
      <c r="O913" s="397"/>
      <c r="P913" s="212"/>
      <c r="Q913" s="213"/>
      <c r="R913" s="389"/>
      <c r="S913" s="390"/>
      <c r="T913" s="389"/>
      <c r="U913" s="390"/>
      <c r="V913" s="212"/>
      <c r="W913" s="213"/>
      <c r="X913" s="255"/>
      <c r="Y913" s="256"/>
      <c r="Z913" s="257"/>
      <c r="AA913" s="194"/>
      <c r="AB913" s="195"/>
      <c r="AC913" s="126"/>
      <c r="AD913" s="127"/>
      <c r="AE913" s="31" t="s">
        <v>2893</v>
      </c>
      <c r="AF913" s="162"/>
      <c r="AG913" s="170"/>
      <c r="AH913" s="163"/>
      <c r="AI913" s="272"/>
      <c r="AJ913" s="271"/>
      <c r="AK913" s="15"/>
      <c r="AL913" s="15"/>
    </row>
    <row r="914" spans="1:38" ht="15.5" x14ac:dyDescent="0.3">
      <c r="A914" s="179"/>
      <c r="B914" s="162"/>
      <c r="C914" s="170"/>
      <c r="D914" s="163"/>
      <c r="E914" s="66" t="s">
        <v>2903</v>
      </c>
      <c r="F914" s="162"/>
      <c r="G914" s="170"/>
      <c r="H914" s="163"/>
      <c r="I914" s="112" t="s">
        <v>2897</v>
      </c>
      <c r="J914" s="113"/>
      <c r="K914" s="171" t="s">
        <v>2906</v>
      </c>
      <c r="L914" s="172"/>
      <c r="M914" s="392" t="s">
        <v>2907</v>
      </c>
      <c r="N914" s="393"/>
      <c r="O914" s="394"/>
      <c r="P914" s="171" t="s">
        <v>2881</v>
      </c>
      <c r="Q914" s="172"/>
      <c r="R914" s="387">
        <v>23</v>
      </c>
      <c r="S914" s="388"/>
      <c r="T914" s="387">
        <v>10</v>
      </c>
      <c r="U914" s="388"/>
      <c r="V914" s="171" t="s">
        <v>2908</v>
      </c>
      <c r="W914" s="172"/>
      <c r="X914" s="252">
        <v>328</v>
      </c>
      <c r="Y914" s="253"/>
      <c r="Z914" s="254"/>
      <c r="AA914" s="192" t="s">
        <v>1127</v>
      </c>
      <c r="AB914" s="193"/>
      <c r="AC914" s="126"/>
      <c r="AD914" s="127"/>
      <c r="AE914" s="31"/>
      <c r="AF914" s="162"/>
      <c r="AG914" s="170"/>
      <c r="AH914" s="163"/>
      <c r="AI914" s="272"/>
      <c r="AJ914" s="271"/>
      <c r="AK914" s="15"/>
      <c r="AL914" s="15"/>
    </row>
    <row r="915" spans="1:38" ht="15.5" x14ac:dyDescent="0.3">
      <c r="A915" s="179"/>
      <c r="B915" s="162"/>
      <c r="C915" s="170"/>
      <c r="D915" s="163"/>
      <c r="E915" s="74"/>
      <c r="F915" s="162"/>
      <c r="G915" s="170"/>
      <c r="H915" s="163"/>
      <c r="I915" s="155" t="s">
        <v>2904</v>
      </c>
      <c r="J915" s="157"/>
      <c r="K915" s="162"/>
      <c r="L915" s="163"/>
      <c r="M915" s="582"/>
      <c r="N915" s="583"/>
      <c r="O915" s="584"/>
      <c r="P915" s="162"/>
      <c r="Q915" s="163"/>
      <c r="R915" s="506"/>
      <c r="S915" s="507"/>
      <c r="T915" s="506"/>
      <c r="U915" s="507"/>
      <c r="V915" s="162"/>
      <c r="W915" s="163"/>
      <c r="X915" s="311"/>
      <c r="Y915" s="312"/>
      <c r="Z915" s="313"/>
      <c r="AA915" s="272"/>
      <c r="AB915" s="273"/>
      <c r="AC915" s="126"/>
      <c r="AD915" s="127"/>
      <c r="AE915" s="31"/>
      <c r="AF915" s="162"/>
      <c r="AG915" s="170"/>
      <c r="AH915" s="163"/>
      <c r="AI915" s="272"/>
      <c r="AJ915" s="271"/>
      <c r="AK915" s="15"/>
      <c r="AL915" s="15"/>
    </row>
    <row r="916" spans="1:38" ht="15.5" x14ac:dyDescent="0.3">
      <c r="A916" s="179"/>
      <c r="B916" s="162"/>
      <c r="C916" s="170"/>
      <c r="D916" s="163"/>
      <c r="E916" s="67"/>
      <c r="F916" s="162"/>
      <c r="G916" s="170"/>
      <c r="H916" s="163"/>
      <c r="I916" s="160" t="s">
        <v>2905</v>
      </c>
      <c r="J916" s="161"/>
      <c r="K916" s="212"/>
      <c r="L916" s="213"/>
      <c r="M916" s="395"/>
      <c r="N916" s="396"/>
      <c r="O916" s="397"/>
      <c r="P916" s="212"/>
      <c r="Q916" s="213"/>
      <c r="R916" s="389"/>
      <c r="S916" s="390"/>
      <c r="T916" s="389"/>
      <c r="U916" s="390"/>
      <c r="V916" s="212"/>
      <c r="W916" s="213"/>
      <c r="X916" s="255"/>
      <c r="Y916" s="256"/>
      <c r="Z916" s="257"/>
      <c r="AA916" s="194"/>
      <c r="AB916" s="195"/>
      <c r="AC916" s="126"/>
      <c r="AD916" s="127"/>
      <c r="AE916" s="31"/>
      <c r="AF916" s="162"/>
      <c r="AG916" s="170"/>
      <c r="AH916" s="163"/>
      <c r="AI916" s="272"/>
      <c r="AJ916" s="271"/>
      <c r="AK916" s="15"/>
      <c r="AL916" s="15"/>
    </row>
    <row r="917" spans="1:38" ht="15.5" x14ac:dyDescent="0.3">
      <c r="A917" s="179"/>
      <c r="B917" s="162"/>
      <c r="C917" s="170"/>
      <c r="D917" s="163"/>
      <c r="E917" s="66" t="s">
        <v>2909</v>
      </c>
      <c r="F917" s="162"/>
      <c r="G917" s="170"/>
      <c r="H917" s="163"/>
      <c r="I917" s="112" t="s">
        <v>2897</v>
      </c>
      <c r="J917" s="113"/>
      <c r="K917" s="171" t="s">
        <v>2912</v>
      </c>
      <c r="L917" s="172"/>
      <c r="M917" s="392" t="s">
        <v>2913</v>
      </c>
      <c r="N917" s="393"/>
      <c r="O917" s="394"/>
      <c r="P917" s="171" t="s">
        <v>2889</v>
      </c>
      <c r="Q917" s="172"/>
      <c r="R917" s="387">
        <v>30</v>
      </c>
      <c r="S917" s="388"/>
      <c r="T917" s="387">
        <v>12</v>
      </c>
      <c r="U917" s="388"/>
      <c r="V917" s="171" t="s">
        <v>2914</v>
      </c>
      <c r="W917" s="172"/>
      <c r="X917" s="252">
        <v>408</v>
      </c>
      <c r="Y917" s="253"/>
      <c r="Z917" s="254"/>
      <c r="AA917" s="192" t="s">
        <v>1081</v>
      </c>
      <c r="AB917" s="193"/>
      <c r="AC917" s="126"/>
      <c r="AD917" s="127"/>
      <c r="AE917" s="31"/>
      <c r="AF917" s="162"/>
      <c r="AG917" s="170"/>
      <c r="AH917" s="163"/>
      <c r="AI917" s="272"/>
      <c r="AJ917" s="271"/>
      <c r="AK917" s="15"/>
      <c r="AL917" s="15"/>
    </row>
    <row r="918" spans="1:38" ht="15.5" x14ac:dyDescent="0.3">
      <c r="A918" s="179"/>
      <c r="B918" s="162"/>
      <c r="C918" s="170"/>
      <c r="D918" s="163"/>
      <c r="E918" s="74"/>
      <c r="F918" s="162"/>
      <c r="G918" s="170"/>
      <c r="H918" s="163"/>
      <c r="I918" s="155" t="s">
        <v>2910</v>
      </c>
      <c r="J918" s="157"/>
      <c r="K918" s="162"/>
      <c r="L918" s="163"/>
      <c r="M918" s="582"/>
      <c r="N918" s="583"/>
      <c r="O918" s="584"/>
      <c r="P918" s="162"/>
      <c r="Q918" s="163"/>
      <c r="R918" s="506"/>
      <c r="S918" s="507"/>
      <c r="T918" s="506"/>
      <c r="U918" s="507"/>
      <c r="V918" s="162"/>
      <c r="W918" s="163"/>
      <c r="X918" s="311"/>
      <c r="Y918" s="312"/>
      <c r="Z918" s="313"/>
      <c r="AA918" s="272"/>
      <c r="AB918" s="273"/>
      <c r="AC918" s="126"/>
      <c r="AD918" s="127"/>
      <c r="AE918" s="31"/>
      <c r="AF918" s="162"/>
      <c r="AG918" s="170"/>
      <c r="AH918" s="163"/>
      <c r="AI918" s="272"/>
      <c r="AJ918" s="271"/>
      <c r="AK918" s="15"/>
      <c r="AL918" s="15"/>
    </row>
    <row r="919" spans="1:38" ht="15.5" x14ac:dyDescent="0.3">
      <c r="A919" s="179"/>
      <c r="B919" s="162"/>
      <c r="C919" s="170"/>
      <c r="D919" s="163"/>
      <c r="E919" s="67"/>
      <c r="F919" s="212"/>
      <c r="G919" s="408"/>
      <c r="H919" s="213"/>
      <c r="I919" s="160" t="s">
        <v>2911</v>
      </c>
      <c r="J919" s="161"/>
      <c r="K919" s="212"/>
      <c r="L919" s="213"/>
      <c r="M919" s="395"/>
      <c r="N919" s="396"/>
      <c r="O919" s="397"/>
      <c r="P919" s="212"/>
      <c r="Q919" s="213"/>
      <c r="R919" s="389"/>
      <c r="S919" s="390"/>
      <c r="T919" s="389"/>
      <c r="U919" s="390"/>
      <c r="V919" s="212"/>
      <c r="W919" s="213"/>
      <c r="X919" s="255"/>
      <c r="Y919" s="256"/>
      <c r="Z919" s="257"/>
      <c r="AA919" s="194"/>
      <c r="AB919" s="195"/>
      <c r="AC919" s="126"/>
      <c r="AD919" s="127"/>
      <c r="AE919" s="31"/>
      <c r="AF919" s="162"/>
      <c r="AG919" s="170"/>
      <c r="AH919" s="163"/>
      <c r="AI919" s="272"/>
      <c r="AJ919" s="271"/>
      <c r="AK919" s="15"/>
      <c r="AL919" s="15"/>
    </row>
    <row r="920" spans="1:38" ht="15.5" x14ac:dyDescent="0.3">
      <c r="A920" s="179"/>
      <c r="B920" s="162"/>
      <c r="C920" s="170"/>
      <c r="D920" s="163"/>
      <c r="E920" s="64" t="s">
        <v>2915</v>
      </c>
      <c r="F920" s="171" t="s">
        <v>2916</v>
      </c>
      <c r="G920" s="407"/>
      <c r="H920" s="172"/>
      <c r="I920" s="112" t="s">
        <v>2918</v>
      </c>
      <c r="J920" s="113"/>
      <c r="K920" s="143" t="s">
        <v>2873</v>
      </c>
      <c r="L920" s="145"/>
      <c r="M920" s="554" t="s">
        <v>2921</v>
      </c>
      <c r="N920" s="555"/>
      <c r="O920" s="556"/>
      <c r="P920" s="88" t="s">
        <v>2875</v>
      </c>
      <c r="Q920" s="89"/>
      <c r="R920" s="204">
        <v>23</v>
      </c>
      <c r="S920" s="205"/>
      <c r="T920" s="204">
        <v>9</v>
      </c>
      <c r="U920" s="205"/>
      <c r="V920" s="88" t="s">
        <v>2922</v>
      </c>
      <c r="W920" s="89"/>
      <c r="X920" s="241">
        <v>248</v>
      </c>
      <c r="Y920" s="242"/>
      <c r="Z920" s="243"/>
      <c r="AA920" s="143" t="s">
        <v>975</v>
      </c>
      <c r="AB920" s="145"/>
      <c r="AC920" s="126"/>
      <c r="AD920" s="127"/>
      <c r="AE920" s="31"/>
      <c r="AF920" s="162"/>
      <c r="AG920" s="170"/>
      <c r="AH920" s="163"/>
      <c r="AI920" s="272"/>
      <c r="AJ920" s="271"/>
      <c r="AK920" s="15"/>
      <c r="AL920" s="15"/>
    </row>
    <row r="921" spans="1:38" ht="15.5" x14ac:dyDescent="0.3">
      <c r="A921" s="179"/>
      <c r="B921" s="162"/>
      <c r="C921" s="170"/>
      <c r="D921" s="163"/>
      <c r="E921" s="63"/>
      <c r="F921" s="162" t="s">
        <v>2917</v>
      </c>
      <c r="G921" s="170"/>
      <c r="H921" s="163"/>
      <c r="I921" s="155" t="s">
        <v>2919</v>
      </c>
      <c r="J921" s="157"/>
      <c r="K921" s="104"/>
      <c r="L921" s="105"/>
      <c r="M921" s="557"/>
      <c r="N921" s="558"/>
      <c r="O921" s="559"/>
      <c r="P921" s="126"/>
      <c r="Q921" s="127"/>
      <c r="R921" s="231"/>
      <c r="S921" s="232"/>
      <c r="T921" s="231"/>
      <c r="U921" s="232"/>
      <c r="V921" s="126"/>
      <c r="W921" s="127"/>
      <c r="X921" s="247"/>
      <c r="Y921" s="248"/>
      <c r="Z921" s="249"/>
      <c r="AA921" s="104"/>
      <c r="AB921" s="105"/>
      <c r="AC921" s="126"/>
      <c r="AD921" s="127"/>
      <c r="AE921" s="31"/>
      <c r="AF921" s="162"/>
      <c r="AG921" s="170"/>
      <c r="AH921" s="163"/>
      <c r="AI921" s="272"/>
      <c r="AJ921" s="271"/>
      <c r="AK921" s="15"/>
      <c r="AL921" s="15"/>
    </row>
    <row r="922" spans="1:38" ht="15.5" x14ac:dyDescent="0.3">
      <c r="A922" s="179"/>
      <c r="B922" s="162"/>
      <c r="C922" s="170"/>
      <c r="D922" s="163"/>
      <c r="E922" s="65"/>
      <c r="F922" s="162"/>
      <c r="G922" s="170"/>
      <c r="H922" s="163"/>
      <c r="I922" s="160" t="s">
        <v>2920</v>
      </c>
      <c r="J922" s="161"/>
      <c r="K922" s="146"/>
      <c r="L922" s="148"/>
      <c r="M922" s="560"/>
      <c r="N922" s="561"/>
      <c r="O922" s="562"/>
      <c r="P922" s="117"/>
      <c r="Q922" s="118"/>
      <c r="R922" s="206"/>
      <c r="S922" s="207"/>
      <c r="T922" s="206"/>
      <c r="U922" s="207"/>
      <c r="V922" s="117"/>
      <c r="W922" s="118"/>
      <c r="X922" s="244"/>
      <c r="Y922" s="245"/>
      <c r="Z922" s="246"/>
      <c r="AA922" s="146"/>
      <c r="AB922" s="148"/>
      <c r="AC922" s="126"/>
      <c r="AD922" s="127"/>
      <c r="AE922" s="31"/>
      <c r="AF922" s="162"/>
      <c r="AG922" s="170"/>
      <c r="AH922" s="163"/>
      <c r="AI922" s="272"/>
      <c r="AJ922" s="271"/>
      <c r="AK922" s="15"/>
      <c r="AL922" s="15"/>
    </row>
    <row r="923" spans="1:38" ht="15.5" x14ac:dyDescent="0.3">
      <c r="A923" s="179"/>
      <c r="B923" s="162"/>
      <c r="C923" s="170"/>
      <c r="D923" s="163"/>
      <c r="E923" s="66" t="s">
        <v>2923</v>
      </c>
      <c r="F923" s="162"/>
      <c r="G923" s="170"/>
      <c r="H923" s="163"/>
      <c r="I923" s="112" t="s">
        <v>2918</v>
      </c>
      <c r="J923" s="113"/>
      <c r="K923" s="171" t="s">
        <v>2879</v>
      </c>
      <c r="L923" s="172"/>
      <c r="M923" s="392" t="s">
        <v>2926</v>
      </c>
      <c r="N923" s="393"/>
      <c r="O923" s="394"/>
      <c r="P923" s="171" t="s">
        <v>2881</v>
      </c>
      <c r="Q923" s="172"/>
      <c r="R923" s="387">
        <v>23</v>
      </c>
      <c r="S923" s="388"/>
      <c r="T923" s="387">
        <v>10</v>
      </c>
      <c r="U923" s="388"/>
      <c r="V923" s="171" t="s">
        <v>2927</v>
      </c>
      <c r="W923" s="172"/>
      <c r="X923" s="252">
        <v>278</v>
      </c>
      <c r="Y923" s="253"/>
      <c r="Z923" s="254"/>
      <c r="AA923" s="192" t="s">
        <v>1045</v>
      </c>
      <c r="AB923" s="193"/>
      <c r="AC923" s="126"/>
      <c r="AD923" s="127"/>
      <c r="AE923" s="31"/>
      <c r="AF923" s="162"/>
      <c r="AG923" s="170"/>
      <c r="AH923" s="163"/>
      <c r="AI923" s="272"/>
      <c r="AJ923" s="271"/>
      <c r="AK923" s="15"/>
      <c r="AL923" s="15"/>
    </row>
    <row r="924" spans="1:38" ht="15.5" x14ac:dyDescent="0.3">
      <c r="A924" s="179"/>
      <c r="B924" s="162"/>
      <c r="C924" s="170"/>
      <c r="D924" s="163"/>
      <c r="E924" s="74"/>
      <c r="F924" s="162"/>
      <c r="G924" s="170"/>
      <c r="H924" s="163"/>
      <c r="I924" s="155" t="s">
        <v>2924</v>
      </c>
      <c r="J924" s="157"/>
      <c r="K924" s="162"/>
      <c r="L924" s="163"/>
      <c r="M924" s="582"/>
      <c r="N924" s="583"/>
      <c r="O924" s="584"/>
      <c r="P924" s="162"/>
      <c r="Q924" s="163"/>
      <c r="R924" s="506"/>
      <c r="S924" s="507"/>
      <c r="T924" s="506"/>
      <c r="U924" s="507"/>
      <c r="V924" s="162"/>
      <c r="W924" s="163"/>
      <c r="X924" s="311"/>
      <c r="Y924" s="312"/>
      <c r="Z924" s="313"/>
      <c r="AA924" s="272"/>
      <c r="AB924" s="273"/>
      <c r="AC924" s="126"/>
      <c r="AD924" s="127"/>
      <c r="AE924" s="31"/>
      <c r="AF924" s="162"/>
      <c r="AG924" s="170"/>
      <c r="AH924" s="163"/>
      <c r="AI924" s="272"/>
      <c r="AJ924" s="271"/>
      <c r="AK924" s="15"/>
      <c r="AL924" s="15"/>
    </row>
    <row r="925" spans="1:38" ht="15.5" x14ac:dyDescent="0.3">
      <c r="A925" s="179"/>
      <c r="B925" s="162"/>
      <c r="C925" s="170"/>
      <c r="D925" s="163"/>
      <c r="E925" s="67"/>
      <c r="F925" s="162"/>
      <c r="G925" s="170"/>
      <c r="H925" s="163"/>
      <c r="I925" s="160" t="s">
        <v>2925</v>
      </c>
      <c r="J925" s="161"/>
      <c r="K925" s="212"/>
      <c r="L925" s="213"/>
      <c r="M925" s="395"/>
      <c r="N925" s="396"/>
      <c r="O925" s="397"/>
      <c r="P925" s="212"/>
      <c r="Q925" s="213"/>
      <c r="R925" s="389"/>
      <c r="S925" s="390"/>
      <c r="T925" s="389"/>
      <c r="U925" s="390"/>
      <c r="V925" s="212"/>
      <c r="W925" s="213"/>
      <c r="X925" s="255"/>
      <c r="Y925" s="256"/>
      <c r="Z925" s="257"/>
      <c r="AA925" s="194"/>
      <c r="AB925" s="195"/>
      <c r="AC925" s="126"/>
      <c r="AD925" s="127"/>
      <c r="AE925" s="31"/>
      <c r="AF925" s="162"/>
      <c r="AG925" s="170"/>
      <c r="AH925" s="163"/>
      <c r="AI925" s="272"/>
      <c r="AJ925" s="271"/>
      <c r="AK925" s="15"/>
      <c r="AL925" s="15"/>
    </row>
    <row r="926" spans="1:38" ht="15.5" x14ac:dyDescent="0.3">
      <c r="A926" s="179"/>
      <c r="B926" s="162"/>
      <c r="C926" s="170"/>
      <c r="D926" s="163"/>
      <c r="E926" s="64" t="s">
        <v>2928</v>
      </c>
      <c r="F926" s="162"/>
      <c r="G926" s="170"/>
      <c r="H926" s="163"/>
      <c r="I926" s="112" t="s">
        <v>2918</v>
      </c>
      <c r="J926" s="113"/>
      <c r="K926" s="88" t="s">
        <v>2887</v>
      </c>
      <c r="L926" s="89"/>
      <c r="M926" s="554" t="s">
        <v>2930</v>
      </c>
      <c r="N926" s="555"/>
      <c r="O926" s="556"/>
      <c r="P926" s="88" t="s">
        <v>2889</v>
      </c>
      <c r="Q926" s="89"/>
      <c r="R926" s="204">
        <v>34</v>
      </c>
      <c r="S926" s="205"/>
      <c r="T926" s="204">
        <v>12</v>
      </c>
      <c r="U926" s="205"/>
      <c r="V926" s="88" t="s">
        <v>2931</v>
      </c>
      <c r="W926" s="89"/>
      <c r="X926" s="241">
        <v>358</v>
      </c>
      <c r="Y926" s="242"/>
      <c r="Z926" s="243"/>
      <c r="AA926" s="143" t="s">
        <v>1045</v>
      </c>
      <c r="AB926" s="145"/>
      <c r="AC926" s="126"/>
      <c r="AD926" s="127"/>
      <c r="AE926" s="31"/>
      <c r="AF926" s="162"/>
      <c r="AG926" s="170"/>
      <c r="AH926" s="163"/>
      <c r="AI926" s="272"/>
      <c r="AJ926" s="271"/>
      <c r="AK926" s="15"/>
      <c r="AL926" s="15"/>
    </row>
    <row r="927" spans="1:38" ht="15.5" x14ac:dyDescent="0.3">
      <c r="A927" s="179"/>
      <c r="B927" s="162"/>
      <c r="C927" s="170"/>
      <c r="D927" s="163"/>
      <c r="E927" s="63"/>
      <c r="F927" s="162"/>
      <c r="G927" s="170"/>
      <c r="H927" s="163"/>
      <c r="I927" s="155" t="s">
        <v>2929</v>
      </c>
      <c r="J927" s="157"/>
      <c r="K927" s="126"/>
      <c r="L927" s="127"/>
      <c r="M927" s="557"/>
      <c r="N927" s="558"/>
      <c r="O927" s="559"/>
      <c r="P927" s="126"/>
      <c r="Q927" s="127"/>
      <c r="R927" s="231"/>
      <c r="S927" s="232"/>
      <c r="T927" s="231"/>
      <c r="U927" s="232"/>
      <c r="V927" s="126"/>
      <c r="W927" s="127"/>
      <c r="X927" s="247"/>
      <c r="Y927" s="248"/>
      <c r="Z927" s="249"/>
      <c r="AA927" s="104"/>
      <c r="AB927" s="105"/>
      <c r="AC927" s="126"/>
      <c r="AD927" s="127"/>
      <c r="AE927" s="31"/>
      <c r="AF927" s="162"/>
      <c r="AG927" s="170"/>
      <c r="AH927" s="163"/>
      <c r="AI927" s="272"/>
      <c r="AJ927" s="271"/>
      <c r="AK927" s="15"/>
      <c r="AL927" s="15"/>
    </row>
    <row r="928" spans="1:38" ht="15.5" x14ac:dyDescent="0.3">
      <c r="A928" s="179"/>
      <c r="B928" s="162"/>
      <c r="C928" s="170"/>
      <c r="D928" s="163"/>
      <c r="E928" s="65"/>
      <c r="F928" s="212"/>
      <c r="G928" s="408"/>
      <c r="H928" s="213"/>
      <c r="I928" s="160" t="s">
        <v>2899</v>
      </c>
      <c r="J928" s="161"/>
      <c r="K928" s="117"/>
      <c r="L928" s="118"/>
      <c r="M928" s="560"/>
      <c r="N928" s="561"/>
      <c r="O928" s="562"/>
      <c r="P928" s="117"/>
      <c r="Q928" s="118"/>
      <c r="R928" s="206"/>
      <c r="S928" s="207"/>
      <c r="T928" s="206"/>
      <c r="U928" s="207"/>
      <c r="V928" s="117"/>
      <c r="W928" s="118"/>
      <c r="X928" s="244"/>
      <c r="Y928" s="245"/>
      <c r="Z928" s="246"/>
      <c r="AA928" s="146"/>
      <c r="AB928" s="148"/>
      <c r="AC928" s="126"/>
      <c r="AD928" s="127"/>
      <c r="AE928" s="31"/>
      <c r="AF928" s="162"/>
      <c r="AG928" s="170"/>
      <c r="AH928" s="163"/>
      <c r="AI928" s="272"/>
      <c r="AJ928" s="271"/>
      <c r="AK928" s="15"/>
      <c r="AL928" s="15"/>
    </row>
    <row r="929" spans="1:38" ht="15.5" x14ac:dyDescent="0.3">
      <c r="A929" s="179"/>
      <c r="B929" s="162"/>
      <c r="C929" s="170"/>
      <c r="D929" s="163"/>
      <c r="E929" s="66" t="s">
        <v>2932</v>
      </c>
      <c r="F929" s="409" t="s">
        <v>2933</v>
      </c>
      <c r="G929" s="410"/>
      <c r="H929" s="411"/>
      <c r="I929" s="88" t="s">
        <v>2934</v>
      </c>
      <c r="J929" s="89"/>
      <c r="K929" s="171" t="s">
        <v>2900</v>
      </c>
      <c r="L929" s="172"/>
      <c r="M929" s="392" t="s">
        <v>2936</v>
      </c>
      <c r="N929" s="393"/>
      <c r="O929" s="394"/>
      <c r="P929" s="171" t="s">
        <v>2875</v>
      </c>
      <c r="Q929" s="172"/>
      <c r="R929" s="387">
        <v>23</v>
      </c>
      <c r="S929" s="388"/>
      <c r="T929" s="387">
        <v>9</v>
      </c>
      <c r="U929" s="388"/>
      <c r="V929" s="171" t="s">
        <v>2937</v>
      </c>
      <c r="W929" s="172"/>
      <c r="X929" s="252">
        <v>358</v>
      </c>
      <c r="Y929" s="253"/>
      <c r="Z929" s="254"/>
      <c r="AA929" s="192" t="s">
        <v>1045</v>
      </c>
      <c r="AB929" s="193"/>
      <c r="AC929" s="126"/>
      <c r="AD929" s="127"/>
      <c r="AE929" s="31"/>
      <c r="AF929" s="162"/>
      <c r="AG929" s="170"/>
      <c r="AH929" s="163"/>
      <c r="AI929" s="272"/>
      <c r="AJ929" s="271"/>
      <c r="AK929" s="15"/>
      <c r="AL929" s="15"/>
    </row>
    <row r="930" spans="1:38" ht="15.5" x14ac:dyDescent="0.3">
      <c r="A930" s="179"/>
      <c r="B930" s="162"/>
      <c r="C930" s="170"/>
      <c r="D930" s="163"/>
      <c r="E930" s="67"/>
      <c r="F930" s="401"/>
      <c r="G930" s="402"/>
      <c r="H930" s="403"/>
      <c r="I930" s="117" t="s">
        <v>2935</v>
      </c>
      <c r="J930" s="118"/>
      <c r="K930" s="212"/>
      <c r="L930" s="213"/>
      <c r="M930" s="395"/>
      <c r="N930" s="396"/>
      <c r="O930" s="397"/>
      <c r="P930" s="212"/>
      <c r="Q930" s="213"/>
      <c r="R930" s="389"/>
      <c r="S930" s="390"/>
      <c r="T930" s="389"/>
      <c r="U930" s="390"/>
      <c r="V930" s="212"/>
      <c r="W930" s="213"/>
      <c r="X930" s="255"/>
      <c r="Y930" s="256"/>
      <c r="Z930" s="257"/>
      <c r="AA930" s="194"/>
      <c r="AB930" s="195"/>
      <c r="AC930" s="126"/>
      <c r="AD930" s="127"/>
      <c r="AE930" s="31"/>
      <c r="AF930" s="162"/>
      <c r="AG930" s="170"/>
      <c r="AH930" s="163"/>
      <c r="AI930" s="272"/>
      <c r="AJ930" s="271"/>
      <c r="AK930" s="15"/>
      <c r="AL930" s="15"/>
    </row>
    <row r="931" spans="1:38" ht="15.5" x14ac:dyDescent="0.3">
      <c r="A931" s="179"/>
      <c r="B931" s="162"/>
      <c r="C931" s="170"/>
      <c r="D931" s="163"/>
      <c r="E931" s="64" t="s">
        <v>2938</v>
      </c>
      <c r="F931" s="401"/>
      <c r="G931" s="402"/>
      <c r="H931" s="403"/>
      <c r="I931" s="88" t="s">
        <v>2939</v>
      </c>
      <c r="J931" s="89"/>
      <c r="K931" s="88" t="s">
        <v>2906</v>
      </c>
      <c r="L931" s="89"/>
      <c r="M931" s="554" t="s">
        <v>2941</v>
      </c>
      <c r="N931" s="555"/>
      <c r="O931" s="556"/>
      <c r="P931" s="88" t="s">
        <v>2881</v>
      </c>
      <c r="Q931" s="89"/>
      <c r="R931" s="204">
        <v>23</v>
      </c>
      <c r="S931" s="205"/>
      <c r="T931" s="204">
        <v>10</v>
      </c>
      <c r="U931" s="205"/>
      <c r="V931" s="88" t="s">
        <v>2942</v>
      </c>
      <c r="W931" s="89"/>
      <c r="X931" s="241">
        <v>388</v>
      </c>
      <c r="Y931" s="242"/>
      <c r="Z931" s="243"/>
      <c r="AA931" s="143" t="s">
        <v>1854</v>
      </c>
      <c r="AB931" s="145"/>
      <c r="AC931" s="126"/>
      <c r="AD931" s="127"/>
      <c r="AE931" s="31"/>
      <c r="AF931" s="162"/>
      <c r="AG931" s="170"/>
      <c r="AH931" s="163"/>
      <c r="AI931" s="272"/>
      <c r="AJ931" s="271"/>
      <c r="AK931" s="15"/>
      <c r="AL931" s="15"/>
    </row>
    <row r="932" spans="1:38" ht="15.5" x14ac:dyDescent="0.3">
      <c r="A932" s="179"/>
      <c r="B932" s="162"/>
      <c r="C932" s="170"/>
      <c r="D932" s="163"/>
      <c r="E932" s="65"/>
      <c r="F932" s="401"/>
      <c r="G932" s="402"/>
      <c r="H932" s="403"/>
      <c r="I932" s="117" t="s">
        <v>2940</v>
      </c>
      <c r="J932" s="118"/>
      <c r="K932" s="117"/>
      <c r="L932" s="118"/>
      <c r="M932" s="560"/>
      <c r="N932" s="561"/>
      <c r="O932" s="562"/>
      <c r="P932" s="117"/>
      <c r="Q932" s="118"/>
      <c r="R932" s="206"/>
      <c r="S932" s="207"/>
      <c r="T932" s="206"/>
      <c r="U932" s="207"/>
      <c r="V932" s="117"/>
      <c r="W932" s="118"/>
      <c r="X932" s="244"/>
      <c r="Y932" s="245"/>
      <c r="Z932" s="246"/>
      <c r="AA932" s="146"/>
      <c r="AB932" s="148"/>
      <c r="AC932" s="126"/>
      <c r="AD932" s="127"/>
      <c r="AE932" s="31"/>
      <c r="AF932" s="162"/>
      <c r="AG932" s="170"/>
      <c r="AH932" s="163"/>
      <c r="AI932" s="272"/>
      <c r="AJ932" s="271"/>
      <c r="AK932" s="15"/>
      <c r="AL932" s="15"/>
    </row>
    <row r="933" spans="1:38" ht="15.5" x14ac:dyDescent="0.3">
      <c r="A933" s="179"/>
      <c r="B933" s="162"/>
      <c r="C933" s="170"/>
      <c r="D933" s="163"/>
      <c r="E933" s="66" t="s">
        <v>2943</v>
      </c>
      <c r="F933" s="401"/>
      <c r="G933" s="402"/>
      <c r="H933" s="403"/>
      <c r="I933" s="112" t="s">
        <v>2944</v>
      </c>
      <c r="J933" s="113"/>
      <c r="K933" s="171" t="s">
        <v>2912</v>
      </c>
      <c r="L933" s="172"/>
      <c r="M933" s="392" t="s">
        <v>2946</v>
      </c>
      <c r="N933" s="393"/>
      <c r="O933" s="394"/>
      <c r="P933" s="171" t="s">
        <v>2889</v>
      </c>
      <c r="Q933" s="172"/>
      <c r="R933" s="387">
        <v>34</v>
      </c>
      <c r="S933" s="388"/>
      <c r="T933" s="387">
        <v>12</v>
      </c>
      <c r="U933" s="388"/>
      <c r="V933" s="171" t="s">
        <v>2947</v>
      </c>
      <c r="W933" s="172"/>
      <c r="X933" s="252">
        <v>468</v>
      </c>
      <c r="Y933" s="253"/>
      <c r="Z933" s="254"/>
      <c r="AA933" s="192" t="s">
        <v>1081</v>
      </c>
      <c r="AB933" s="193"/>
      <c r="AC933" s="126"/>
      <c r="AD933" s="127"/>
      <c r="AE933" s="31"/>
      <c r="AF933" s="162"/>
      <c r="AG933" s="170"/>
      <c r="AH933" s="163"/>
      <c r="AI933" s="272"/>
      <c r="AJ933" s="271"/>
      <c r="AK933" s="15"/>
      <c r="AL933" s="15"/>
    </row>
    <row r="934" spans="1:38" ht="15.5" x14ac:dyDescent="0.3">
      <c r="A934" s="230"/>
      <c r="B934" s="212"/>
      <c r="C934" s="408"/>
      <c r="D934" s="213"/>
      <c r="E934" s="67"/>
      <c r="F934" s="404"/>
      <c r="G934" s="405"/>
      <c r="H934" s="406"/>
      <c r="I934" s="160" t="s">
        <v>2945</v>
      </c>
      <c r="J934" s="161"/>
      <c r="K934" s="212"/>
      <c r="L934" s="213"/>
      <c r="M934" s="395"/>
      <c r="N934" s="396"/>
      <c r="O934" s="397"/>
      <c r="P934" s="212"/>
      <c r="Q934" s="213"/>
      <c r="R934" s="389"/>
      <c r="S934" s="390"/>
      <c r="T934" s="389"/>
      <c r="U934" s="390"/>
      <c r="V934" s="212"/>
      <c r="W934" s="213"/>
      <c r="X934" s="255"/>
      <c r="Y934" s="256"/>
      <c r="Z934" s="257"/>
      <c r="AA934" s="194"/>
      <c r="AB934" s="195"/>
      <c r="AC934" s="117"/>
      <c r="AD934" s="118"/>
      <c r="AE934" s="31"/>
      <c r="AF934" s="212"/>
      <c r="AG934" s="408"/>
      <c r="AH934" s="213"/>
      <c r="AI934" s="272"/>
      <c r="AJ934" s="271"/>
      <c r="AK934" s="15"/>
      <c r="AL934" s="15"/>
    </row>
    <row r="935" spans="1:38" ht="90" x14ac:dyDescent="0.25">
      <c r="A935" s="178"/>
      <c r="B935" s="303" t="s">
        <v>2948</v>
      </c>
      <c r="C935" s="344"/>
      <c r="D935" s="304"/>
      <c r="E935" s="28" t="s">
        <v>2949</v>
      </c>
      <c r="F935" s="192" t="s">
        <v>2950</v>
      </c>
      <c r="G935" s="196"/>
      <c r="H935" s="193"/>
      <c r="I935" s="192" t="s">
        <v>2951</v>
      </c>
      <c r="J935" s="193"/>
      <c r="K935" s="171" t="s">
        <v>2952</v>
      </c>
      <c r="L935" s="172"/>
      <c r="M935" s="171" t="s">
        <v>2953</v>
      </c>
      <c r="N935" s="407"/>
      <c r="O935" s="172"/>
      <c r="P935" s="171" t="s">
        <v>1751</v>
      </c>
      <c r="Q935" s="172"/>
      <c r="R935" s="387">
        <v>18</v>
      </c>
      <c r="S935" s="388"/>
      <c r="T935" s="387">
        <v>9</v>
      </c>
      <c r="U935" s="388"/>
      <c r="V935" s="171" t="s">
        <v>2104</v>
      </c>
      <c r="W935" s="172"/>
      <c r="X935" s="252">
        <v>139</v>
      </c>
      <c r="Y935" s="253"/>
      <c r="Z935" s="254"/>
      <c r="AA935" s="192" t="s">
        <v>1261</v>
      </c>
      <c r="AB935" s="193"/>
      <c r="AC935" s="303" t="s">
        <v>675</v>
      </c>
      <c r="AD935" s="304"/>
      <c r="AE935" s="35" t="s">
        <v>2956</v>
      </c>
      <c r="AF935" s="303" t="s">
        <v>2540</v>
      </c>
      <c r="AG935" s="344"/>
      <c r="AH935" s="304"/>
      <c r="AI935" s="272"/>
      <c r="AJ935" s="48"/>
      <c r="AK935" s="15"/>
      <c r="AL935" s="15"/>
    </row>
    <row r="936" spans="1:38" ht="90" x14ac:dyDescent="0.25">
      <c r="A936" s="179"/>
      <c r="B936" s="292"/>
      <c r="C936" s="314"/>
      <c r="D936" s="293"/>
      <c r="E936" s="28" t="s">
        <v>2958</v>
      </c>
      <c r="F936" s="272"/>
      <c r="G936" s="282"/>
      <c r="H936" s="273"/>
      <c r="I936" s="272"/>
      <c r="J936" s="273"/>
      <c r="K936" s="162"/>
      <c r="L936" s="163"/>
      <c r="M936" s="162"/>
      <c r="N936" s="170"/>
      <c r="O936" s="163"/>
      <c r="P936" s="162"/>
      <c r="Q936" s="163"/>
      <c r="R936" s="506"/>
      <c r="S936" s="507"/>
      <c r="T936" s="506"/>
      <c r="U936" s="507"/>
      <c r="V936" s="162"/>
      <c r="W936" s="163"/>
      <c r="X936" s="311"/>
      <c r="Y936" s="312"/>
      <c r="Z936" s="313"/>
      <c r="AA936" s="272"/>
      <c r="AB936" s="273"/>
      <c r="AC936" s="292" t="s">
        <v>2954</v>
      </c>
      <c r="AD936" s="293"/>
      <c r="AE936" s="36" t="s">
        <v>1356</v>
      </c>
      <c r="AF936" s="292" t="s">
        <v>2541</v>
      </c>
      <c r="AG936" s="314"/>
      <c r="AH936" s="293"/>
      <c r="AI936" s="272"/>
      <c r="AJ936" s="48"/>
      <c r="AK936" s="15"/>
      <c r="AL936" s="15"/>
    </row>
    <row r="937" spans="1:38" ht="150" x14ac:dyDescent="0.25">
      <c r="A937" s="179"/>
      <c r="B937" s="292"/>
      <c r="C937" s="314"/>
      <c r="D937" s="293"/>
      <c r="E937" s="28" t="s">
        <v>2959</v>
      </c>
      <c r="F937" s="194"/>
      <c r="G937" s="197"/>
      <c r="H937" s="195"/>
      <c r="I937" s="194"/>
      <c r="J937" s="195"/>
      <c r="K937" s="212"/>
      <c r="L937" s="213"/>
      <c r="M937" s="212"/>
      <c r="N937" s="408"/>
      <c r="O937" s="213"/>
      <c r="P937" s="212"/>
      <c r="Q937" s="213"/>
      <c r="R937" s="389"/>
      <c r="S937" s="390"/>
      <c r="T937" s="389"/>
      <c r="U937" s="390"/>
      <c r="V937" s="212"/>
      <c r="W937" s="213"/>
      <c r="X937" s="255"/>
      <c r="Y937" s="256"/>
      <c r="Z937" s="257"/>
      <c r="AA937" s="194"/>
      <c r="AB937" s="195"/>
      <c r="AC937" s="292" t="s">
        <v>2955</v>
      </c>
      <c r="AD937" s="293"/>
      <c r="AE937" s="36" t="s">
        <v>2957</v>
      </c>
      <c r="AF937" s="292"/>
      <c r="AG937" s="314"/>
      <c r="AH937" s="293"/>
      <c r="AI937" s="272"/>
      <c r="AJ937" s="48"/>
      <c r="AK937" s="15"/>
      <c r="AL937" s="15"/>
    </row>
    <row r="938" spans="1:38" ht="90" x14ac:dyDescent="0.25">
      <c r="A938" s="179"/>
      <c r="B938" s="292"/>
      <c r="C938" s="314"/>
      <c r="D938" s="293"/>
      <c r="E938" s="28" t="s">
        <v>2960</v>
      </c>
      <c r="F938" s="192" t="s">
        <v>2961</v>
      </c>
      <c r="G938" s="196"/>
      <c r="H938" s="193"/>
      <c r="I938" s="223" t="s">
        <v>2840</v>
      </c>
      <c r="J938" s="224"/>
      <c r="K938" s="171" t="s">
        <v>2962</v>
      </c>
      <c r="L938" s="172"/>
      <c r="M938" s="171" t="s">
        <v>2963</v>
      </c>
      <c r="N938" s="407"/>
      <c r="O938" s="172"/>
      <c r="P938" s="171" t="s">
        <v>1140</v>
      </c>
      <c r="Q938" s="172"/>
      <c r="R938" s="387">
        <v>22</v>
      </c>
      <c r="S938" s="388"/>
      <c r="T938" s="387">
        <v>11</v>
      </c>
      <c r="U938" s="388"/>
      <c r="V938" s="171" t="s">
        <v>2056</v>
      </c>
      <c r="W938" s="172"/>
      <c r="X938" s="252">
        <v>169</v>
      </c>
      <c r="Y938" s="253"/>
      <c r="Z938" s="254"/>
      <c r="AA938" s="192" t="s">
        <v>1159</v>
      </c>
      <c r="AB938" s="193"/>
      <c r="AC938" s="292"/>
      <c r="AD938" s="293"/>
      <c r="AE938" s="36"/>
      <c r="AF938" s="292"/>
      <c r="AG938" s="314"/>
      <c r="AH938" s="293"/>
      <c r="AI938" s="272"/>
      <c r="AJ938" s="48"/>
      <c r="AK938" s="15"/>
      <c r="AL938" s="15"/>
    </row>
    <row r="939" spans="1:38" ht="90" x14ac:dyDescent="0.25">
      <c r="A939" s="179"/>
      <c r="B939" s="292"/>
      <c r="C939" s="314"/>
      <c r="D939" s="293"/>
      <c r="E939" s="28" t="s">
        <v>2964</v>
      </c>
      <c r="F939" s="272"/>
      <c r="G939" s="282"/>
      <c r="H939" s="273"/>
      <c r="I939" s="239"/>
      <c r="J939" s="240"/>
      <c r="K939" s="162"/>
      <c r="L939" s="163"/>
      <c r="M939" s="162"/>
      <c r="N939" s="170"/>
      <c r="O939" s="163"/>
      <c r="P939" s="162"/>
      <c r="Q939" s="163"/>
      <c r="R939" s="506"/>
      <c r="S939" s="507"/>
      <c r="T939" s="506"/>
      <c r="U939" s="507"/>
      <c r="V939" s="162"/>
      <c r="W939" s="163"/>
      <c r="X939" s="311"/>
      <c r="Y939" s="312"/>
      <c r="Z939" s="313"/>
      <c r="AA939" s="272"/>
      <c r="AB939" s="273"/>
      <c r="AC939" s="292"/>
      <c r="AD939" s="293"/>
      <c r="AE939" s="36"/>
      <c r="AF939" s="292"/>
      <c r="AG939" s="314"/>
      <c r="AH939" s="293"/>
      <c r="AI939" s="272"/>
      <c r="AJ939" s="48"/>
      <c r="AK939" s="15"/>
      <c r="AL939" s="15"/>
    </row>
    <row r="940" spans="1:38" ht="150" x14ac:dyDescent="0.25">
      <c r="A940" s="179"/>
      <c r="B940" s="292"/>
      <c r="C940" s="314"/>
      <c r="D940" s="293"/>
      <c r="E940" s="28" t="s">
        <v>2965</v>
      </c>
      <c r="F940" s="194"/>
      <c r="G940" s="197"/>
      <c r="H940" s="195"/>
      <c r="I940" s="225"/>
      <c r="J940" s="226"/>
      <c r="K940" s="212"/>
      <c r="L940" s="213"/>
      <c r="M940" s="212"/>
      <c r="N940" s="408"/>
      <c r="O940" s="213"/>
      <c r="P940" s="212"/>
      <c r="Q940" s="213"/>
      <c r="R940" s="389"/>
      <c r="S940" s="390"/>
      <c r="T940" s="389"/>
      <c r="U940" s="390"/>
      <c r="V940" s="212"/>
      <c r="W940" s="213"/>
      <c r="X940" s="255"/>
      <c r="Y940" s="256"/>
      <c r="Z940" s="257"/>
      <c r="AA940" s="194"/>
      <c r="AB940" s="195"/>
      <c r="AC940" s="292"/>
      <c r="AD940" s="293"/>
      <c r="AE940" s="36"/>
      <c r="AF940" s="292"/>
      <c r="AG940" s="314"/>
      <c r="AH940" s="293"/>
      <c r="AI940" s="272"/>
      <c r="AJ940" s="48"/>
      <c r="AK940" s="15"/>
      <c r="AL940" s="15"/>
    </row>
    <row r="941" spans="1:38" ht="90" x14ac:dyDescent="0.25">
      <c r="A941" s="179"/>
      <c r="B941" s="292"/>
      <c r="C941" s="314"/>
      <c r="D941" s="293"/>
      <c r="E941" s="28" t="s">
        <v>2966</v>
      </c>
      <c r="F941" s="192" t="s">
        <v>2967</v>
      </c>
      <c r="G941" s="196"/>
      <c r="H941" s="193"/>
      <c r="I941" s="223" t="s">
        <v>2848</v>
      </c>
      <c r="J941" s="224"/>
      <c r="K941" s="171" t="s">
        <v>2968</v>
      </c>
      <c r="L941" s="172"/>
      <c r="M941" s="171" t="s">
        <v>2969</v>
      </c>
      <c r="N941" s="407"/>
      <c r="O941" s="172"/>
      <c r="P941" s="387">
        <v>8</v>
      </c>
      <c r="Q941" s="388"/>
      <c r="R941" s="387">
        <v>25</v>
      </c>
      <c r="S941" s="388"/>
      <c r="T941" s="171" t="s">
        <v>2970</v>
      </c>
      <c r="U941" s="172"/>
      <c r="V941" s="171" t="s">
        <v>2971</v>
      </c>
      <c r="W941" s="172"/>
      <c r="X941" s="252">
        <v>199</v>
      </c>
      <c r="Y941" s="253"/>
      <c r="Z941" s="254"/>
      <c r="AA941" s="192" t="s">
        <v>1739</v>
      </c>
      <c r="AB941" s="193"/>
      <c r="AC941" s="292"/>
      <c r="AD941" s="293"/>
      <c r="AE941" s="36"/>
      <c r="AF941" s="292"/>
      <c r="AG941" s="314"/>
      <c r="AH941" s="293"/>
      <c r="AI941" s="272"/>
      <c r="AJ941" s="48"/>
      <c r="AK941" s="15"/>
      <c r="AL941" s="15"/>
    </row>
    <row r="942" spans="1:38" ht="90" x14ac:dyDescent="0.25">
      <c r="A942" s="179"/>
      <c r="B942" s="292"/>
      <c r="C942" s="314"/>
      <c r="D942" s="293"/>
      <c r="E942" s="28" t="s">
        <v>2972</v>
      </c>
      <c r="F942" s="272"/>
      <c r="G942" s="282"/>
      <c r="H942" s="273"/>
      <c r="I942" s="239"/>
      <c r="J942" s="240"/>
      <c r="K942" s="162"/>
      <c r="L942" s="163"/>
      <c r="M942" s="162"/>
      <c r="N942" s="170"/>
      <c r="O942" s="163"/>
      <c r="P942" s="506"/>
      <c r="Q942" s="507"/>
      <c r="R942" s="506"/>
      <c r="S942" s="507"/>
      <c r="T942" s="162"/>
      <c r="U942" s="163"/>
      <c r="V942" s="162"/>
      <c r="W942" s="163"/>
      <c r="X942" s="311"/>
      <c r="Y942" s="312"/>
      <c r="Z942" s="313"/>
      <c r="AA942" s="272"/>
      <c r="AB942" s="273"/>
      <c r="AC942" s="292"/>
      <c r="AD942" s="293"/>
      <c r="AE942" s="36"/>
      <c r="AF942" s="292"/>
      <c r="AG942" s="314"/>
      <c r="AH942" s="293"/>
      <c r="AI942" s="272"/>
      <c r="AJ942" s="48"/>
      <c r="AK942" s="15"/>
      <c r="AL942" s="15"/>
    </row>
    <row r="943" spans="1:38" ht="150" x14ac:dyDescent="0.25">
      <c r="A943" s="230"/>
      <c r="B943" s="290"/>
      <c r="C943" s="345"/>
      <c r="D943" s="291"/>
      <c r="E943" s="28" t="s">
        <v>2973</v>
      </c>
      <c r="F943" s="194"/>
      <c r="G943" s="197"/>
      <c r="H943" s="195"/>
      <c r="I943" s="225"/>
      <c r="J943" s="226"/>
      <c r="K943" s="212"/>
      <c r="L943" s="213"/>
      <c r="M943" s="212"/>
      <c r="N943" s="408"/>
      <c r="O943" s="213"/>
      <c r="P943" s="389"/>
      <c r="Q943" s="390"/>
      <c r="R943" s="389"/>
      <c r="S943" s="390"/>
      <c r="T943" s="212"/>
      <c r="U943" s="213"/>
      <c r="V943" s="212"/>
      <c r="W943" s="213"/>
      <c r="X943" s="255"/>
      <c r="Y943" s="256"/>
      <c r="Z943" s="257"/>
      <c r="AA943" s="194"/>
      <c r="AB943" s="195"/>
      <c r="AC943" s="292"/>
      <c r="AD943" s="293"/>
      <c r="AE943" s="36"/>
      <c r="AF943" s="292"/>
      <c r="AG943" s="314"/>
      <c r="AH943" s="293"/>
      <c r="AI943" s="272"/>
      <c r="AJ943" s="48"/>
      <c r="AK943" s="15"/>
      <c r="AL943" s="15"/>
    </row>
    <row r="944" spans="1:38" ht="120" x14ac:dyDescent="0.25">
      <c r="A944" s="178"/>
      <c r="B944" s="303" t="s">
        <v>2974</v>
      </c>
      <c r="C944" s="344"/>
      <c r="D944" s="304"/>
      <c r="E944" s="28" t="s">
        <v>2975</v>
      </c>
      <c r="F944" s="192" t="s">
        <v>2976</v>
      </c>
      <c r="G944" s="196"/>
      <c r="H944" s="193"/>
      <c r="I944" s="223" t="s">
        <v>1213</v>
      </c>
      <c r="J944" s="224"/>
      <c r="K944" s="171" t="s">
        <v>2977</v>
      </c>
      <c r="L944" s="172"/>
      <c r="M944" s="171" t="s">
        <v>2978</v>
      </c>
      <c r="N944" s="407"/>
      <c r="O944" s="172"/>
      <c r="P944" s="171" t="s">
        <v>1311</v>
      </c>
      <c r="Q944" s="172"/>
      <c r="R944" s="387">
        <v>22</v>
      </c>
      <c r="S944" s="388"/>
      <c r="T944" s="387">
        <v>10</v>
      </c>
      <c r="U944" s="388"/>
      <c r="V944" s="171" t="s">
        <v>2979</v>
      </c>
      <c r="W944" s="172"/>
      <c r="X944" s="252">
        <v>209</v>
      </c>
      <c r="Y944" s="253"/>
      <c r="Z944" s="254"/>
      <c r="AA944" s="192" t="s">
        <v>1159</v>
      </c>
      <c r="AB944" s="193"/>
      <c r="AC944" s="292"/>
      <c r="AD944" s="293"/>
      <c r="AE944" s="36"/>
      <c r="AF944" s="292"/>
      <c r="AG944" s="314"/>
      <c r="AH944" s="293"/>
      <c r="AI944" s="272"/>
      <c r="AJ944" s="48"/>
      <c r="AK944" s="15"/>
      <c r="AL944" s="15"/>
    </row>
    <row r="945" spans="1:38" ht="120" x14ac:dyDescent="0.25">
      <c r="A945" s="179"/>
      <c r="B945" s="292"/>
      <c r="C945" s="314"/>
      <c r="D945" s="293"/>
      <c r="E945" s="28" t="s">
        <v>2980</v>
      </c>
      <c r="F945" s="194"/>
      <c r="G945" s="197"/>
      <c r="H945" s="195"/>
      <c r="I945" s="225"/>
      <c r="J945" s="226"/>
      <c r="K945" s="212"/>
      <c r="L945" s="213"/>
      <c r="M945" s="212"/>
      <c r="N945" s="408"/>
      <c r="O945" s="213"/>
      <c r="P945" s="212"/>
      <c r="Q945" s="213"/>
      <c r="R945" s="389"/>
      <c r="S945" s="390"/>
      <c r="T945" s="389"/>
      <c r="U945" s="390"/>
      <c r="V945" s="212"/>
      <c r="W945" s="213"/>
      <c r="X945" s="255"/>
      <c r="Y945" s="256"/>
      <c r="Z945" s="257"/>
      <c r="AA945" s="194"/>
      <c r="AB945" s="195"/>
      <c r="AC945" s="292"/>
      <c r="AD945" s="293"/>
      <c r="AE945" s="36"/>
      <c r="AF945" s="292"/>
      <c r="AG945" s="314"/>
      <c r="AH945" s="293"/>
      <c r="AI945" s="272"/>
      <c r="AJ945" s="48"/>
      <c r="AK945" s="15"/>
      <c r="AL945" s="15"/>
    </row>
    <row r="946" spans="1:38" ht="120" x14ac:dyDescent="0.25">
      <c r="A946" s="179"/>
      <c r="B946" s="292"/>
      <c r="C946" s="314"/>
      <c r="D946" s="293"/>
      <c r="E946" s="28" t="s">
        <v>2981</v>
      </c>
      <c r="F946" s="192" t="s">
        <v>2982</v>
      </c>
      <c r="G946" s="196"/>
      <c r="H946" s="193"/>
      <c r="I946" s="223" t="s">
        <v>2925</v>
      </c>
      <c r="J946" s="224"/>
      <c r="K946" s="171" t="s">
        <v>2983</v>
      </c>
      <c r="L946" s="172"/>
      <c r="M946" s="171" t="s">
        <v>2984</v>
      </c>
      <c r="N946" s="407"/>
      <c r="O946" s="172"/>
      <c r="P946" s="387">
        <v>8</v>
      </c>
      <c r="Q946" s="388"/>
      <c r="R946" s="387">
        <v>28</v>
      </c>
      <c r="S946" s="388"/>
      <c r="T946" s="387">
        <v>12</v>
      </c>
      <c r="U946" s="388"/>
      <c r="V946" s="171" t="s">
        <v>2985</v>
      </c>
      <c r="W946" s="172"/>
      <c r="X946" s="252">
        <v>249</v>
      </c>
      <c r="Y946" s="253"/>
      <c r="Z946" s="254"/>
      <c r="AA946" s="192" t="s">
        <v>1159</v>
      </c>
      <c r="AB946" s="193"/>
      <c r="AC946" s="292"/>
      <c r="AD946" s="293"/>
      <c r="AE946" s="36"/>
      <c r="AF946" s="292"/>
      <c r="AG946" s="314"/>
      <c r="AH946" s="293"/>
      <c r="AI946" s="272"/>
      <c r="AJ946" s="48"/>
      <c r="AK946" s="15"/>
      <c r="AL946" s="15"/>
    </row>
    <row r="947" spans="1:38" ht="120" x14ac:dyDescent="0.25">
      <c r="A947" s="179"/>
      <c r="B947" s="292"/>
      <c r="C947" s="314"/>
      <c r="D947" s="293"/>
      <c r="E947" s="28" t="s">
        <v>2986</v>
      </c>
      <c r="F947" s="194"/>
      <c r="G947" s="197"/>
      <c r="H947" s="195"/>
      <c r="I947" s="225"/>
      <c r="J947" s="226"/>
      <c r="K947" s="212"/>
      <c r="L947" s="213"/>
      <c r="M947" s="212"/>
      <c r="N947" s="408"/>
      <c r="O947" s="213"/>
      <c r="P947" s="389"/>
      <c r="Q947" s="390"/>
      <c r="R947" s="389"/>
      <c r="S947" s="390"/>
      <c r="T947" s="389"/>
      <c r="U947" s="390"/>
      <c r="V947" s="212"/>
      <c r="W947" s="213"/>
      <c r="X947" s="255"/>
      <c r="Y947" s="256"/>
      <c r="Z947" s="257"/>
      <c r="AA947" s="194"/>
      <c r="AB947" s="195"/>
      <c r="AC947" s="292"/>
      <c r="AD947" s="293"/>
      <c r="AE947" s="36"/>
      <c r="AF947" s="292"/>
      <c r="AG947" s="314"/>
      <c r="AH947" s="293"/>
      <c r="AI947" s="272"/>
      <c r="AJ947" s="48"/>
      <c r="AK947" s="15"/>
      <c r="AL947" s="15"/>
    </row>
    <row r="948" spans="1:38" ht="120" x14ac:dyDescent="0.25">
      <c r="A948" s="179"/>
      <c r="B948" s="292"/>
      <c r="C948" s="314"/>
      <c r="D948" s="293"/>
      <c r="E948" s="28" t="s">
        <v>2987</v>
      </c>
      <c r="F948" s="192" t="s">
        <v>2988</v>
      </c>
      <c r="G948" s="196"/>
      <c r="H948" s="193"/>
      <c r="I948" s="223" t="s">
        <v>1888</v>
      </c>
      <c r="J948" s="224"/>
      <c r="K948" s="171" t="s">
        <v>2989</v>
      </c>
      <c r="L948" s="172"/>
      <c r="M948" s="171" t="s">
        <v>2990</v>
      </c>
      <c r="N948" s="407"/>
      <c r="O948" s="172"/>
      <c r="P948" s="171" t="s">
        <v>1087</v>
      </c>
      <c r="Q948" s="172"/>
      <c r="R948" s="387">
        <v>32</v>
      </c>
      <c r="S948" s="388"/>
      <c r="T948" s="171" t="s">
        <v>1472</v>
      </c>
      <c r="U948" s="172"/>
      <c r="V948" s="171" t="s">
        <v>2991</v>
      </c>
      <c r="W948" s="172"/>
      <c r="X948" s="252">
        <v>279</v>
      </c>
      <c r="Y948" s="253"/>
      <c r="Z948" s="254"/>
      <c r="AA948" s="192" t="s">
        <v>1038</v>
      </c>
      <c r="AB948" s="193"/>
      <c r="AC948" s="292"/>
      <c r="AD948" s="293"/>
      <c r="AE948" s="36"/>
      <c r="AF948" s="292"/>
      <c r="AG948" s="314"/>
      <c r="AH948" s="293"/>
      <c r="AI948" s="272"/>
      <c r="AJ948" s="48"/>
      <c r="AK948" s="15"/>
      <c r="AL948" s="15"/>
    </row>
    <row r="949" spans="1:38" ht="120" x14ac:dyDescent="0.25">
      <c r="A949" s="230"/>
      <c r="B949" s="290"/>
      <c r="C949" s="345"/>
      <c r="D949" s="291"/>
      <c r="E949" s="19" t="s">
        <v>2992</v>
      </c>
      <c r="F949" s="194"/>
      <c r="G949" s="197"/>
      <c r="H949" s="195"/>
      <c r="I949" s="225"/>
      <c r="J949" s="226"/>
      <c r="K949" s="212"/>
      <c r="L949" s="213"/>
      <c r="M949" s="212"/>
      <c r="N949" s="408"/>
      <c r="O949" s="213"/>
      <c r="P949" s="212"/>
      <c r="Q949" s="213"/>
      <c r="R949" s="389"/>
      <c r="S949" s="390"/>
      <c r="T949" s="212"/>
      <c r="U949" s="213"/>
      <c r="V949" s="212"/>
      <c r="W949" s="213"/>
      <c r="X949" s="255"/>
      <c r="Y949" s="256"/>
      <c r="Z949" s="257"/>
      <c r="AA949" s="194"/>
      <c r="AB949" s="195"/>
      <c r="AC949" s="290"/>
      <c r="AD949" s="291"/>
      <c r="AE949" s="36"/>
      <c r="AF949" s="290"/>
      <c r="AG949" s="345"/>
      <c r="AH949" s="291"/>
      <c r="AI949" s="272"/>
      <c r="AJ949" s="48"/>
      <c r="AK949" s="15"/>
      <c r="AL949" s="15"/>
    </row>
    <row r="950" spans="1:38" ht="75" x14ac:dyDescent="0.3">
      <c r="A950" s="178"/>
      <c r="B950" s="303" t="s">
        <v>2993</v>
      </c>
      <c r="C950" s="344"/>
      <c r="D950" s="304"/>
      <c r="E950" s="66" t="s">
        <v>2994</v>
      </c>
      <c r="F950" s="171" t="s">
        <v>2995</v>
      </c>
      <c r="G950" s="407"/>
      <c r="H950" s="172"/>
      <c r="I950" s="223" t="s">
        <v>2998</v>
      </c>
      <c r="J950" s="224"/>
      <c r="K950" s="164"/>
      <c r="L950" s="166"/>
      <c r="M950" s="387">
        <v>66</v>
      </c>
      <c r="N950" s="495"/>
      <c r="O950" s="388"/>
      <c r="P950" s="387">
        <v>5</v>
      </c>
      <c r="Q950" s="388"/>
      <c r="R950" s="387">
        <v>12</v>
      </c>
      <c r="S950" s="388"/>
      <c r="T950" s="387">
        <v>7</v>
      </c>
      <c r="U950" s="388"/>
      <c r="V950" s="171" t="s">
        <v>2999</v>
      </c>
      <c r="W950" s="172"/>
      <c r="X950" s="252">
        <v>120</v>
      </c>
      <c r="Y950" s="253"/>
      <c r="Z950" s="254"/>
      <c r="AA950" s="192" t="s">
        <v>1038</v>
      </c>
      <c r="AB950" s="193"/>
      <c r="AC950" s="171" t="s">
        <v>675</v>
      </c>
      <c r="AD950" s="172"/>
      <c r="AE950" s="24" t="s">
        <v>3001</v>
      </c>
      <c r="AF950" s="171" t="s">
        <v>909</v>
      </c>
      <c r="AG950" s="407"/>
      <c r="AH950" s="172"/>
      <c r="AI950" s="272"/>
      <c r="AJ950" s="271"/>
      <c r="AK950" s="15"/>
      <c r="AL950" s="15"/>
    </row>
    <row r="951" spans="1:38" ht="15.5" x14ac:dyDescent="0.3">
      <c r="A951" s="179"/>
      <c r="B951" s="292"/>
      <c r="C951" s="314"/>
      <c r="D951" s="293"/>
      <c r="E951" s="67"/>
      <c r="F951" s="162" t="s">
        <v>2996</v>
      </c>
      <c r="G951" s="170"/>
      <c r="H951" s="163"/>
      <c r="I951" s="239"/>
      <c r="J951" s="240"/>
      <c r="K951" s="214"/>
      <c r="L951" s="216"/>
      <c r="M951" s="389"/>
      <c r="N951" s="496"/>
      <c r="O951" s="390"/>
      <c r="P951" s="389"/>
      <c r="Q951" s="390"/>
      <c r="R951" s="389"/>
      <c r="S951" s="390"/>
      <c r="T951" s="389"/>
      <c r="U951" s="390"/>
      <c r="V951" s="212"/>
      <c r="W951" s="213"/>
      <c r="X951" s="255"/>
      <c r="Y951" s="256"/>
      <c r="Z951" s="257"/>
      <c r="AA951" s="194"/>
      <c r="AB951" s="195"/>
      <c r="AC951" s="162" t="s">
        <v>3000</v>
      </c>
      <c r="AD951" s="163"/>
      <c r="AE951" s="31" t="s">
        <v>848</v>
      </c>
      <c r="AF951" s="162" t="s">
        <v>2541</v>
      </c>
      <c r="AG951" s="170"/>
      <c r="AH951" s="163"/>
      <c r="AI951" s="272"/>
      <c r="AJ951" s="271"/>
      <c r="AK951" s="15"/>
      <c r="AL951" s="15"/>
    </row>
    <row r="952" spans="1:38" ht="75" x14ac:dyDescent="0.3">
      <c r="A952" s="179"/>
      <c r="B952" s="292"/>
      <c r="C952" s="314"/>
      <c r="D952" s="293"/>
      <c r="E952" s="19" t="s">
        <v>3003</v>
      </c>
      <c r="F952" s="162" t="s">
        <v>2997</v>
      </c>
      <c r="G952" s="170"/>
      <c r="H952" s="163"/>
      <c r="I952" s="239"/>
      <c r="J952" s="240"/>
      <c r="K952" s="479"/>
      <c r="L952" s="481"/>
      <c r="M952" s="349">
        <v>66</v>
      </c>
      <c r="N952" s="423"/>
      <c r="O952" s="350"/>
      <c r="P952" s="349">
        <v>5</v>
      </c>
      <c r="Q952" s="350"/>
      <c r="R952" s="349">
        <v>12</v>
      </c>
      <c r="S952" s="350"/>
      <c r="T952" s="349">
        <v>7</v>
      </c>
      <c r="U952" s="350"/>
      <c r="V952" s="351" t="s">
        <v>2999</v>
      </c>
      <c r="W952" s="352"/>
      <c r="X952" s="334">
        <v>120</v>
      </c>
      <c r="Y952" s="335"/>
      <c r="Z952" s="336"/>
      <c r="AA952" s="337" t="s">
        <v>1038</v>
      </c>
      <c r="AB952" s="338"/>
      <c r="AC952" s="162"/>
      <c r="AD952" s="163"/>
      <c r="AE952" s="31" t="s">
        <v>1356</v>
      </c>
      <c r="AF952" s="162"/>
      <c r="AG952" s="170"/>
      <c r="AH952" s="163"/>
      <c r="AI952" s="272"/>
      <c r="AJ952" s="48"/>
      <c r="AK952" s="15"/>
      <c r="AL952" s="15"/>
    </row>
    <row r="953" spans="1:38" ht="75" x14ac:dyDescent="0.3">
      <c r="A953" s="230"/>
      <c r="B953" s="290"/>
      <c r="C953" s="345"/>
      <c r="D953" s="291"/>
      <c r="E953" s="19" t="s">
        <v>3004</v>
      </c>
      <c r="F953" s="212"/>
      <c r="G953" s="408"/>
      <c r="H953" s="213"/>
      <c r="I953" s="225"/>
      <c r="J953" s="226"/>
      <c r="K953" s="479"/>
      <c r="L953" s="481"/>
      <c r="M953" s="349">
        <v>70</v>
      </c>
      <c r="N953" s="423"/>
      <c r="O953" s="350"/>
      <c r="P953" s="349">
        <v>5</v>
      </c>
      <c r="Q953" s="350"/>
      <c r="R953" s="349">
        <v>12</v>
      </c>
      <c r="S953" s="350"/>
      <c r="T953" s="349">
        <v>7</v>
      </c>
      <c r="U953" s="350"/>
      <c r="V953" s="351" t="s">
        <v>1328</v>
      </c>
      <c r="W953" s="352"/>
      <c r="X953" s="334">
        <v>129</v>
      </c>
      <c r="Y953" s="335"/>
      <c r="Z953" s="336"/>
      <c r="AA953" s="337" t="s">
        <v>1338</v>
      </c>
      <c r="AB953" s="338"/>
      <c r="AC953" s="212"/>
      <c r="AD953" s="213"/>
      <c r="AE953" s="31" t="s">
        <v>3002</v>
      </c>
      <c r="AF953" s="212"/>
      <c r="AG953" s="408"/>
      <c r="AH953" s="213"/>
      <c r="AI953" s="194"/>
      <c r="AJ953" s="48"/>
      <c r="AK953" s="15"/>
      <c r="AL953" s="15"/>
    </row>
    <row r="954" spans="1:38" ht="90" x14ac:dyDescent="0.25">
      <c r="A954" s="178"/>
      <c r="B954" s="303" t="s">
        <v>3005</v>
      </c>
      <c r="C954" s="344"/>
      <c r="D954" s="304"/>
      <c r="E954" s="66" t="s">
        <v>3006</v>
      </c>
      <c r="F954" s="233" t="s">
        <v>3007</v>
      </c>
      <c r="G954" s="305"/>
      <c r="H954" s="234"/>
      <c r="I954" s="233" t="s">
        <v>3008</v>
      </c>
      <c r="J954" s="234"/>
      <c r="K954" s="303" t="s">
        <v>3009</v>
      </c>
      <c r="L954" s="304"/>
      <c r="M954" s="387">
        <v>32</v>
      </c>
      <c r="N954" s="495"/>
      <c r="O954" s="388"/>
      <c r="P954" s="387">
        <v>2</v>
      </c>
      <c r="Q954" s="388"/>
      <c r="R954" s="387">
        <v>7</v>
      </c>
      <c r="S954" s="388"/>
      <c r="T954" s="387">
        <v>4</v>
      </c>
      <c r="U954" s="388"/>
      <c r="V954" s="171" t="s">
        <v>3010</v>
      </c>
      <c r="W954" s="172"/>
      <c r="X954" s="252">
        <v>69</v>
      </c>
      <c r="Y954" s="253"/>
      <c r="Z954" s="254"/>
      <c r="AA954" s="192" t="s">
        <v>758</v>
      </c>
      <c r="AB954" s="193"/>
      <c r="AC954" s="171" t="s">
        <v>675</v>
      </c>
      <c r="AD954" s="172"/>
      <c r="AE954" s="24" t="s">
        <v>3012</v>
      </c>
      <c r="AF954" s="303" t="s">
        <v>2540</v>
      </c>
      <c r="AG954" s="344"/>
      <c r="AH954" s="304"/>
      <c r="AI954" s="24" t="s">
        <v>3014</v>
      </c>
      <c r="AJ954" s="603"/>
      <c r="AK954" s="15"/>
      <c r="AL954" s="15"/>
    </row>
    <row r="955" spans="1:38" ht="120" x14ac:dyDescent="0.25">
      <c r="A955" s="179"/>
      <c r="B955" s="292"/>
      <c r="C955" s="314"/>
      <c r="D955" s="293"/>
      <c r="E955" s="67"/>
      <c r="F955" s="235"/>
      <c r="G955" s="270"/>
      <c r="H955" s="236"/>
      <c r="I955" s="235"/>
      <c r="J955" s="236"/>
      <c r="K955" s="292"/>
      <c r="L955" s="293"/>
      <c r="M955" s="389"/>
      <c r="N955" s="496"/>
      <c r="O955" s="390"/>
      <c r="P955" s="389"/>
      <c r="Q955" s="390"/>
      <c r="R955" s="389"/>
      <c r="S955" s="390"/>
      <c r="T955" s="389"/>
      <c r="U955" s="390"/>
      <c r="V955" s="212"/>
      <c r="W955" s="213"/>
      <c r="X955" s="255"/>
      <c r="Y955" s="256"/>
      <c r="Z955" s="257"/>
      <c r="AA955" s="194"/>
      <c r="AB955" s="195"/>
      <c r="AC955" s="162" t="s">
        <v>3011</v>
      </c>
      <c r="AD955" s="163"/>
      <c r="AE955" s="31" t="s">
        <v>848</v>
      </c>
      <c r="AF955" s="292" t="s">
        <v>2541</v>
      </c>
      <c r="AG955" s="314"/>
      <c r="AH955" s="293"/>
      <c r="AI955" s="31" t="s">
        <v>3015</v>
      </c>
      <c r="AJ955" s="603"/>
      <c r="AK955" s="15"/>
      <c r="AL955" s="15"/>
    </row>
    <row r="956" spans="1:38" ht="45" x14ac:dyDescent="0.25">
      <c r="A956" s="179"/>
      <c r="B956" s="292"/>
      <c r="C956" s="314"/>
      <c r="D956" s="293"/>
      <c r="E956" s="19" t="s">
        <v>3016</v>
      </c>
      <c r="F956" s="235"/>
      <c r="G956" s="270"/>
      <c r="H956" s="236"/>
      <c r="I956" s="235"/>
      <c r="J956" s="236"/>
      <c r="K956" s="292"/>
      <c r="L956" s="293"/>
      <c r="M956" s="349">
        <v>32</v>
      </c>
      <c r="N956" s="423"/>
      <c r="O956" s="350"/>
      <c r="P956" s="349">
        <v>2</v>
      </c>
      <c r="Q956" s="350"/>
      <c r="R956" s="349">
        <v>7</v>
      </c>
      <c r="S956" s="350"/>
      <c r="T956" s="349">
        <v>4</v>
      </c>
      <c r="U956" s="350"/>
      <c r="V956" s="351" t="s">
        <v>3010</v>
      </c>
      <c r="W956" s="352"/>
      <c r="X956" s="334">
        <v>69</v>
      </c>
      <c r="Y956" s="335"/>
      <c r="Z956" s="336"/>
      <c r="AA956" s="337" t="s">
        <v>758</v>
      </c>
      <c r="AB956" s="338"/>
      <c r="AC956" s="162"/>
      <c r="AD956" s="163"/>
      <c r="AE956" s="31" t="s">
        <v>1356</v>
      </c>
      <c r="AF956" s="292"/>
      <c r="AG956" s="314"/>
      <c r="AH956" s="293"/>
      <c r="AI956" s="31"/>
      <c r="AJ956" s="48"/>
      <c r="AK956" s="15"/>
      <c r="AL956" s="15"/>
    </row>
    <row r="957" spans="1:38" ht="60" x14ac:dyDescent="0.25">
      <c r="A957" s="230"/>
      <c r="B957" s="290"/>
      <c r="C957" s="345"/>
      <c r="D957" s="291"/>
      <c r="E957" s="19" t="s">
        <v>3017</v>
      </c>
      <c r="F957" s="237"/>
      <c r="G957" s="306"/>
      <c r="H957" s="238"/>
      <c r="I957" s="237"/>
      <c r="J957" s="238"/>
      <c r="K957" s="290"/>
      <c r="L957" s="291"/>
      <c r="M957" s="349">
        <v>37</v>
      </c>
      <c r="N957" s="423"/>
      <c r="O957" s="350"/>
      <c r="P957" s="349">
        <v>2</v>
      </c>
      <c r="Q957" s="350"/>
      <c r="R957" s="349">
        <v>7</v>
      </c>
      <c r="S957" s="350"/>
      <c r="T957" s="349">
        <v>4</v>
      </c>
      <c r="U957" s="350"/>
      <c r="V957" s="351" t="s">
        <v>3018</v>
      </c>
      <c r="W957" s="352"/>
      <c r="X957" s="334">
        <v>75</v>
      </c>
      <c r="Y957" s="335"/>
      <c r="Z957" s="336"/>
      <c r="AA957" s="337" t="s">
        <v>1452</v>
      </c>
      <c r="AB957" s="338"/>
      <c r="AC957" s="212"/>
      <c r="AD957" s="213"/>
      <c r="AE957" s="31" t="s">
        <v>3013</v>
      </c>
      <c r="AF957" s="290"/>
      <c r="AG957" s="345"/>
      <c r="AH957" s="291"/>
      <c r="AI957" s="31"/>
      <c r="AJ957" s="48"/>
      <c r="AK957" s="15"/>
      <c r="AL957" s="15"/>
    </row>
    <row r="958" spans="1:38" ht="105" x14ac:dyDescent="0.25">
      <c r="A958" s="178"/>
      <c r="B958" s="303" t="s">
        <v>3019</v>
      </c>
      <c r="C958" s="344"/>
      <c r="D958" s="304"/>
      <c r="E958" s="28" t="s">
        <v>3020</v>
      </c>
      <c r="F958" s="192" t="s">
        <v>3021</v>
      </c>
      <c r="G958" s="196"/>
      <c r="H958" s="193"/>
      <c r="I958" s="223" t="s">
        <v>2804</v>
      </c>
      <c r="J958" s="224"/>
      <c r="K958" s="164"/>
      <c r="L958" s="166"/>
      <c r="M958" s="387">
        <v>54</v>
      </c>
      <c r="N958" s="495"/>
      <c r="O958" s="388"/>
      <c r="P958" s="387">
        <v>5</v>
      </c>
      <c r="Q958" s="388"/>
      <c r="R958" s="387">
        <v>15</v>
      </c>
      <c r="S958" s="388"/>
      <c r="T958" s="387">
        <v>9</v>
      </c>
      <c r="U958" s="388"/>
      <c r="V958" s="171" t="s">
        <v>1138</v>
      </c>
      <c r="W958" s="172"/>
      <c r="X958" s="252">
        <v>105</v>
      </c>
      <c r="Y958" s="253"/>
      <c r="Z958" s="254"/>
      <c r="AA958" s="192" t="s">
        <v>901</v>
      </c>
      <c r="AB958" s="193"/>
      <c r="AC958" s="171" t="s">
        <v>675</v>
      </c>
      <c r="AD958" s="172"/>
      <c r="AE958" s="24" t="s">
        <v>3024</v>
      </c>
      <c r="AF958" s="303" t="s">
        <v>2540</v>
      </c>
      <c r="AG958" s="344"/>
      <c r="AH958" s="304"/>
      <c r="AI958" s="164"/>
      <c r="AJ958" s="48"/>
      <c r="AK958" s="15"/>
      <c r="AL958" s="15"/>
    </row>
    <row r="959" spans="1:38" ht="105" x14ac:dyDescent="0.25">
      <c r="A959" s="179"/>
      <c r="B959" s="292"/>
      <c r="C959" s="314"/>
      <c r="D959" s="293"/>
      <c r="E959" s="28" t="s">
        <v>3026</v>
      </c>
      <c r="F959" s="272"/>
      <c r="G959" s="282"/>
      <c r="H959" s="273"/>
      <c r="I959" s="239"/>
      <c r="J959" s="240"/>
      <c r="K959" s="167"/>
      <c r="L959" s="169"/>
      <c r="M959" s="506"/>
      <c r="N959" s="602"/>
      <c r="O959" s="507"/>
      <c r="P959" s="506"/>
      <c r="Q959" s="507"/>
      <c r="R959" s="506"/>
      <c r="S959" s="507"/>
      <c r="T959" s="506"/>
      <c r="U959" s="507"/>
      <c r="V959" s="162"/>
      <c r="W959" s="163"/>
      <c r="X959" s="311"/>
      <c r="Y959" s="312"/>
      <c r="Z959" s="313"/>
      <c r="AA959" s="272"/>
      <c r="AB959" s="273"/>
      <c r="AC959" s="162" t="s">
        <v>3022</v>
      </c>
      <c r="AD959" s="163"/>
      <c r="AE959" s="31" t="s">
        <v>1356</v>
      </c>
      <c r="AF959" s="292" t="s">
        <v>2541</v>
      </c>
      <c r="AG959" s="314"/>
      <c r="AH959" s="293"/>
      <c r="AI959" s="167"/>
      <c r="AJ959" s="48"/>
      <c r="AK959" s="15"/>
      <c r="AL959" s="15"/>
    </row>
    <row r="960" spans="1:38" ht="90" x14ac:dyDescent="0.25">
      <c r="A960" s="179"/>
      <c r="B960" s="292"/>
      <c r="C960" s="314"/>
      <c r="D960" s="293"/>
      <c r="E960" s="28" t="s">
        <v>3027</v>
      </c>
      <c r="F960" s="194"/>
      <c r="G960" s="197"/>
      <c r="H960" s="195"/>
      <c r="I960" s="225"/>
      <c r="J960" s="226"/>
      <c r="K960" s="214"/>
      <c r="L960" s="216"/>
      <c r="M960" s="389"/>
      <c r="N960" s="496"/>
      <c r="O960" s="390"/>
      <c r="P960" s="389"/>
      <c r="Q960" s="390"/>
      <c r="R960" s="389"/>
      <c r="S960" s="390"/>
      <c r="T960" s="389"/>
      <c r="U960" s="390"/>
      <c r="V960" s="212"/>
      <c r="W960" s="213"/>
      <c r="X960" s="255"/>
      <c r="Y960" s="256"/>
      <c r="Z960" s="257"/>
      <c r="AA960" s="194"/>
      <c r="AB960" s="195"/>
      <c r="AC960" s="162" t="s">
        <v>2211</v>
      </c>
      <c r="AD960" s="163"/>
      <c r="AE960" s="31" t="s">
        <v>3025</v>
      </c>
      <c r="AF960" s="292"/>
      <c r="AG960" s="314"/>
      <c r="AH960" s="293"/>
      <c r="AI960" s="167"/>
      <c r="AJ960" s="48"/>
      <c r="AK960" s="15"/>
      <c r="AL960" s="15"/>
    </row>
    <row r="961" spans="1:38" ht="105" x14ac:dyDescent="0.25">
      <c r="A961" s="179"/>
      <c r="B961" s="292"/>
      <c r="C961" s="314"/>
      <c r="D961" s="293"/>
      <c r="E961" s="28" t="s">
        <v>3028</v>
      </c>
      <c r="F961" s="192" t="s">
        <v>3029</v>
      </c>
      <c r="G961" s="196"/>
      <c r="H961" s="193"/>
      <c r="I961" s="223" t="s">
        <v>2829</v>
      </c>
      <c r="J961" s="224"/>
      <c r="K961" s="164"/>
      <c r="L961" s="166"/>
      <c r="M961" s="387">
        <v>65</v>
      </c>
      <c r="N961" s="495"/>
      <c r="O961" s="388"/>
      <c r="P961" s="387">
        <v>6</v>
      </c>
      <c r="Q961" s="388"/>
      <c r="R961" s="387">
        <v>18</v>
      </c>
      <c r="S961" s="388"/>
      <c r="T961" s="387">
        <v>10</v>
      </c>
      <c r="U961" s="388"/>
      <c r="V961" s="171" t="s">
        <v>3030</v>
      </c>
      <c r="W961" s="172"/>
      <c r="X961" s="252">
        <v>120</v>
      </c>
      <c r="Y961" s="253"/>
      <c r="Z961" s="254"/>
      <c r="AA961" s="192" t="s">
        <v>1985</v>
      </c>
      <c r="AB961" s="193"/>
      <c r="AC961" s="162" t="s">
        <v>3023</v>
      </c>
      <c r="AD961" s="163"/>
      <c r="AE961" s="31"/>
      <c r="AF961" s="292"/>
      <c r="AG961" s="314"/>
      <c r="AH961" s="293"/>
      <c r="AI961" s="167"/>
      <c r="AJ961" s="48"/>
      <c r="AK961" s="15"/>
      <c r="AL961" s="15"/>
    </row>
    <row r="962" spans="1:38" ht="105" x14ac:dyDescent="0.25">
      <c r="A962" s="179"/>
      <c r="B962" s="292"/>
      <c r="C962" s="314"/>
      <c r="D962" s="293"/>
      <c r="E962" s="28" t="s">
        <v>3031</v>
      </c>
      <c r="F962" s="272"/>
      <c r="G962" s="282"/>
      <c r="H962" s="273"/>
      <c r="I962" s="239"/>
      <c r="J962" s="240"/>
      <c r="K962" s="167"/>
      <c r="L962" s="169"/>
      <c r="M962" s="506"/>
      <c r="N962" s="602"/>
      <c r="O962" s="507"/>
      <c r="P962" s="506"/>
      <c r="Q962" s="507"/>
      <c r="R962" s="506"/>
      <c r="S962" s="507"/>
      <c r="T962" s="506"/>
      <c r="U962" s="507"/>
      <c r="V962" s="162"/>
      <c r="W962" s="163"/>
      <c r="X962" s="311"/>
      <c r="Y962" s="312"/>
      <c r="Z962" s="313"/>
      <c r="AA962" s="272"/>
      <c r="AB962" s="273"/>
      <c r="AC962" s="162"/>
      <c r="AD962" s="163"/>
      <c r="AE962" s="31"/>
      <c r="AF962" s="292"/>
      <c r="AG962" s="314"/>
      <c r="AH962" s="293"/>
      <c r="AI962" s="167"/>
      <c r="AJ962" s="48"/>
      <c r="AK962" s="15"/>
      <c r="AL962" s="15"/>
    </row>
    <row r="963" spans="1:38" ht="105" x14ac:dyDescent="0.25">
      <c r="A963" s="179"/>
      <c r="B963" s="292"/>
      <c r="C963" s="314"/>
      <c r="D963" s="293"/>
      <c r="E963" s="19" t="s">
        <v>3032</v>
      </c>
      <c r="F963" s="194"/>
      <c r="G963" s="197"/>
      <c r="H963" s="195"/>
      <c r="I963" s="225"/>
      <c r="J963" s="226"/>
      <c r="K963" s="214"/>
      <c r="L963" s="216"/>
      <c r="M963" s="389"/>
      <c r="N963" s="496"/>
      <c r="O963" s="390"/>
      <c r="P963" s="389"/>
      <c r="Q963" s="390"/>
      <c r="R963" s="389"/>
      <c r="S963" s="390"/>
      <c r="T963" s="389"/>
      <c r="U963" s="390"/>
      <c r="V963" s="212"/>
      <c r="W963" s="213"/>
      <c r="X963" s="255"/>
      <c r="Y963" s="256"/>
      <c r="Z963" s="257"/>
      <c r="AA963" s="194"/>
      <c r="AB963" s="195"/>
      <c r="AC963" s="162"/>
      <c r="AD963" s="163"/>
      <c r="AE963" s="31"/>
      <c r="AF963" s="292"/>
      <c r="AG963" s="314"/>
      <c r="AH963" s="293"/>
      <c r="AI963" s="167"/>
      <c r="AJ963" s="48"/>
      <c r="AK963" s="15"/>
      <c r="AL963" s="15"/>
    </row>
    <row r="964" spans="1:38" ht="90" x14ac:dyDescent="0.25">
      <c r="A964" s="179"/>
      <c r="B964" s="292"/>
      <c r="C964" s="314"/>
      <c r="D964" s="293"/>
      <c r="E964" s="28" t="s">
        <v>3033</v>
      </c>
      <c r="F964" s="192" t="s">
        <v>3034</v>
      </c>
      <c r="G964" s="196"/>
      <c r="H964" s="193"/>
      <c r="I964" s="223" t="s">
        <v>1213</v>
      </c>
      <c r="J964" s="224"/>
      <c r="K964" s="164"/>
      <c r="L964" s="166"/>
      <c r="M964" s="387">
        <v>76</v>
      </c>
      <c r="N964" s="495"/>
      <c r="O964" s="388"/>
      <c r="P964" s="387">
        <v>8</v>
      </c>
      <c r="Q964" s="388"/>
      <c r="R964" s="387">
        <v>22</v>
      </c>
      <c r="S964" s="388"/>
      <c r="T964" s="387">
        <v>12</v>
      </c>
      <c r="U964" s="388"/>
      <c r="V964" s="171" t="s">
        <v>2434</v>
      </c>
      <c r="W964" s="172"/>
      <c r="X964" s="252">
        <v>149</v>
      </c>
      <c r="Y964" s="253"/>
      <c r="Z964" s="254"/>
      <c r="AA964" s="192" t="s">
        <v>901</v>
      </c>
      <c r="AB964" s="193"/>
      <c r="AC964" s="162"/>
      <c r="AD964" s="163"/>
      <c r="AE964" s="31"/>
      <c r="AF964" s="292"/>
      <c r="AG964" s="314"/>
      <c r="AH964" s="293"/>
      <c r="AI964" s="167"/>
      <c r="AJ964" s="48"/>
      <c r="AK964" s="15"/>
      <c r="AL964" s="15"/>
    </row>
    <row r="965" spans="1:38" ht="90" x14ac:dyDescent="0.25">
      <c r="A965" s="179"/>
      <c r="B965" s="292"/>
      <c r="C965" s="314"/>
      <c r="D965" s="293"/>
      <c r="E965" s="28" t="s">
        <v>3035</v>
      </c>
      <c r="F965" s="272"/>
      <c r="G965" s="282"/>
      <c r="H965" s="273"/>
      <c r="I965" s="239"/>
      <c r="J965" s="240"/>
      <c r="K965" s="167"/>
      <c r="L965" s="169"/>
      <c r="M965" s="506"/>
      <c r="N965" s="602"/>
      <c r="O965" s="507"/>
      <c r="P965" s="506"/>
      <c r="Q965" s="507"/>
      <c r="R965" s="506"/>
      <c r="S965" s="507"/>
      <c r="T965" s="506"/>
      <c r="U965" s="507"/>
      <c r="V965" s="162"/>
      <c r="W965" s="163"/>
      <c r="X965" s="311"/>
      <c r="Y965" s="312"/>
      <c r="Z965" s="313"/>
      <c r="AA965" s="272"/>
      <c r="AB965" s="273"/>
      <c r="AC965" s="162"/>
      <c r="AD965" s="163"/>
      <c r="AE965" s="31"/>
      <c r="AF965" s="292"/>
      <c r="AG965" s="314"/>
      <c r="AH965" s="293"/>
      <c r="AI965" s="167"/>
      <c r="AJ965" s="48"/>
      <c r="AK965" s="15"/>
      <c r="AL965" s="15"/>
    </row>
    <row r="966" spans="1:38" ht="90" x14ac:dyDescent="0.25">
      <c r="A966" s="230"/>
      <c r="B966" s="290"/>
      <c r="C966" s="345"/>
      <c r="D966" s="291"/>
      <c r="E966" s="28" t="s">
        <v>3036</v>
      </c>
      <c r="F966" s="194"/>
      <c r="G966" s="197"/>
      <c r="H966" s="195"/>
      <c r="I966" s="225"/>
      <c r="J966" s="226"/>
      <c r="K966" s="214"/>
      <c r="L966" s="216"/>
      <c r="M966" s="389"/>
      <c r="N966" s="496"/>
      <c r="O966" s="390"/>
      <c r="P966" s="389"/>
      <c r="Q966" s="390"/>
      <c r="R966" s="389"/>
      <c r="S966" s="390"/>
      <c r="T966" s="389"/>
      <c r="U966" s="390"/>
      <c r="V966" s="212"/>
      <c r="W966" s="213"/>
      <c r="X966" s="255"/>
      <c r="Y966" s="256"/>
      <c r="Z966" s="257"/>
      <c r="AA966" s="194"/>
      <c r="AB966" s="195"/>
      <c r="AC966" s="212"/>
      <c r="AD966" s="213"/>
      <c r="AE966" s="31"/>
      <c r="AF966" s="290"/>
      <c r="AG966" s="345"/>
      <c r="AH966" s="291"/>
      <c r="AI966" s="167"/>
      <c r="AJ966" s="48"/>
      <c r="AK966" s="15"/>
      <c r="AL966" s="15"/>
    </row>
    <row r="967" spans="1:38" ht="105" x14ac:dyDescent="0.3">
      <c r="A967" s="178"/>
      <c r="B967" s="303" t="s">
        <v>3037</v>
      </c>
      <c r="C967" s="344"/>
      <c r="D967" s="304"/>
      <c r="E967" s="19" t="s">
        <v>3038</v>
      </c>
      <c r="F967" s="192" t="s">
        <v>3039</v>
      </c>
      <c r="G967" s="196"/>
      <c r="H967" s="193"/>
      <c r="I967" s="192" t="s">
        <v>3040</v>
      </c>
      <c r="J967" s="193"/>
      <c r="K967" s="164"/>
      <c r="L967" s="166"/>
      <c r="M967" s="387">
        <v>22</v>
      </c>
      <c r="N967" s="495"/>
      <c r="O967" s="388"/>
      <c r="P967" s="171" t="s">
        <v>922</v>
      </c>
      <c r="Q967" s="172"/>
      <c r="R967" s="387">
        <v>5</v>
      </c>
      <c r="S967" s="388"/>
      <c r="T967" s="387">
        <v>3</v>
      </c>
      <c r="U967" s="388"/>
      <c r="V967" s="171" t="s">
        <v>912</v>
      </c>
      <c r="W967" s="172"/>
      <c r="X967" s="252">
        <v>39</v>
      </c>
      <c r="Y967" s="253"/>
      <c r="Z967" s="254"/>
      <c r="AA967" s="192" t="s">
        <v>1174</v>
      </c>
      <c r="AB967" s="193"/>
      <c r="AC967" s="171" t="s">
        <v>675</v>
      </c>
      <c r="AD967" s="172"/>
      <c r="AE967" s="24" t="s">
        <v>3043</v>
      </c>
      <c r="AF967" s="164"/>
      <c r="AG967" s="165"/>
      <c r="AH967" s="166"/>
      <c r="AI967" s="167"/>
      <c r="AJ967" s="48"/>
      <c r="AK967" s="15"/>
      <c r="AL967" s="15"/>
    </row>
    <row r="968" spans="1:38" ht="105" x14ac:dyDescent="0.3">
      <c r="A968" s="179"/>
      <c r="B968" s="292"/>
      <c r="C968" s="314"/>
      <c r="D968" s="293"/>
      <c r="E968" s="19" t="s">
        <v>3045</v>
      </c>
      <c r="F968" s="194"/>
      <c r="G968" s="197"/>
      <c r="H968" s="195"/>
      <c r="I968" s="194"/>
      <c r="J968" s="195"/>
      <c r="K968" s="214"/>
      <c r="L968" s="216"/>
      <c r="M968" s="389"/>
      <c r="N968" s="496"/>
      <c r="O968" s="390"/>
      <c r="P968" s="212"/>
      <c r="Q968" s="213"/>
      <c r="R968" s="389"/>
      <c r="S968" s="390"/>
      <c r="T968" s="389"/>
      <c r="U968" s="390"/>
      <c r="V968" s="212"/>
      <c r="W968" s="213"/>
      <c r="X968" s="255"/>
      <c r="Y968" s="256"/>
      <c r="Z968" s="257"/>
      <c r="AA968" s="194"/>
      <c r="AB968" s="195"/>
      <c r="AC968" s="162" t="s">
        <v>3041</v>
      </c>
      <c r="AD968" s="163"/>
      <c r="AE968" s="31" t="s">
        <v>1356</v>
      </c>
      <c r="AF968" s="167"/>
      <c r="AG968" s="168"/>
      <c r="AH968" s="169"/>
      <c r="AI968" s="167"/>
      <c r="AJ968" s="48"/>
      <c r="AK968" s="15"/>
      <c r="AL968" s="15"/>
    </row>
    <row r="969" spans="1:38" ht="105" x14ac:dyDescent="0.3">
      <c r="A969" s="179"/>
      <c r="B969" s="292"/>
      <c r="C969" s="314"/>
      <c r="D969" s="293"/>
      <c r="E969" s="19" t="s">
        <v>3046</v>
      </c>
      <c r="F969" s="192" t="s">
        <v>3039</v>
      </c>
      <c r="G969" s="196"/>
      <c r="H969" s="193"/>
      <c r="I969" s="192" t="s">
        <v>3047</v>
      </c>
      <c r="J969" s="193"/>
      <c r="K969" s="164"/>
      <c r="L969" s="166"/>
      <c r="M969" s="387">
        <v>24</v>
      </c>
      <c r="N969" s="495"/>
      <c r="O969" s="388"/>
      <c r="P969" s="171" t="s">
        <v>922</v>
      </c>
      <c r="Q969" s="172"/>
      <c r="R969" s="387">
        <v>5</v>
      </c>
      <c r="S969" s="388"/>
      <c r="T969" s="387">
        <v>3</v>
      </c>
      <c r="U969" s="388"/>
      <c r="V969" s="171" t="s">
        <v>2373</v>
      </c>
      <c r="W969" s="172"/>
      <c r="X969" s="252">
        <v>42</v>
      </c>
      <c r="Y969" s="253"/>
      <c r="Z969" s="254"/>
      <c r="AA969" s="192" t="s">
        <v>1364</v>
      </c>
      <c r="AB969" s="193"/>
      <c r="AC969" s="162" t="s">
        <v>3042</v>
      </c>
      <c r="AD969" s="163"/>
      <c r="AE969" s="31" t="s">
        <v>3044</v>
      </c>
      <c r="AF969" s="167"/>
      <c r="AG969" s="168"/>
      <c r="AH969" s="169"/>
      <c r="AI969" s="167"/>
      <c r="AJ969" s="48"/>
      <c r="AK969" s="15"/>
      <c r="AL969" s="15"/>
    </row>
    <row r="970" spans="1:38" ht="105" x14ac:dyDescent="0.3">
      <c r="A970" s="230"/>
      <c r="B970" s="290"/>
      <c r="C970" s="345"/>
      <c r="D970" s="291"/>
      <c r="E970" s="19" t="s">
        <v>3048</v>
      </c>
      <c r="F970" s="194"/>
      <c r="G970" s="197"/>
      <c r="H970" s="195"/>
      <c r="I970" s="194"/>
      <c r="J970" s="195"/>
      <c r="K970" s="214"/>
      <c r="L970" s="216"/>
      <c r="M970" s="389"/>
      <c r="N970" s="496"/>
      <c r="O970" s="390"/>
      <c r="P970" s="212"/>
      <c r="Q970" s="213"/>
      <c r="R970" s="389"/>
      <c r="S970" s="390"/>
      <c r="T970" s="389"/>
      <c r="U970" s="390"/>
      <c r="V970" s="212"/>
      <c r="W970" s="213"/>
      <c r="X970" s="255"/>
      <c r="Y970" s="256"/>
      <c r="Z970" s="257"/>
      <c r="AA970" s="194"/>
      <c r="AB970" s="195"/>
      <c r="AC970" s="212"/>
      <c r="AD970" s="213"/>
      <c r="AE970" s="31"/>
      <c r="AF970" s="214"/>
      <c r="AG970" s="215"/>
      <c r="AH970" s="216"/>
      <c r="AI970" s="167"/>
      <c r="AJ970" s="48"/>
      <c r="AK970" s="15"/>
      <c r="AL970" s="15"/>
    </row>
    <row r="971" spans="1:38" ht="90" x14ac:dyDescent="0.25">
      <c r="A971" s="178"/>
      <c r="B971" s="303" t="s">
        <v>3049</v>
      </c>
      <c r="C971" s="344"/>
      <c r="D971" s="304"/>
      <c r="E971" s="19" t="s">
        <v>3050</v>
      </c>
      <c r="F971" s="303" t="s">
        <v>3051</v>
      </c>
      <c r="G971" s="344"/>
      <c r="H971" s="304"/>
      <c r="I971" s="409" t="s">
        <v>1243</v>
      </c>
      <c r="J971" s="411"/>
      <c r="K971" s="164"/>
      <c r="L971" s="166"/>
      <c r="M971" s="303" t="s">
        <v>3052</v>
      </c>
      <c r="N971" s="344"/>
      <c r="O971" s="304"/>
      <c r="P971" s="328">
        <v>3</v>
      </c>
      <c r="Q971" s="329"/>
      <c r="R971" s="303" t="s">
        <v>729</v>
      </c>
      <c r="S971" s="304"/>
      <c r="T971" s="328">
        <v>7</v>
      </c>
      <c r="U971" s="329"/>
      <c r="V971" s="303" t="s">
        <v>3053</v>
      </c>
      <c r="W971" s="304"/>
      <c r="X971" s="294">
        <v>99</v>
      </c>
      <c r="Y971" s="295"/>
      <c r="Z971" s="296"/>
      <c r="AA971" s="233" t="s">
        <v>989</v>
      </c>
      <c r="AB971" s="234"/>
      <c r="AC971" s="409" t="s">
        <v>675</v>
      </c>
      <c r="AD971" s="411"/>
      <c r="AE971" s="35" t="s">
        <v>3056</v>
      </c>
      <c r="AF971" s="303" t="s">
        <v>3058</v>
      </c>
      <c r="AG971" s="344"/>
      <c r="AH971" s="304"/>
      <c r="AI971" s="167"/>
      <c r="AJ971" s="48"/>
      <c r="AK971" s="15"/>
      <c r="AL971" s="15"/>
    </row>
    <row r="972" spans="1:38" ht="90" x14ac:dyDescent="0.25">
      <c r="A972" s="179"/>
      <c r="B972" s="292"/>
      <c r="C972" s="314"/>
      <c r="D972" s="293"/>
      <c r="E972" s="19" t="s">
        <v>3059</v>
      </c>
      <c r="F972" s="290"/>
      <c r="G972" s="345"/>
      <c r="H972" s="291"/>
      <c r="I972" s="404"/>
      <c r="J972" s="406"/>
      <c r="K972" s="214"/>
      <c r="L972" s="216"/>
      <c r="M972" s="290"/>
      <c r="N972" s="345"/>
      <c r="O972" s="291"/>
      <c r="P972" s="519"/>
      <c r="Q972" s="520"/>
      <c r="R972" s="290"/>
      <c r="S972" s="291"/>
      <c r="T972" s="519"/>
      <c r="U972" s="520"/>
      <c r="V972" s="290"/>
      <c r="W972" s="291"/>
      <c r="X972" s="300"/>
      <c r="Y972" s="301"/>
      <c r="Z972" s="302"/>
      <c r="AA972" s="237"/>
      <c r="AB972" s="238"/>
      <c r="AC972" s="401" t="s">
        <v>3054</v>
      </c>
      <c r="AD972" s="403"/>
      <c r="AE972" s="36" t="s">
        <v>1356</v>
      </c>
      <c r="AF972" s="292" t="s">
        <v>2541</v>
      </c>
      <c r="AG972" s="314"/>
      <c r="AH972" s="293"/>
      <c r="AI972" s="167"/>
      <c r="AJ972" s="48"/>
      <c r="AK972" s="15"/>
      <c r="AL972" s="15"/>
    </row>
    <row r="973" spans="1:38" ht="90" x14ac:dyDescent="0.25">
      <c r="A973" s="179"/>
      <c r="B973" s="292"/>
      <c r="C973" s="314"/>
      <c r="D973" s="293"/>
      <c r="E973" s="19" t="s">
        <v>3060</v>
      </c>
      <c r="F973" s="233" t="s">
        <v>3061</v>
      </c>
      <c r="G973" s="305"/>
      <c r="H973" s="234"/>
      <c r="I973" s="233" t="s">
        <v>3062</v>
      </c>
      <c r="J973" s="234"/>
      <c r="K973" s="164"/>
      <c r="L973" s="166"/>
      <c r="M973" s="303" t="s">
        <v>3063</v>
      </c>
      <c r="N973" s="344"/>
      <c r="O973" s="304"/>
      <c r="P973" s="303" t="s">
        <v>1127</v>
      </c>
      <c r="Q973" s="304"/>
      <c r="R973" s="328">
        <v>15</v>
      </c>
      <c r="S973" s="329"/>
      <c r="T973" s="328">
        <v>8</v>
      </c>
      <c r="U973" s="329"/>
      <c r="V973" s="303" t="s">
        <v>3064</v>
      </c>
      <c r="W973" s="304"/>
      <c r="X973" s="294">
        <v>129</v>
      </c>
      <c r="Y973" s="295"/>
      <c r="Z973" s="296"/>
      <c r="AA973" s="233" t="s">
        <v>1854</v>
      </c>
      <c r="AB973" s="234"/>
      <c r="AC973" s="401" t="s">
        <v>2211</v>
      </c>
      <c r="AD973" s="403"/>
      <c r="AE973" s="36" t="s">
        <v>3057</v>
      </c>
      <c r="AF973" s="292"/>
      <c r="AG973" s="314"/>
      <c r="AH973" s="293"/>
      <c r="AI973" s="167"/>
      <c r="AJ973" s="48"/>
      <c r="AK973" s="15"/>
      <c r="AL973" s="15"/>
    </row>
    <row r="974" spans="1:38" ht="105" x14ac:dyDescent="0.25">
      <c r="A974" s="179"/>
      <c r="B974" s="292"/>
      <c r="C974" s="314"/>
      <c r="D974" s="293"/>
      <c r="E974" s="19" t="s">
        <v>3065</v>
      </c>
      <c r="F974" s="237"/>
      <c r="G974" s="306"/>
      <c r="H974" s="238"/>
      <c r="I974" s="237"/>
      <c r="J974" s="238"/>
      <c r="K974" s="214"/>
      <c r="L974" s="216"/>
      <c r="M974" s="290"/>
      <c r="N974" s="345"/>
      <c r="O974" s="291"/>
      <c r="P974" s="290"/>
      <c r="Q974" s="291"/>
      <c r="R974" s="519"/>
      <c r="S974" s="520"/>
      <c r="T974" s="519"/>
      <c r="U974" s="520"/>
      <c r="V974" s="290"/>
      <c r="W974" s="291"/>
      <c r="X974" s="300"/>
      <c r="Y974" s="301"/>
      <c r="Z974" s="302"/>
      <c r="AA974" s="237"/>
      <c r="AB974" s="238"/>
      <c r="AC974" s="401" t="s">
        <v>3055</v>
      </c>
      <c r="AD974" s="403"/>
      <c r="AE974" s="36"/>
      <c r="AF974" s="292"/>
      <c r="AG974" s="314"/>
      <c r="AH974" s="293"/>
      <c r="AI974" s="167"/>
      <c r="AJ974" s="48"/>
      <c r="AK974" s="15"/>
      <c r="AL974" s="15"/>
    </row>
    <row r="975" spans="1:38" ht="90" x14ac:dyDescent="0.25">
      <c r="A975" s="179"/>
      <c r="B975" s="292"/>
      <c r="C975" s="314"/>
      <c r="D975" s="293"/>
      <c r="E975" s="19" t="s">
        <v>3066</v>
      </c>
      <c r="F975" s="233" t="s">
        <v>3061</v>
      </c>
      <c r="G975" s="305"/>
      <c r="H975" s="234"/>
      <c r="I975" s="233" t="s">
        <v>3062</v>
      </c>
      <c r="J975" s="234"/>
      <c r="K975" s="164"/>
      <c r="L975" s="166"/>
      <c r="M975" s="303" t="s">
        <v>3067</v>
      </c>
      <c r="N975" s="344"/>
      <c r="O975" s="304"/>
      <c r="P975" s="303" t="s">
        <v>1127</v>
      </c>
      <c r="Q975" s="304"/>
      <c r="R975" s="328">
        <v>15</v>
      </c>
      <c r="S975" s="329"/>
      <c r="T975" s="328">
        <v>8</v>
      </c>
      <c r="U975" s="329"/>
      <c r="V975" s="303" t="s">
        <v>3068</v>
      </c>
      <c r="W975" s="304"/>
      <c r="X975" s="294">
        <v>129</v>
      </c>
      <c r="Y975" s="295"/>
      <c r="Z975" s="296"/>
      <c r="AA975" s="233" t="s">
        <v>1261</v>
      </c>
      <c r="AB975" s="234"/>
      <c r="AC975" s="401"/>
      <c r="AD975" s="403"/>
      <c r="AE975" s="36"/>
      <c r="AF975" s="292"/>
      <c r="AG975" s="314"/>
      <c r="AH975" s="293"/>
      <c r="AI975" s="167"/>
      <c r="AJ975" s="48"/>
      <c r="AK975" s="15"/>
      <c r="AL975" s="15"/>
    </row>
    <row r="976" spans="1:38" ht="105" x14ac:dyDescent="0.25">
      <c r="A976" s="179"/>
      <c r="B976" s="292"/>
      <c r="C976" s="314"/>
      <c r="D976" s="293"/>
      <c r="E976" s="19" t="s">
        <v>3069</v>
      </c>
      <c r="F976" s="237"/>
      <c r="G976" s="306"/>
      <c r="H976" s="238"/>
      <c r="I976" s="237"/>
      <c r="J976" s="238"/>
      <c r="K976" s="214"/>
      <c r="L976" s="216"/>
      <c r="M976" s="290"/>
      <c r="N976" s="345"/>
      <c r="O976" s="291"/>
      <c r="P976" s="290"/>
      <c r="Q976" s="291"/>
      <c r="R976" s="519"/>
      <c r="S976" s="520"/>
      <c r="T976" s="519"/>
      <c r="U976" s="520"/>
      <c r="V976" s="290"/>
      <c r="W976" s="291"/>
      <c r="X976" s="300"/>
      <c r="Y976" s="301"/>
      <c r="Z976" s="302"/>
      <c r="AA976" s="237"/>
      <c r="AB976" s="238"/>
      <c r="AC976" s="401"/>
      <c r="AD976" s="403"/>
      <c r="AE976" s="36"/>
      <c r="AF976" s="292"/>
      <c r="AG976" s="314"/>
      <c r="AH976" s="293"/>
      <c r="AI976" s="167"/>
      <c r="AJ976" s="48"/>
      <c r="AK976" s="15"/>
      <c r="AL976" s="15"/>
    </row>
    <row r="977" spans="1:38" ht="90" x14ac:dyDescent="0.25">
      <c r="A977" s="179"/>
      <c r="B977" s="292"/>
      <c r="C977" s="314"/>
      <c r="D977" s="293"/>
      <c r="E977" s="19" t="s">
        <v>3070</v>
      </c>
      <c r="F977" s="233" t="s">
        <v>3071</v>
      </c>
      <c r="G977" s="305"/>
      <c r="H977" s="234"/>
      <c r="I977" s="233" t="s">
        <v>3072</v>
      </c>
      <c r="J977" s="234"/>
      <c r="K977" s="164"/>
      <c r="L977" s="166"/>
      <c r="M977" s="303" t="s">
        <v>3073</v>
      </c>
      <c r="N977" s="344"/>
      <c r="O977" s="304"/>
      <c r="P977" s="328">
        <v>7</v>
      </c>
      <c r="Q977" s="329"/>
      <c r="R977" s="328">
        <v>20</v>
      </c>
      <c r="S977" s="329"/>
      <c r="T977" s="328">
        <v>10</v>
      </c>
      <c r="U977" s="329"/>
      <c r="V977" s="303" t="s">
        <v>2984</v>
      </c>
      <c r="W977" s="304"/>
      <c r="X977" s="294">
        <v>179</v>
      </c>
      <c r="Y977" s="295"/>
      <c r="Z977" s="296"/>
      <c r="AA977" s="233" t="s">
        <v>1739</v>
      </c>
      <c r="AB977" s="234"/>
      <c r="AC977" s="401"/>
      <c r="AD977" s="403"/>
      <c r="AE977" s="36"/>
      <c r="AF977" s="292"/>
      <c r="AG977" s="314"/>
      <c r="AH977" s="293"/>
      <c r="AI977" s="167"/>
      <c r="AJ977" s="48"/>
      <c r="AK977" s="15"/>
      <c r="AL977" s="15"/>
    </row>
    <row r="978" spans="1:38" ht="90" x14ac:dyDescent="0.25">
      <c r="A978" s="179"/>
      <c r="B978" s="292"/>
      <c r="C978" s="314"/>
      <c r="D978" s="293"/>
      <c r="E978" s="19" t="s">
        <v>3074</v>
      </c>
      <c r="F978" s="237"/>
      <c r="G978" s="306"/>
      <c r="H978" s="238"/>
      <c r="I978" s="237"/>
      <c r="J978" s="238"/>
      <c r="K978" s="214"/>
      <c r="L978" s="216"/>
      <c r="M978" s="290"/>
      <c r="N978" s="345"/>
      <c r="O978" s="291"/>
      <c r="P978" s="519"/>
      <c r="Q978" s="520"/>
      <c r="R978" s="519"/>
      <c r="S978" s="520"/>
      <c r="T978" s="519"/>
      <c r="U978" s="520"/>
      <c r="V978" s="290"/>
      <c r="W978" s="291"/>
      <c r="X978" s="300"/>
      <c r="Y978" s="301"/>
      <c r="Z978" s="302"/>
      <c r="AA978" s="237"/>
      <c r="AB978" s="238"/>
      <c r="AC978" s="401"/>
      <c r="AD978" s="403"/>
      <c r="AE978" s="36"/>
      <c r="AF978" s="292"/>
      <c r="AG978" s="314"/>
      <c r="AH978" s="293"/>
      <c r="AI978" s="167"/>
      <c r="AJ978" s="48"/>
      <c r="AK978" s="15"/>
      <c r="AL978" s="15"/>
    </row>
    <row r="979" spans="1:38" ht="105" x14ac:dyDescent="0.25">
      <c r="A979" s="179"/>
      <c r="B979" s="292"/>
      <c r="C979" s="314"/>
      <c r="D979" s="293"/>
      <c r="E979" s="19" t="s">
        <v>3075</v>
      </c>
      <c r="F979" s="233" t="s">
        <v>3076</v>
      </c>
      <c r="G979" s="305"/>
      <c r="H979" s="234"/>
      <c r="I979" s="409" t="s">
        <v>2829</v>
      </c>
      <c r="J979" s="411"/>
      <c r="K979" s="164"/>
      <c r="L979" s="166"/>
      <c r="M979" s="328">
        <v>123</v>
      </c>
      <c r="N979" s="600"/>
      <c r="O979" s="329"/>
      <c r="P979" s="328">
        <v>5</v>
      </c>
      <c r="Q979" s="329"/>
      <c r="R979" s="328">
        <v>20</v>
      </c>
      <c r="S979" s="329"/>
      <c r="T979" s="328">
        <v>10</v>
      </c>
      <c r="U979" s="329"/>
      <c r="V979" s="303" t="s">
        <v>3077</v>
      </c>
      <c r="W979" s="304"/>
      <c r="X979" s="294">
        <v>209</v>
      </c>
      <c r="Y979" s="295"/>
      <c r="Z979" s="296"/>
      <c r="AA979" s="233" t="s">
        <v>1739</v>
      </c>
      <c r="AB979" s="234"/>
      <c r="AC979" s="401"/>
      <c r="AD979" s="403"/>
      <c r="AE979" s="36"/>
      <c r="AF979" s="292"/>
      <c r="AG979" s="314"/>
      <c r="AH979" s="293"/>
      <c r="AI979" s="167"/>
      <c r="AJ979" s="48"/>
      <c r="AK979" s="15"/>
      <c r="AL979" s="15"/>
    </row>
    <row r="980" spans="1:38" ht="120" x14ac:dyDescent="0.25">
      <c r="A980" s="179"/>
      <c r="B980" s="292"/>
      <c r="C980" s="314"/>
      <c r="D980" s="293"/>
      <c r="E980" s="19" t="s">
        <v>3078</v>
      </c>
      <c r="F980" s="237"/>
      <c r="G980" s="306"/>
      <c r="H980" s="238"/>
      <c r="I980" s="404"/>
      <c r="J980" s="406"/>
      <c r="K980" s="214"/>
      <c r="L980" s="216"/>
      <c r="M980" s="519"/>
      <c r="N980" s="601"/>
      <c r="O980" s="520"/>
      <c r="P980" s="519"/>
      <c r="Q980" s="520"/>
      <c r="R980" s="519"/>
      <c r="S980" s="520"/>
      <c r="T980" s="519"/>
      <c r="U980" s="520"/>
      <c r="V980" s="290"/>
      <c r="W980" s="291"/>
      <c r="X980" s="300"/>
      <c r="Y980" s="301"/>
      <c r="Z980" s="302"/>
      <c r="AA980" s="237"/>
      <c r="AB980" s="238"/>
      <c r="AC980" s="401"/>
      <c r="AD980" s="403"/>
      <c r="AE980" s="36"/>
      <c r="AF980" s="292"/>
      <c r="AG980" s="314"/>
      <c r="AH980" s="293"/>
      <c r="AI980" s="167"/>
      <c r="AJ980" s="48"/>
      <c r="AK980" s="15"/>
      <c r="AL980" s="15"/>
    </row>
    <row r="981" spans="1:38" ht="105" x14ac:dyDescent="0.25">
      <c r="A981" s="179"/>
      <c r="B981" s="292"/>
      <c r="C981" s="314"/>
      <c r="D981" s="293"/>
      <c r="E981" s="19" t="s">
        <v>3079</v>
      </c>
      <c r="F981" s="233" t="s">
        <v>3080</v>
      </c>
      <c r="G981" s="305"/>
      <c r="H981" s="234"/>
      <c r="I981" s="409" t="s">
        <v>3081</v>
      </c>
      <c r="J981" s="411"/>
      <c r="K981" s="164"/>
      <c r="L981" s="166"/>
      <c r="M981" s="328">
        <v>170</v>
      </c>
      <c r="N981" s="600"/>
      <c r="O981" s="329"/>
      <c r="P981" s="303" t="s">
        <v>1717</v>
      </c>
      <c r="Q981" s="304"/>
      <c r="R981" s="328">
        <v>25</v>
      </c>
      <c r="S981" s="329"/>
      <c r="T981" s="328">
        <v>15</v>
      </c>
      <c r="U981" s="329"/>
      <c r="V981" s="303" t="s">
        <v>728</v>
      </c>
      <c r="W981" s="304"/>
      <c r="X981" s="294">
        <v>289</v>
      </c>
      <c r="Y981" s="295"/>
      <c r="Z981" s="296"/>
      <c r="AA981" s="233" t="s">
        <v>1038</v>
      </c>
      <c r="AB981" s="234"/>
      <c r="AC981" s="401"/>
      <c r="AD981" s="403"/>
      <c r="AE981" s="36"/>
      <c r="AF981" s="292"/>
      <c r="AG981" s="314"/>
      <c r="AH981" s="293"/>
      <c r="AI981" s="167"/>
      <c r="AJ981" s="48"/>
      <c r="AK981" s="15"/>
      <c r="AL981" s="15"/>
    </row>
    <row r="982" spans="1:38" ht="120" x14ac:dyDescent="0.25">
      <c r="A982" s="230"/>
      <c r="B982" s="290"/>
      <c r="C982" s="345"/>
      <c r="D982" s="291"/>
      <c r="E982" s="19" t="s">
        <v>3082</v>
      </c>
      <c r="F982" s="237"/>
      <c r="G982" s="306"/>
      <c r="H982" s="238"/>
      <c r="I982" s="404"/>
      <c r="J982" s="406"/>
      <c r="K982" s="214"/>
      <c r="L982" s="216"/>
      <c r="M982" s="519"/>
      <c r="N982" s="601"/>
      <c r="O982" s="520"/>
      <c r="P982" s="290"/>
      <c r="Q982" s="291"/>
      <c r="R982" s="519"/>
      <c r="S982" s="520"/>
      <c r="T982" s="519"/>
      <c r="U982" s="520"/>
      <c r="V982" s="290"/>
      <c r="W982" s="291"/>
      <c r="X982" s="300"/>
      <c r="Y982" s="301"/>
      <c r="Z982" s="302"/>
      <c r="AA982" s="237"/>
      <c r="AB982" s="238"/>
      <c r="AC982" s="404"/>
      <c r="AD982" s="406"/>
      <c r="AE982" s="36"/>
      <c r="AF982" s="290"/>
      <c r="AG982" s="345"/>
      <c r="AH982" s="291"/>
      <c r="AI982" s="167"/>
      <c r="AJ982" s="48"/>
      <c r="AK982" s="15"/>
      <c r="AL982" s="15"/>
    </row>
    <row r="983" spans="1:38" ht="90" x14ac:dyDescent="0.3">
      <c r="A983" s="178"/>
      <c r="B983" s="303" t="s">
        <v>3083</v>
      </c>
      <c r="C983" s="344"/>
      <c r="D983" s="304"/>
      <c r="E983" s="28" t="s">
        <v>3084</v>
      </c>
      <c r="F983" s="303" t="s">
        <v>3085</v>
      </c>
      <c r="G983" s="344"/>
      <c r="H983" s="304"/>
      <c r="I983" s="409" t="s">
        <v>3086</v>
      </c>
      <c r="J983" s="411"/>
      <c r="K983" s="164"/>
      <c r="L983" s="166"/>
      <c r="M983" s="303" t="s">
        <v>3087</v>
      </c>
      <c r="N983" s="344"/>
      <c r="O983" s="304"/>
      <c r="P983" s="328">
        <v>3</v>
      </c>
      <c r="Q983" s="329"/>
      <c r="R983" s="328">
        <v>7</v>
      </c>
      <c r="S983" s="329"/>
      <c r="T983" s="328">
        <v>7</v>
      </c>
      <c r="U983" s="329"/>
      <c r="V983" s="303" t="s">
        <v>3088</v>
      </c>
      <c r="W983" s="304"/>
      <c r="X983" s="294">
        <v>58</v>
      </c>
      <c r="Y983" s="295"/>
      <c r="Z983" s="296"/>
      <c r="AA983" s="233" t="s">
        <v>1062</v>
      </c>
      <c r="AB983" s="234"/>
      <c r="AC983" s="223" t="s">
        <v>675</v>
      </c>
      <c r="AD983" s="224"/>
      <c r="AE983" s="24" t="s">
        <v>3091</v>
      </c>
      <c r="AF983" s="164"/>
      <c r="AG983" s="165"/>
      <c r="AH983" s="166"/>
      <c r="AI983" s="167"/>
      <c r="AJ983" s="48"/>
      <c r="AK983" s="15"/>
      <c r="AL983" s="15"/>
    </row>
    <row r="984" spans="1:38" ht="90" x14ac:dyDescent="0.3">
      <c r="A984" s="179"/>
      <c r="B984" s="292"/>
      <c r="C984" s="314"/>
      <c r="D984" s="293"/>
      <c r="E984" s="19" t="s">
        <v>3093</v>
      </c>
      <c r="F984" s="292"/>
      <c r="G984" s="314"/>
      <c r="H984" s="293"/>
      <c r="I984" s="401"/>
      <c r="J984" s="403"/>
      <c r="K984" s="167"/>
      <c r="L984" s="169"/>
      <c r="M984" s="292"/>
      <c r="N984" s="314"/>
      <c r="O984" s="293"/>
      <c r="P984" s="517"/>
      <c r="Q984" s="518"/>
      <c r="R984" s="517"/>
      <c r="S984" s="518"/>
      <c r="T984" s="517"/>
      <c r="U984" s="518"/>
      <c r="V984" s="292"/>
      <c r="W984" s="293"/>
      <c r="X984" s="297"/>
      <c r="Y984" s="298"/>
      <c r="Z984" s="299"/>
      <c r="AA984" s="235"/>
      <c r="AB984" s="236"/>
      <c r="AC984" s="239" t="s">
        <v>3089</v>
      </c>
      <c r="AD984" s="240"/>
      <c r="AE984" s="31" t="s">
        <v>1356</v>
      </c>
      <c r="AF984" s="167"/>
      <c r="AG984" s="168"/>
      <c r="AH984" s="169"/>
      <c r="AI984" s="167"/>
      <c r="AJ984" s="48"/>
      <c r="AK984" s="15"/>
      <c r="AL984" s="15"/>
    </row>
    <row r="985" spans="1:38" ht="90" x14ac:dyDescent="0.3">
      <c r="A985" s="179"/>
      <c r="B985" s="292"/>
      <c r="C985" s="314"/>
      <c r="D985" s="293"/>
      <c r="E985" s="19" t="s">
        <v>3094</v>
      </c>
      <c r="F985" s="290"/>
      <c r="G985" s="345"/>
      <c r="H985" s="291"/>
      <c r="I985" s="404"/>
      <c r="J985" s="406"/>
      <c r="K985" s="214"/>
      <c r="L985" s="216"/>
      <c r="M985" s="290"/>
      <c r="N985" s="345"/>
      <c r="O985" s="291"/>
      <c r="P985" s="519"/>
      <c r="Q985" s="520"/>
      <c r="R985" s="519"/>
      <c r="S985" s="520"/>
      <c r="T985" s="519"/>
      <c r="U985" s="520"/>
      <c r="V985" s="290"/>
      <c r="W985" s="291"/>
      <c r="X985" s="300"/>
      <c r="Y985" s="301"/>
      <c r="Z985" s="302"/>
      <c r="AA985" s="237"/>
      <c r="AB985" s="238"/>
      <c r="AC985" s="239" t="s">
        <v>2211</v>
      </c>
      <c r="AD985" s="240"/>
      <c r="AE985" s="31" t="s">
        <v>3092</v>
      </c>
      <c r="AF985" s="167"/>
      <c r="AG985" s="168"/>
      <c r="AH985" s="169"/>
      <c r="AI985" s="167"/>
      <c r="AJ985" s="48"/>
      <c r="AK985" s="15"/>
      <c r="AL985" s="15"/>
    </row>
    <row r="986" spans="1:38" ht="105" x14ac:dyDescent="0.3">
      <c r="A986" s="179"/>
      <c r="B986" s="292"/>
      <c r="C986" s="314"/>
      <c r="D986" s="293"/>
      <c r="E986" s="28" t="s">
        <v>3095</v>
      </c>
      <c r="F986" s="233" t="s">
        <v>3096</v>
      </c>
      <c r="G986" s="305"/>
      <c r="H986" s="234"/>
      <c r="I986" s="233" t="s">
        <v>3097</v>
      </c>
      <c r="J986" s="234"/>
      <c r="K986" s="164"/>
      <c r="L986" s="166"/>
      <c r="M986" s="303" t="s">
        <v>3098</v>
      </c>
      <c r="N986" s="344"/>
      <c r="O986" s="304"/>
      <c r="P986" s="328">
        <v>5</v>
      </c>
      <c r="Q986" s="329"/>
      <c r="R986" s="328">
        <v>10</v>
      </c>
      <c r="S986" s="329"/>
      <c r="T986" s="328">
        <v>9</v>
      </c>
      <c r="U986" s="329"/>
      <c r="V986" s="303" t="s">
        <v>3099</v>
      </c>
      <c r="W986" s="304"/>
      <c r="X986" s="294">
        <v>78</v>
      </c>
      <c r="Y986" s="295"/>
      <c r="Z986" s="296"/>
      <c r="AA986" s="233" t="s">
        <v>2395</v>
      </c>
      <c r="AB986" s="234"/>
      <c r="AC986" s="239" t="s">
        <v>3090</v>
      </c>
      <c r="AD986" s="240"/>
      <c r="AE986" s="31"/>
      <c r="AF986" s="167"/>
      <c r="AG986" s="168"/>
      <c r="AH986" s="169"/>
      <c r="AI986" s="167"/>
      <c r="AJ986" s="48"/>
      <c r="AK986" s="15"/>
      <c r="AL986" s="15"/>
    </row>
    <row r="987" spans="1:38" ht="90" x14ac:dyDescent="0.3">
      <c r="A987" s="179"/>
      <c r="B987" s="292"/>
      <c r="C987" s="314"/>
      <c r="D987" s="293"/>
      <c r="E987" s="28" t="s">
        <v>3100</v>
      </c>
      <c r="F987" s="235"/>
      <c r="G987" s="270"/>
      <c r="H987" s="236"/>
      <c r="I987" s="235"/>
      <c r="J987" s="236"/>
      <c r="K987" s="167"/>
      <c r="L987" s="169"/>
      <c r="M987" s="292"/>
      <c r="N987" s="314"/>
      <c r="O987" s="293"/>
      <c r="P987" s="517"/>
      <c r="Q987" s="518"/>
      <c r="R987" s="517"/>
      <c r="S987" s="518"/>
      <c r="T987" s="517"/>
      <c r="U987" s="518"/>
      <c r="V987" s="292"/>
      <c r="W987" s="293"/>
      <c r="X987" s="297"/>
      <c r="Y987" s="298"/>
      <c r="Z987" s="299"/>
      <c r="AA987" s="235"/>
      <c r="AB987" s="236"/>
      <c r="AC987" s="239"/>
      <c r="AD987" s="240"/>
      <c r="AE987" s="31"/>
      <c r="AF987" s="167"/>
      <c r="AG987" s="168"/>
      <c r="AH987" s="169"/>
      <c r="AI987" s="167"/>
      <c r="AJ987" s="48"/>
      <c r="AK987" s="15"/>
      <c r="AL987" s="15"/>
    </row>
    <row r="988" spans="1:38" ht="90" x14ac:dyDescent="0.3">
      <c r="A988" s="179"/>
      <c r="B988" s="292"/>
      <c r="C988" s="314"/>
      <c r="D988" s="293"/>
      <c r="E988" s="19" t="s">
        <v>3101</v>
      </c>
      <c r="F988" s="237"/>
      <c r="G988" s="306"/>
      <c r="H988" s="238"/>
      <c r="I988" s="237"/>
      <c r="J988" s="238"/>
      <c r="K988" s="214"/>
      <c r="L988" s="216"/>
      <c r="M988" s="290"/>
      <c r="N988" s="345"/>
      <c r="O988" s="291"/>
      <c r="P988" s="519"/>
      <c r="Q988" s="520"/>
      <c r="R988" s="519"/>
      <c r="S988" s="520"/>
      <c r="T988" s="519"/>
      <c r="U988" s="520"/>
      <c r="V988" s="290"/>
      <c r="W988" s="291"/>
      <c r="X988" s="300"/>
      <c r="Y988" s="301"/>
      <c r="Z988" s="302"/>
      <c r="AA988" s="237"/>
      <c r="AB988" s="238"/>
      <c r="AC988" s="239"/>
      <c r="AD988" s="240"/>
      <c r="AE988" s="31"/>
      <c r="AF988" s="167"/>
      <c r="AG988" s="168"/>
      <c r="AH988" s="169"/>
      <c r="AI988" s="167"/>
      <c r="AJ988" s="48"/>
      <c r="AK988" s="15"/>
      <c r="AL988" s="15"/>
    </row>
    <row r="989" spans="1:38" ht="90" x14ac:dyDescent="0.3">
      <c r="A989" s="179"/>
      <c r="B989" s="292"/>
      <c r="C989" s="314"/>
      <c r="D989" s="293"/>
      <c r="E989" s="19" t="s">
        <v>3102</v>
      </c>
      <c r="F989" s="233" t="s">
        <v>3103</v>
      </c>
      <c r="G989" s="305"/>
      <c r="H989" s="234"/>
      <c r="I989" s="233" t="s">
        <v>3104</v>
      </c>
      <c r="J989" s="234"/>
      <c r="K989" s="164"/>
      <c r="L989" s="166"/>
      <c r="M989" s="303" t="s">
        <v>3105</v>
      </c>
      <c r="N989" s="344"/>
      <c r="O989" s="304"/>
      <c r="P989" s="328">
        <v>7</v>
      </c>
      <c r="Q989" s="329"/>
      <c r="R989" s="328">
        <v>18</v>
      </c>
      <c r="S989" s="329"/>
      <c r="T989" s="328">
        <v>13</v>
      </c>
      <c r="U989" s="329"/>
      <c r="V989" s="303" t="s">
        <v>3106</v>
      </c>
      <c r="W989" s="304"/>
      <c r="X989" s="294">
        <v>118</v>
      </c>
      <c r="Y989" s="295"/>
      <c r="Z989" s="296"/>
      <c r="AA989" s="233" t="s">
        <v>1751</v>
      </c>
      <c r="AB989" s="234"/>
      <c r="AC989" s="239"/>
      <c r="AD989" s="240"/>
      <c r="AE989" s="31"/>
      <c r="AF989" s="167"/>
      <c r="AG989" s="168"/>
      <c r="AH989" s="169"/>
      <c r="AI989" s="167"/>
      <c r="AJ989" s="48"/>
      <c r="AK989" s="15"/>
      <c r="AL989" s="15"/>
    </row>
    <row r="990" spans="1:38" ht="90" x14ac:dyDescent="0.3">
      <c r="A990" s="179"/>
      <c r="B990" s="292"/>
      <c r="C990" s="314"/>
      <c r="D990" s="293"/>
      <c r="E990" s="28" t="s">
        <v>3107</v>
      </c>
      <c r="F990" s="235"/>
      <c r="G990" s="270"/>
      <c r="H990" s="236"/>
      <c r="I990" s="235"/>
      <c r="J990" s="236"/>
      <c r="K990" s="167"/>
      <c r="L990" s="169"/>
      <c r="M990" s="292"/>
      <c r="N990" s="314"/>
      <c r="O990" s="293"/>
      <c r="P990" s="517"/>
      <c r="Q990" s="518"/>
      <c r="R990" s="517"/>
      <c r="S990" s="518"/>
      <c r="T990" s="517"/>
      <c r="U990" s="518"/>
      <c r="V990" s="292"/>
      <c r="W990" s="293"/>
      <c r="X990" s="297"/>
      <c r="Y990" s="298"/>
      <c r="Z990" s="299"/>
      <c r="AA990" s="235"/>
      <c r="AB990" s="236"/>
      <c r="AC990" s="239"/>
      <c r="AD990" s="240"/>
      <c r="AE990" s="31"/>
      <c r="AF990" s="167"/>
      <c r="AG990" s="168"/>
      <c r="AH990" s="169"/>
      <c r="AI990" s="167"/>
      <c r="AJ990" s="48"/>
      <c r="AK990" s="15"/>
      <c r="AL990" s="15"/>
    </row>
    <row r="991" spans="1:38" ht="90" x14ac:dyDescent="0.3">
      <c r="A991" s="230"/>
      <c r="B991" s="290"/>
      <c r="C991" s="345"/>
      <c r="D991" s="291"/>
      <c r="E991" s="28" t="s">
        <v>3108</v>
      </c>
      <c r="F991" s="237"/>
      <c r="G991" s="306"/>
      <c r="H991" s="238"/>
      <c r="I991" s="237"/>
      <c r="J991" s="238"/>
      <c r="K991" s="214"/>
      <c r="L991" s="216"/>
      <c r="M991" s="290"/>
      <c r="N991" s="345"/>
      <c r="O991" s="291"/>
      <c r="P991" s="519"/>
      <c r="Q991" s="520"/>
      <c r="R991" s="519"/>
      <c r="S991" s="520"/>
      <c r="T991" s="519"/>
      <c r="U991" s="520"/>
      <c r="V991" s="290"/>
      <c r="W991" s="291"/>
      <c r="X991" s="300"/>
      <c r="Y991" s="301"/>
      <c r="Z991" s="302"/>
      <c r="AA991" s="237"/>
      <c r="AB991" s="238"/>
      <c r="AC991" s="225"/>
      <c r="AD991" s="226"/>
      <c r="AE991" s="31"/>
      <c r="AF991" s="214"/>
      <c r="AG991" s="215"/>
      <c r="AH991" s="216"/>
      <c r="AI991" s="167"/>
      <c r="AJ991" s="48"/>
      <c r="AK991" s="15"/>
      <c r="AL991" s="15"/>
    </row>
    <row r="992" spans="1:38" ht="105" x14ac:dyDescent="0.3">
      <c r="A992" s="178"/>
      <c r="B992" s="303" t="s">
        <v>3109</v>
      </c>
      <c r="C992" s="344"/>
      <c r="D992" s="304"/>
      <c r="E992" s="28" t="s">
        <v>3110</v>
      </c>
      <c r="F992" s="171" t="s">
        <v>3085</v>
      </c>
      <c r="G992" s="407"/>
      <c r="H992" s="172"/>
      <c r="I992" s="223" t="s">
        <v>3086</v>
      </c>
      <c r="J992" s="224"/>
      <c r="K992" s="164"/>
      <c r="L992" s="166"/>
      <c r="M992" s="387">
        <v>37</v>
      </c>
      <c r="N992" s="495"/>
      <c r="O992" s="388"/>
      <c r="P992" s="387">
        <v>3</v>
      </c>
      <c r="Q992" s="388"/>
      <c r="R992" s="387">
        <v>7</v>
      </c>
      <c r="S992" s="388"/>
      <c r="T992" s="387">
        <v>7</v>
      </c>
      <c r="U992" s="388"/>
      <c r="V992" s="171" t="s">
        <v>3111</v>
      </c>
      <c r="W992" s="172"/>
      <c r="X992" s="252">
        <v>69</v>
      </c>
      <c r="Y992" s="253"/>
      <c r="Z992" s="254"/>
      <c r="AA992" s="192" t="s">
        <v>975</v>
      </c>
      <c r="AB992" s="193"/>
      <c r="AC992" s="171" t="s">
        <v>675</v>
      </c>
      <c r="AD992" s="172"/>
      <c r="AE992" s="24" t="s">
        <v>3114</v>
      </c>
      <c r="AF992" s="164"/>
      <c r="AG992" s="165"/>
      <c r="AH992" s="166"/>
      <c r="AI992" s="167"/>
      <c r="AJ992" s="48"/>
      <c r="AK992" s="15"/>
      <c r="AL992" s="15"/>
    </row>
    <row r="993" spans="1:38" ht="90" x14ac:dyDescent="0.3">
      <c r="A993" s="179"/>
      <c r="B993" s="292"/>
      <c r="C993" s="314"/>
      <c r="D993" s="293"/>
      <c r="E993" s="19" t="s">
        <v>3116</v>
      </c>
      <c r="F993" s="212"/>
      <c r="G993" s="408"/>
      <c r="H993" s="213"/>
      <c r="I993" s="225"/>
      <c r="J993" s="226"/>
      <c r="K993" s="214"/>
      <c r="L993" s="216"/>
      <c r="M993" s="389"/>
      <c r="N993" s="496"/>
      <c r="O993" s="390"/>
      <c r="P993" s="389"/>
      <c r="Q993" s="390"/>
      <c r="R993" s="389"/>
      <c r="S993" s="390"/>
      <c r="T993" s="389"/>
      <c r="U993" s="390"/>
      <c r="V993" s="212"/>
      <c r="W993" s="213"/>
      <c r="X993" s="255"/>
      <c r="Y993" s="256"/>
      <c r="Z993" s="257"/>
      <c r="AA993" s="194"/>
      <c r="AB993" s="195"/>
      <c r="AC993" s="162" t="s">
        <v>3112</v>
      </c>
      <c r="AD993" s="163"/>
      <c r="AE993" s="31" t="s">
        <v>1356</v>
      </c>
      <c r="AF993" s="167"/>
      <c r="AG993" s="168"/>
      <c r="AH993" s="169"/>
      <c r="AI993" s="167"/>
      <c r="AJ993" s="48"/>
      <c r="AK993" s="15"/>
      <c r="AL993" s="15"/>
    </row>
    <row r="994" spans="1:38" ht="105" x14ac:dyDescent="0.3">
      <c r="A994" s="179"/>
      <c r="B994" s="292"/>
      <c r="C994" s="314"/>
      <c r="D994" s="293"/>
      <c r="E994" s="28" t="s">
        <v>3117</v>
      </c>
      <c r="F994" s="192" t="s">
        <v>3096</v>
      </c>
      <c r="G994" s="196"/>
      <c r="H994" s="193"/>
      <c r="I994" s="192" t="s">
        <v>3097</v>
      </c>
      <c r="J994" s="193"/>
      <c r="K994" s="164"/>
      <c r="L994" s="166"/>
      <c r="M994" s="171" t="s">
        <v>3118</v>
      </c>
      <c r="N994" s="407"/>
      <c r="O994" s="172"/>
      <c r="P994" s="387">
        <v>5</v>
      </c>
      <c r="Q994" s="388"/>
      <c r="R994" s="387">
        <v>10</v>
      </c>
      <c r="S994" s="388"/>
      <c r="T994" s="387">
        <v>9</v>
      </c>
      <c r="U994" s="388"/>
      <c r="V994" s="171" t="s">
        <v>3119</v>
      </c>
      <c r="W994" s="172"/>
      <c r="X994" s="252">
        <v>99</v>
      </c>
      <c r="Y994" s="253"/>
      <c r="Z994" s="254"/>
      <c r="AA994" s="192" t="s">
        <v>1181</v>
      </c>
      <c r="AB994" s="193"/>
      <c r="AC994" s="162" t="s">
        <v>3113</v>
      </c>
      <c r="AD994" s="163"/>
      <c r="AE994" s="31" t="s">
        <v>3115</v>
      </c>
      <c r="AF994" s="167"/>
      <c r="AG994" s="168"/>
      <c r="AH994" s="169"/>
      <c r="AI994" s="167"/>
      <c r="AJ994" s="48"/>
      <c r="AK994" s="15"/>
      <c r="AL994" s="15"/>
    </row>
    <row r="995" spans="1:38" ht="90" x14ac:dyDescent="0.3">
      <c r="A995" s="179"/>
      <c r="B995" s="292"/>
      <c r="C995" s="314"/>
      <c r="D995" s="293"/>
      <c r="E995" s="28" t="s">
        <v>3120</v>
      </c>
      <c r="F995" s="194"/>
      <c r="G995" s="197"/>
      <c r="H995" s="195"/>
      <c r="I995" s="194"/>
      <c r="J995" s="195"/>
      <c r="K995" s="214"/>
      <c r="L995" s="216"/>
      <c r="M995" s="212"/>
      <c r="N995" s="408"/>
      <c r="O995" s="213"/>
      <c r="P995" s="389"/>
      <c r="Q995" s="390"/>
      <c r="R995" s="389"/>
      <c r="S995" s="390"/>
      <c r="T995" s="389"/>
      <c r="U995" s="390"/>
      <c r="V995" s="212"/>
      <c r="W995" s="213"/>
      <c r="X995" s="255"/>
      <c r="Y995" s="256"/>
      <c r="Z995" s="257"/>
      <c r="AA995" s="194"/>
      <c r="AB995" s="195"/>
      <c r="AC995" s="162"/>
      <c r="AD995" s="163"/>
      <c r="AE995" s="31"/>
      <c r="AF995" s="167"/>
      <c r="AG995" s="168"/>
      <c r="AH995" s="169"/>
      <c r="AI995" s="167"/>
      <c r="AJ995" s="48"/>
      <c r="AK995" s="15"/>
      <c r="AL995" s="15"/>
    </row>
    <row r="996" spans="1:38" ht="105" x14ac:dyDescent="0.3">
      <c r="A996" s="179"/>
      <c r="B996" s="292"/>
      <c r="C996" s="314"/>
      <c r="D996" s="293"/>
      <c r="E996" s="28" t="s">
        <v>3121</v>
      </c>
      <c r="F996" s="192" t="s">
        <v>3103</v>
      </c>
      <c r="G996" s="196"/>
      <c r="H996" s="193"/>
      <c r="I996" s="192" t="s">
        <v>3104</v>
      </c>
      <c r="J996" s="193"/>
      <c r="K996" s="164"/>
      <c r="L996" s="166"/>
      <c r="M996" s="171" t="s">
        <v>3122</v>
      </c>
      <c r="N996" s="407"/>
      <c r="O996" s="172"/>
      <c r="P996" s="387">
        <v>7</v>
      </c>
      <c r="Q996" s="388"/>
      <c r="R996" s="387">
        <v>18</v>
      </c>
      <c r="S996" s="388"/>
      <c r="T996" s="387">
        <v>13</v>
      </c>
      <c r="U996" s="388"/>
      <c r="V996" s="171" t="s">
        <v>3123</v>
      </c>
      <c r="W996" s="172"/>
      <c r="X996" s="252">
        <v>159</v>
      </c>
      <c r="Y996" s="253"/>
      <c r="Z996" s="254"/>
      <c r="AA996" s="192" t="s">
        <v>1033</v>
      </c>
      <c r="AB996" s="193"/>
      <c r="AC996" s="162"/>
      <c r="AD996" s="163"/>
      <c r="AE996" s="31"/>
      <c r="AF996" s="167"/>
      <c r="AG996" s="168"/>
      <c r="AH996" s="169"/>
      <c r="AI996" s="167"/>
      <c r="AJ996" s="48"/>
      <c r="AK996" s="15"/>
      <c r="AL996" s="15"/>
    </row>
    <row r="997" spans="1:38" ht="90" x14ac:dyDescent="0.3">
      <c r="A997" s="230"/>
      <c r="B997" s="290"/>
      <c r="C997" s="345"/>
      <c r="D997" s="291"/>
      <c r="E997" s="28" t="s">
        <v>3124</v>
      </c>
      <c r="F997" s="194"/>
      <c r="G997" s="197"/>
      <c r="H997" s="195"/>
      <c r="I997" s="194"/>
      <c r="J997" s="195"/>
      <c r="K997" s="214"/>
      <c r="L997" s="216"/>
      <c r="M997" s="212"/>
      <c r="N997" s="408"/>
      <c r="O997" s="213"/>
      <c r="P997" s="389"/>
      <c r="Q997" s="390"/>
      <c r="R997" s="389"/>
      <c r="S997" s="390"/>
      <c r="T997" s="389"/>
      <c r="U997" s="390"/>
      <c r="V997" s="212"/>
      <c r="W997" s="213"/>
      <c r="X997" s="255"/>
      <c r="Y997" s="256"/>
      <c r="Z997" s="257"/>
      <c r="AA997" s="194"/>
      <c r="AB997" s="195"/>
      <c r="AC997" s="212"/>
      <c r="AD997" s="213"/>
      <c r="AE997" s="31"/>
      <c r="AF997" s="214"/>
      <c r="AG997" s="215"/>
      <c r="AH997" s="216"/>
      <c r="AI997" s="214"/>
      <c r="AJ997" s="48"/>
      <c r="AK997" s="15"/>
      <c r="AL997" s="15"/>
    </row>
    <row r="998" spans="1:38" ht="90" x14ac:dyDescent="0.25">
      <c r="A998" s="178"/>
      <c r="B998" s="303" t="s">
        <v>3125</v>
      </c>
      <c r="C998" s="344"/>
      <c r="D998" s="304"/>
      <c r="E998" s="19" t="s">
        <v>3126</v>
      </c>
      <c r="F998" s="233" t="s">
        <v>3039</v>
      </c>
      <c r="G998" s="305"/>
      <c r="H998" s="234"/>
      <c r="I998" s="233" t="s">
        <v>674</v>
      </c>
      <c r="J998" s="234"/>
      <c r="K998" s="303" t="s">
        <v>920</v>
      </c>
      <c r="L998" s="304"/>
      <c r="M998" s="527" t="s">
        <v>2581</v>
      </c>
      <c r="N998" s="528"/>
      <c r="O998" s="529"/>
      <c r="P998" s="303" t="s">
        <v>3127</v>
      </c>
      <c r="Q998" s="304"/>
      <c r="R998" s="303" t="s">
        <v>1222</v>
      </c>
      <c r="S998" s="304"/>
      <c r="T998" s="303" t="s">
        <v>674</v>
      </c>
      <c r="U998" s="304"/>
      <c r="V998" s="303" t="s">
        <v>3128</v>
      </c>
      <c r="W998" s="304"/>
      <c r="X998" s="294">
        <v>25</v>
      </c>
      <c r="Y998" s="295"/>
      <c r="Z998" s="296"/>
      <c r="AA998" s="233" t="s">
        <v>1759</v>
      </c>
      <c r="AB998" s="234"/>
      <c r="AC998" s="409" t="s">
        <v>675</v>
      </c>
      <c r="AD998" s="411"/>
      <c r="AE998" s="35" t="s">
        <v>3131</v>
      </c>
      <c r="AF998" s="303" t="s">
        <v>3133</v>
      </c>
      <c r="AG998" s="344"/>
      <c r="AH998" s="304"/>
      <c r="AI998" s="24" t="s">
        <v>3134</v>
      </c>
      <c r="AJ998" s="48"/>
      <c r="AK998" s="15"/>
      <c r="AL998" s="15"/>
    </row>
    <row r="999" spans="1:38" ht="120" x14ac:dyDescent="0.25">
      <c r="A999" s="179"/>
      <c r="B999" s="292"/>
      <c r="C999" s="314"/>
      <c r="D999" s="293"/>
      <c r="E999" s="19" t="s">
        <v>3136</v>
      </c>
      <c r="F999" s="235"/>
      <c r="G999" s="270"/>
      <c r="H999" s="236"/>
      <c r="I999" s="235"/>
      <c r="J999" s="236"/>
      <c r="K999" s="292"/>
      <c r="L999" s="293"/>
      <c r="M999" s="530"/>
      <c r="N999" s="531"/>
      <c r="O999" s="532"/>
      <c r="P999" s="292"/>
      <c r="Q999" s="293"/>
      <c r="R999" s="292"/>
      <c r="S999" s="293"/>
      <c r="T999" s="292"/>
      <c r="U999" s="293"/>
      <c r="V999" s="292"/>
      <c r="W999" s="293"/>
      <c r="X999" s="297"/>
      <c r="Y999" s="298"/>
      <c r="Z999" s="299"/>
      <c r="AA999" s="235"/>
      <c r="AB999" s="236"/>
      <c r="AC999" s="401" t="s">
        <v>3129</v>
      </c>
      <c r="AD999" s="403"/>
      <c r="AE999" s="36" t="s">
        <v>1356</v>
      </c>
      <c r="AF999" s="292" t="s">
        <v>2541</v>
      </c>
      <c r="AG999" s="314"/>
      <c r="AH999" s="293"/>
      <c r="AI999" s="31" t="s">
        <v>3135</v>
      </c>
      <c r="AJ999" s="48"/>
      <c r="AK999" s="15"/>
      <c r="AL999" s="15"/>
    </row>
    <row r="1000" spans="1:38" ht="90" x14ac:dyDescent="0.25">
      <c r="A1000" s="179"/>
      <c r="B1000" s="292"/>
      <c r="C1000" s="314"/>
      <c r="D1000" s="293"/>
      <c r="E1000" s="19" t="s">
        <v>3137</v>
      </c>
      <c r="F1000" s="235"/>
      <c r="G1000" s="270"/>
      <c r="H1000" s="236"/>
      <c r="I1000" s="235"/>
      <c r="J1000" s="236"/>
      <c r="K1000" s="292"/>
      <c r="L1000" s="293"/>
      <c r="M1000" s="530"/>
      <c r="N1000" s="531"/>
      <c r="O1000" s="532"/>
      <c r="P1000" s="292"/>
      <c r="Q1000" s="293"/>
      <c r="R1000" s="292"/>
      <c r="S1000" s="293"/>
      <c r="T1000" s="292"/>
      <c r="U1000" s="293"/>
      <c r="V1000" s="292"/>
      <c r="W1000" s="293"/>
      <c r="X1000" s="297"/>
      <c r="Y1000" s="298"/>
      <c r="Z1000" s="299"/>
      <c r="AA1000" s="235"/>
      <c r="AB1000" s="236"/>
      <c r="AC1000" s="401" t="s">
        <v>677</v>
      </c>
      <c r="AD1000" s="403"/>
      <c r="AE1000" s="36" t="s">
        <v>3132</v>
      </c>
      <c r="AF1000" s="292"/>
      <c r="AG1000" s="314"/>
      <c r="AH1000" s="293"/>
      <c r="AI1000" s="31"/>
      <c r="AJ1000" s="48"/>
      <c r="AK1000" s="15"/>
      <c r="AL1000" s="15"/>
    </row>
    <row r="1001" spans="1:38" ht="90" x14ac:dyDescent="0.25">
      <c r="A1001" s="179"/>
      <c r="B1001" s="292"/>
      <c r="C1001" s="314"/>
      <c r="D1001" s="293"/>
      <c r="E1001" s="19" t="s">
        <v>3138</v>
      </c>
      <c r="F1001" s="235"/>
      <c r="G1001" s="270"/>
      <c r="H1001" s="236"/>
      <c r="I1001" s="235"/>
      <c r="J1001" s="236"/>
      <c r="K1001" s="292"/>
      <c r="L1001" s="293"/>
      <c r="M1001" s="530"/>
      <c r="N1001" s="531"/>
      <c r="O1001" s="532"/>
      <c r="P1001" s="292"/>
      <c r="Q1001" s="293"/>
      <c r="R1001" s="292"/>
      <c r="S1001" s="293"/>
      <c r="T1001" s="292"/>
      <c r="U1001" s="293"/>
      <c r="V1001" s="292"/>
      <c r="W1001" s="293"/>
      <c r="X1001" s="297"/>
      <c r="Y1001" s="298"/>
      <c r="Z1001" s="299"/>
      <c r="AA1001" s="235"/>
      <c r="AB1001" s="236"/>
      <c r="AC1001" s="401" t="s">
        <v>678</v>
      </c>
      <c r="AD1001" s="403"/>
      <c r="AE1001" s="36"/>
      <c r="AF1001" s="292"/>
      <c r="AG1001" s="314"/>
      <c r="AH1001" s="293"/>
      <c r="AI1001" s="31"/>
      <c r="AJ1001" s="48"/>
      <c r="AK1001" s="15"/>
      <c r="AL1001" s="15"/>
    </row>
    <row r="1002" spans="1:38" ht="90" x14ac:dyDescent="0.25">
      <c r="A1002" s="230"/>
      <c r="B1002" s="292"/>
      <c r="C1002" s="314"/>
      <c r="D1002" s="293"/>
      <c r="E1002" s="19" t="s">
        <v>3139</v>
      </c>
      <c r="F1002" s="237"/>
      <c r="G1002" s="306"/>
      <c r="H1002" s="238"/>
      <c r="I1002" s="237"/>
      <c r="J1002" s="238"/>
      <c r="K1002" s="290"/>
      <c r="L1002" s="291"/>
      <c r="M1002" s="533"/>
      <c r="N1002" s="534"/>
      <c r="O1002" s="535"/>
      <c r="P1002" s="290"/>
      <c r="Q1002" s="291"/>
      <c r="R1002" s="290"/>
      <c r="S1002" s="291"/>
      <c r="T1002" s="290"/>
      <c r="U1002" s="291"/>
      <c r="V1002" s="290"/>
      <c r="W1002" s="291"/>
      <c r="X1002" s="300"/>
      <c r="Y1002" s="301"/>
      <c r="Z1002" s="302"/>
      <c r="AA1002" s="237"/>
      <c r="AB1002" s="238"/>
      <c r="AC1002" s="401" t="s">
        <v>3130</v>
      </c>
      <c r="AD1002" s="403"/>
      <c r="AE1002" s="36"/>
      <c r="AF1002" s="292"/>
      <c r="AG1002" s="314"/>
      <c r="AH1002" s="293"/>
      <c r="AI1002" s="31"/>
      <c r="AJ1002" s="48"/>
      <c r="AK1002" s="15"/>
      <c r="AL1002" s="15"/>
    </row>
    <row r="1003" spans="1:38" ht="105" x14ac:dyDescent="0.25">
      <c r="A1003" s="178"/>
      <c r="B1003" s="292"/>
      <c r="C1003" s="314"/>
      <c r="D1003" s="293"/>
      <c r="E1003" s="19" t="s">
        <v>3140</v>
      </c>
      <c r="F1003" s="233" t="s">
        <v>3039</v>
      </c>
      <c r="G1003" s="305"/>
      <c r="H1003" s="234"/>
      <c r="I1003" s="233" t="s">
        <v>3141</v>
      </c>
      <c r="J1003" s="234"/>
      <c r="K1003" s="303" t="s">
        <v>920</v>
      </c>
      <c r="L1003" s="304"/>
      <c r="M1003" s="527" t="s">
        <v>3142</v>
      </c>
      <c r="N1003" s="528"/>
      <c r="O1003" s="529"/>
      <c r="P1003" s="303" t="s">
        <v>3127</v>
      </c>
      <c r="Q1003" s="304"/>
      <c r="R1003" s="303" t="s">
        <v>1222</v>
      </c>
      <c r="S1003" s="304"/>
      <c r="T1003" s="303" t="s">
        <v>674</v>
      </c>
      <c r="U1003" s="304"/>
      <c r="V1003" s="303" t="s">
        <v>3143</v>
      </c>
      <c r="W1003" s="304"/>
      <c r="X1003" s="585" t="s">
        <v>3144</v>
      </c>
      <c r="Y1003" s="586"/>
      <c r="Z1003" s="587"/>
      <c r="AA1003" s="233" t="s">
        <v>1127</v>
      </c>
      <c r="AB1003" s="234"/>
      <c r="AC1003" s="401"/>
      <c r="AD1003" s="403"/>
      <c r="AE1003" s="36"/>
      <c r="AF1003" s="292"/>
      <c r="AG1003" s="314"/>
      <c r="AH1003" s="293"/>
      <c r="AI1003" s="31"/>
      <c r="AJ1003" s="48"/>
      <c r="AK1003" s="15"/>
      <c r="AL1003" s="15"/>
    </row>
    <row r="1004" spans="1:38" ht="105" x14ac:dyDescent="0.25">
      <c r="A1004" s="179"/>
      <c r="B1004" s="292"/>
      <c r="C1004" s="314"/>
      <c r="D1004" s="293"/>
      <c r="E1004" s="19" t="s">
        <v>3145</v>
      </c>
      <c r="F1004" s="235"/>
      <c r="G1004" s="270"/>
      <c r="H1004" s="236"/>
      <c r="I1004" s="235"/>
      <c r="J1004" s="236"/>
      <c r="K1004" s="292"/>
      <c r="L1004" s="293"/>
      <c r="M1004" s="530"/>
      <c r="N1004" s="531"/>
      <c r="O1004" s="532"/>
      <c r="P1004" s="292"/>
      <c r="Q1004" s="293"/>
      <c r="R1004" s="292"/>
      <c r="S1004" s="293"/>
      <c r="T1004" s="292"/>
      <c r="U1004" s="293"/>
      <c r="V1004" s="292"/>
      <c r="W1004" s="293"/>
      <c r="X1004" s="588"/>
      <c r="Y1004" s="589"/>
      <c r="Z1004" s="590"/>
      <c r="AA1004" s="235"/>
      <c r="AB1004" s="236"/>
      <c r="AC1004" s="401"/>
      <c r="AD1004" s="403"/>
      <c r="AE1004" s="36"/>
      <c r="AF1004" s="292"/>
      <c r="AG1004" s="314"/>
      <c r="AH1004" s="293"/>
      <c r="AI1004" s="31"/>
      <c r="AJ1004" s="48"/>
      <c r="AK1004" s="15"/>
      <c r="AL1004" s="15"/>
    </row>
    <row r="1005" spans="1:38" ht="105" x14ac:dyDescent="0.25">
      <c r="A1005" s="179"/>
      <c r="B1005" s="292"/>
      <c r="C1005" s="314"/>
      <c r="D1005" s="293"/>
      <c r="E1005" s="19" t="s">
        <v>3146</v>
      </c>
      <c r="F1005" s="235"/>
      <c r="G1005" s="270"/>
      <c r="H1005" s="236"/>
      <c r="I1005" s="235"/>
      <c r="J1005" s="236"/>
      <c r="K1005" s="292"/>
      <c r="L1005" s="293"/>
      <c r="M1005" s="530"/>
      <c r="N1005" s="531"/>
      <c r="O1005" s="532"/>
      <c r="P1005" s="292"/>
      <c r="Q1005" s="293"/>
      <c r="R1005" s="292"/>
      <c r="S1005" s="293"/>
      <c r="T1005" s="292"/>
      <c r="U1005" s="293"/>
      <c r="V1005" s="292"/>
      <c r="W1005" s="293"/>
      <c r="X1005" s="588"/>
      <c r="Y1005" s="589"/>
      <c r="Z1005" s="590"/>
      <c r="AA1005" s="235"/>
      <c r="AB1005" s="236"/>
      <c r="AC1005" s="401"/>
      <c r="AD1005" s="403"/>
      <c r="AE1005" s="36"/>
      <c r="AF1005" s="292"/>
      <c r="AG1005" s="314"/>
      <c r="AH1005" s="293"/>
      <c r="AI1005" s="31"/>
      <c r="AJ1005" s="48"/>
      <c r="AK1005" s="15"/>
      <c r="AL1005" s="15"/>
    </row>
    <row r="1006" spans="1:38" ht="105" x14ac:dyDescent="0.25">
      <c r="A1006" s="179"/>
      <c r="B1006" s="292"/>
      <c r="C1006" s="314"/>
      <c r="D1006" s="293"/>
      <c r="E1006" s="19" t="s">
        <v>3147</v>
      </c>
      <c r="F1006" s="235"/>
      <c r="G1006" s="270"/>
      <c r="H1006" s="236"/>
      <c r="I1006" s="235"/>
      <c r="J1006" s="236"/>
      <c r="K1006" s="292"/>
      <c r="L1006" s="293"/>
      <c r="M1006" s="530"/>
      <c r="N1006" s="531"/>
      <c r="O1006" s="532"/>
      <c r="P1006" s="292"/>
      <c r="Q1006" s="293"/>
      <c r="R1006" s="292"/>
      <c r="S1006" s="293"/>
      <c r="T1006" s="292"/>
      <c r="U1006" s="293"/>
      <c r="V1006" s="292"/>
      <c r="W1006" s="293"/>
      <c r="X1006" s="588"/>
      <c r="Y1006" s="589"/>
      <c r="Z1006" s="590"/>
      <c r="AA1006" s="235"/>
      <c r="AB1006" s="236"/>
      <c r="AC1006" s="401"/>
      <c r="AD1006" s="403"/>
      <c r="AE1006" s="36"/>
      <c r="AF1006" s="292"/>
      <c r="AG1006" s="314"/>
      <c r="AH1006" s="293"/>
      <c r="AI1006" s="31"/>
      <c r="AJ1006" s="48"/>
      <c r="AK1006" s="15"/>
      <c r="AL1006" s="15"/>
    </row>
    <row r="1007" spans="1:38" ht="105" x14ac:dyDescent="0.25">
      <c r="A1007" s="230"/>
      <c r="B1007" s="292"/>
      <c r="C1007" s="314"/>
      <c r="D1007" s="293"/>
      <c r="E1007" s="28" t="s">
        <v>3148</v>
      </c>
      <c r="F1007" s="237"/>
      <c r="G1007" s="306"/>
      <c r="H1007" s="238"/>
      <c r="I1007" s="237"/>
      <c r="J1007" s="238"/>
      <c r="K1007" s="290"/>
      <c r="L1007" s="291"/>
      <c r="M1007" s="533"/>
      <c r="N1007" s="534"/>
      <c r="O1007" s="535"/>
      <c r="P1007" s="290"/>
      <c r="Q1007" s="291"/>
      <c r="R1007" s="290"/>
      <c r="S1007" s="291"/>
      <c r="T1007" s="290"/>
      <c r="U1007" s="291"/>
      <c r="V1007" s="290"/>
      <c r="W1007" s="291"/>
      <c r="X1007" s="591"/>
      <c r="Y1007" s="592"/>
      <c r="Z1007" s="593"/>
      <c r="AA1007" s="237"/>
      <c r="AB1007" s="238"/>
      <c r="AC1007" s="401"/>
      <c r="AD1007" s="403"/>
      <c r="AE1007" s="36"/>
      <c r="AF1007" s="292"/>
      <c r="AG1007" s="314"/>
      <c r="AH1007" s="293"/>
      <c r="AI1007" s="31"/>
      <c r="AJ1007" s="48"/>
      <c r="AK1007" s="15"/>
      <c r="AL1007" s="15"/>
    </row>
    <row r="1008" spans="1:38" ht="90" x14ac:dyDescent="0.3">
      <c r="A1008" s="178"/>
      <c r="B1008" s="167"/>
      <c r="C1008" s="168"/>
      <c r="D1008" s="169"/>
      <c r="E1008" s="19" t="s">
        <v>3149</v>
      </c>
      <c r="F1008" s="233" t="s">
        <v>1414</v>
      </c>
      <c r="G1008" s="305"/>
      <c r="H1008" s="234"/>
      <c r="I1008" s="233" t="s">
        <v>922</v>
      </c>
      <c r="J1008" s="234"/>
      <c r="K1008" s="164"/>
      <c r="L1008" s="166"/>
      <c r="M1008" s="527" t="s">
        <v>3150</v>
      </c>
      <c r="N1008" s="528"/>
      <c r="O1008" s="529"/>
      <c r="P1008" s="303" t="s">
        <v>1416</v>
      </c>
      <c r="Q1008" s="304"/>
      <c r="R1008" s="303" t="s">
        <v>1342</v>
      </c>
      <c r="S1008" s="304"/>
      <c r="T1008" s="303" t="s">
        <v>1476</v>
      </c>
      <c r="U1008" s="304"/>
      <c r="V1008" s="303" t="s">
        <v>3151</v>
      </c>
      <c r="W1008" s="304"/>
      <c r="X1008" s="585" t="s">
        <v>1418</v>
      </c>
      <c r="Y1008" s="586"/>
      <c r="Z1008" s="587"/>
      <c r="AA1008" s="233" t="s">
        <v>3152</v>
      </c>
      <c r="AB1008" s="234"/>
      <c r="AC1008" s="167"/>
      <c r="AD1008" s="169"/>
      <c r="AE1008" s="179"/>
      <c r="AF1008" s="167"/>
      <c r="AG1008" s="168"/>
      <c r="AH1008" s="169"/>
      <c r="AI1008" s="24" t="s">
        <v>3153</v>
      </c>
      <c r="AJ1008" s="48"/>
      <c r="AK1008" s="15"/>
      <c r="AL1008" s="15"/>
    </row>
    <row r="1009" spans="1:38" ht="75" x14ac:dyDescent="0.3">
      <c r="A1009" s="179"/>
      <c r="B1009" s="167"/>
      <c r="C1009" s="168"/>
      <c r="D1009" s="169"/>
      <c r="E1009" s="19" t="s">
        <v>3155</v>
      </c>
      <c r="F1009" s="235"/>
      <c r="G1009" s="270"/>
      <c r="H1009" s="236"/>
      <c r="I1009" s="235"/>
      <c r="J1009" s="236"/>
      <c r="K1009" s="167"/>
      <c r="L1009" s="169"/>
      <c r="M1009" s="530"/>
      <c r="N1009" s="531"/>
      <c r="O1009" s="532"/>
      <c r="P1009" s="292"/>
      <c r="Q1009" s="293"/>
      <c r="R1009" s="292"/>
      <c r="S1009" s="293"/>
      <c r="T1009" s="292"/>
      <c r="U1009" s="293"/>
      <c r="V1009" s="292"/>
      <c r="W1009" s="293"/>
      <c r="X1009" s="588"/>
      <c r="Y1009" s="589"/>
      <c r="Z1009" s="590"/>
      <c r="AA1009" s="235"/>
      <c r="AB1009" s="236"/>
      <c r="AC1009" s="167"/>
      <c r="AD1009" s="169"/>
      <c r="AE1009" s="179"/>
      <c r="AF1009" s="167"/>
      <c r="AG1009" s="168"/>
      <c r="AH1009" s="169"/>
      <c r="AI1009" s="31" t="s">
        <v>681</v>
      </c>
      <c r="AJ1009" s="48"/>
      <c r="AK1009" s="15"/>
      <c r="AL1009" s="15"/>
    </row>
    <row r="1010" spans="1:38" ht="75" x14ac:dyDescent="0.3">
      <c r="A1010" s="230"/>
      <c r="B1010" s="214"/>
      <c r="C1010" s="215"/>
      <c r="D1010" s="216"/>
      <c r="E1010" s="19" t="s">
        <v>3156</v>
      </c>
      <c r="F1010" s="237"/>
      <c r="G1010" s="306"/>
      <c r="H1010" s="238"/>
      <c r="I1010" s="237"/>
      <c r="J1010" s="238"/>
      <c r="K1010" s="214"/>
      <c r="L1010" s="216"/>
      <c r="M1010" s="533"/>
      <c r="N1010" s="534"/>
      <c r="O1010" s="535"/>
      <c r="P1010" s="290"/>
      <c r="Q1010" s="291"/>
      <c r="R1010" s="290"/>
      <c r="S1010" s="291"/>
      <c r="T1010" s="290"/>
      <c r="U1010" s="291"/>
      <c r="V1010" s="290"/>
      <c r="W1010" s="291"/>
      <c r="X1010" s="591"/>
      <c r="Y1010" s="592"/>
      <c r="Z1010" s="593"/>
      <c r="AA1010" s="237"/>
      <c r="AB1010" s="238"/>
      <c r="AC1010" s="214"/>
      <c r="AD1010" s="216"/>
      <c r="AE1010" s="230"/>
      <c r="AF1010" s="214"/>
      <c r="AG1010" s="215"/>
      <c r="AH1010" s="216"/>
      <c r="AI1010" s="31" t="s">
        <v>3154</v>
      </c>
      <c r="AJ1010" s="48"/>
      <c r="AK1010" s="15"/>
      <c r="AL1010" s="15"/>
    </row>
    <row r="1011" spans="1:38" ht="90" x14ac:dyDescent="0.3">
      <c r="A1011" s="178"/>
      <c r="B1011" s="303" t="s">
        <v>3157</v>
      </c>
      <c r="C1011" s="344"/>
      <c r="D1011" s="304"/>
      <c r="E1011" s="71" t="s">
        <v>3158</v>
      </c>
      <c r="F1011" s="233" t="s">
        <v>3159</v>
      </c>
      <c r="G1011" s="305"/>
      <c r="H1011" s="234"/>
      <c r="I1011" s="233" t="s">
        <v>3160</v>
      </c>
      <c r="J1011" s="234"/>
      <c r="K1011" s="303" t="s">
        <v>3161</v>
      </c>
      <c r="L1011" s="304"/>
      <c r="M1011" s="527" t="s">
        <v>3162</v>
      </c>
      <c r="N1011" s="528"/>
      <c r="O1011" s="529"/>
      <c r="P1011" s="527" t="s">
        <v>3163</v>
      </c>
      <c r="Q1011" s="529"/>
      <c r="R1011" s="594">
        <v>12</v>
      </c>
      <c r="S1011" s="595"/>
      <c r="T1011" s="328">
        <v>10</v>
      </c>
      <c r="U1011" s="329"/>
      <c r="V1011" s="303" t="s">
        <v>3106</v>
      </c>
      <c r="W1011" s="304"/>
      <c r="X1011" s="294">
        <v>119</v>
      </c>
      <c r="Y1011" s="295"/>
      <c r="Z1011" s="296"/>
      <c r="AA1011" s="233" t="s">
        <v>1062</v>
      </c>
      <c r="AB1011" s="234"/>
      <c r="AC1011" s="223" t="s">
        <v>675</v>
      </c>
      <c r="AD1011" s="224"/>
      <c r="AE1011" s="24" t="s">
        <v>3166</v>
      </c>
      <c r="AF1011" s="164"/>
      <c r="AG1011" s="165"/>
      <c r="AH1011" s="166"/>
      <c r="AI1011" s="164"/>
      <c r="AJ1011" s="271"/>
      <c r="AK1011" s="15"/>
      <c r="AL1011" s="15"/>
    </row>
    <row r="1012" spans="1:38" ht="45" x14ac:dyDescent="0.3">
      <c r="A1012" s="179"/>
      <c r="B1012" s="292"/>
      <c r="C1012" s="314"/>
      <c r="D1012" s="293"/>
      <c r="E1012" s="72"/>
      <c r="F1012" s="235"/>
      <c r="G1012" s="270"/>
      <c r="H1012" s="236"/>
      <c r="I1012" s="235"/>
      <c r="J1012" s="236"/>
      <c r="K1012" s="292"/>
      <c r="L1012" s="293"/>
      <c r="M1012" s="530"/>
      <c r="N1012" s="531"/>
      <c r="O1012" s="532"/>
      <c r="P1012" s="530"/>
      <c r="Q1012" s="532"/>
      <c r="R1012" s="596"/>
      <c r="S1012" s="597"/>
      <c r="T1012" s="517"/>
      <c r="U1012" s="518"/>
      <c r="V1012" s="292"/>
      <c r="W1012" s="293"/>
      <c r="X1012" s="297"/>
      <c r="Y1012" s="298"/>
      <c r="Z1012" s="299"/>
      <c r="AA1012" s="235"/>
      <c r="AB1012" s="236"/>
      <c r="AC1012" s="239" t="s">
        <v>3164</v>
      </c>
      <c r="AD1012" s="240"/>
      <c r="AE1012" s="31" t="s">
        <v>1356</v>
      </c>
      <c r="AF1012" s="167"/>
      <c r="AG1012" s="168"/>
      <c r="AH1012" s="169"/>
      <c r="AI1012" s="167"/>
      <c r="AJ1012" s="271"/>
      <c r="AK1012" s="15"/>
      <c r="AL1012" s="15"/>
    </row>
    <row r="1013" spans="1:38" ht="60" x14ac:dyDescent="0.3">
      <c r="A1013" s="179"/>
      <c r="B1013" s="292"/>
      <c r="C1013" s="314"/>
      <c r="D1013" s="293"/>
      <c r="E1013" s="72"/>
      <c r="F1013" s="235"/>
      <c r="G1013" s="270"/>
      <c r="H1013" s="236"/>
      <c r="I1013" s="235"/>
      <c r="J1013" s="236"/>
      <c r="K1013" s="292"/>
      <c r="L1013" s="293"/>
      <c r="M1013" s="530"/>
      <c r="N1013" s="531"/>
      <c r="O1013" s="532"/>
      <c r="P1013" s="530"/>
      <c r="Q1013" s="532"/>
      <c r="R1013" s="596"/>
      <c r="S1013" s="597"/>
      <c r="T1013" s="517"/>
      <c r="U1013" s="518"/>
      <c r="V1013" s="292"/>
      <c r="W1013" s="293"/>
      <c r="X1013" s="297"/>
      <c r="Y1013" s="298"/>
      <c r="Z1013" s="299"/>
      <c r="AA1013" s="235"/>
      <c r="AB1013" s="236"/>
      <c r="AC1013" s="239" t="s">
        <v>677</v>
      </c>
      <c r="AD1013" s="240"/>
      <c r="AE1013" s="31" t="s">
        <v>3167</v>
      </c>
      <c r="AF1013" s="167"/>
      <c r="AG1013" s="168"/>
      <c r="AH1013" s="169"/>
      <c r="AI1013" s="167"/>
      <c r="AJ1013" s="271"/>
      <c r="AK1013" s="15"/>
      <c r="AL1013" s="15"/>
    </row>
    <row r="1014" spans="1:38" ht="15.5" x14ac:dyDescent="0.3">
      <c r="A1014" s="179"/>
      <c r="B1014" s="292"/>
      <c r="C1014" s="314"/>
      <c r="D1014" s="293"/>
      <c r="E1014" s="73"/>
      <c r="F1014" s="235"/>
      <c r="G1014" s="270"/>
      <c r="H1014" s="236"/>
      <c r="I1014" s="235"/>
      <c r="J1014" s="236"/>
      <c r="K1014" s="292"/>
      <c r="L1014" s="293"/>
      <c r="M1014" s="530"/>
      <c r="N1014" s="531"/>
      <c r="O1014" s="532"/>
      <c r="P1014" s="530"/>
      <c r="Q1014" s="532"/>
      <c r="R1014" s="596"/>
      <c r="S1014" s="597"/>
      <c r="T1014" s="517"/>
      <c r="U1014" s="518"/>
      <c r="V1014" s="292"/>
      <c r="W1014" s="293"/>
      <c r="X1014" s="297"/>
      <c r="Y1014" s="298"/>
      <c r="Z1014" s="299"/>
      <c r="AA1014" s="235"/>
      <c r="AB1014" s="236"/>
      <c r="AC1014" s="239" t="s">
        <v>678</v>
      </c>
      <c r="AD1014" s="240"/>
      <c r="AE1014" s="31"/>
      <c r="AF1014" s="167"/>
      <c r="AG1014" s="168"/>
      <c r="AH1014" s="169"/>
      <c r="AI1014" s="167"/>
      <c r="AJ1014" s="271"/>
      <c r="AK1014" s="15"/>
      <c r="AL1014" s="15"/>
    </row>
    <row r="1015" spans="1:38" ht="90" x14ac:dyDescent="0.25">
      <c r="A1015" s="230"/>
      <c r="B1015" s="290"/>
      <c r="C1015" s="345"/>
      <c r="D1015" s="291"/>
      <c r="E1015" s="49" t="s">
        <v>3168</v>
      </c>
      <c r="F1015" s="237"/>
      <c r="G1015" s="306"/>
      <c r="H1015" s="238"/>
      <c r="I1015" s="237"/>
      <c r="J1015" s="238"/>
      <c r="K1015" s="290"/>
      <c r="L1015" s="291"/>
      <c r="M1015" s="533"/>
      <c r="N1015" s="534"/>
      <c r="O1015" s="535"/>
      <c r="P1015" s="533"/>
      <c r="Q1015" s="535"/>
      <c r="R1015" s="598"/>
      <c r="S1015" s="599"/>
      <c r="T1015" s="519"/>
      <c r="U1015" s="520"/>
      <c r="V1015" s="290"/>
      <c r="W1015" s="291"/>
      <c r="X1015" s="300"/>
      <c r="Y1015" s="301"/>
      <c r="Z1015" s="302"/>
      <c r="AA1015" s="237"/>
      <c r="AB1015" s="238"/>
      <c r="AC1015" s="225" t="s">
        <v>3165</v>
      </c>
      <c r="AD1015" s="226"/>
      <c r="AE1015" s="31"/>
      <c r="AF1015" s="214"/>
      <c r="AG1015" s="215"/>
      <c r="AH1015" s="216"/>
      <c r="AI1015" s="167"/>
      <c r="AJ1015" s="48"/>
      <c r="AK1015" s="15"/>
      <c r="AL1015" s="15"/>
    </row>
    <row r="1016" spans="1:38" ht="90" x14ac:dyDescent="0.25">
      <c r="A1016" s="178"/>
      <c r="B1016" s="303" t="s">
        <v>3169</v>
      </c>
      <c r="C1016" s="344"/>
      <c r="D1016" s="304"/>
      <c r="E1016" s="19" t="s">
        <v>3170</v>
      </c>
      <c r="F1016" s="233" t="s">
        <v>3171</v>
      </c>
      <c r="G1016" s="305"/>
      <c r="H1016" s="234"/>
      <c r="I1016" s="233" t="s">
        <v>3172</v>
      </c>
      <c r="J1016" s="234"/>
      <c r="K1016" s="303" t="s">
        <v>3173</v>
      </c>
      <c r="L1016" s="304"/>
      <c r="M1016" s="511" t="s">
        <v>3174</v>
      </c>
      <c r="N1016" s="512"/>
      <c r="O1016" s="513"/>
      <c r="P1016" s="351" t="s">
        <v>688</v>
      </c>
      <c r="Q1016" s="352"/>
      <c r="R1016" s="349">
        <v>10</v>
      </c>
      <c r="S1016" s="350"/>
      <c r="T1016" s="349">
        <v>6</v>
      </c>
      <c r="U1016" s="350"/>
      <c r="V1016" s="351" t="s">
        <v>3175</v>
      </c>
      <c r="W1016" s="352"/>
      <c r="X1016" s="334">
        <v>79</v>
      </c>
      <c r="Y1016" s="335"/>
      <c r="Z1016" s="336"/>
      <c r="AA1016" s="337" t="s">
        <v>842</v>
      </c>
      <c r="AB1016" s="338"/>
      <c r="AC1016" s="171" t="s">
        <v>675</v>
      </c>
      <c r="AD1016" s="172"/>
      <c r="AE1016" s="24" t="s">
        <v>3178</v>
      </c>
      <c r="AF1016" s="303" t="s">
        <v>3058</v>
      </c>
      <c r="AG1016" s="344"/>
      <c r="AH1016" s="304"/>
      <c r="AI1016" s="167"/>
      <c r="AJ1016" s="48"/>
      <c r="AK1016" s="15"/>
      <c r="AL1016" s="15"/>
    </row>
    <row r="1017" spans="1:38" ht="60" x14ac:dyDescent="0.25">
      <c r="A1017" s="179"/>
      <c r="B1017" s="292"/>
      <c r="C1017" s="314"/>
      <c r="D1017" s="293"/>
      <c r="E1017" s="19" t="s">
        <v>3180</v>
      </c>
      <c r="F1017" s="235"/>
      <c r="G1017" s="270"/>
      <c r="H1017" s="236"/>
      <c r="I1017" s="235"/>
      <c r="J1017" s="236"/>
      <c r="K1017" s="292"/>
      <c r="L1017" s="293"/>
      <c r="M1017" s="511" t="s">
        <v>3181</v>
      </c>
      <c r="N1017" s="512"/>
      <c r="O1017" s="513"/>
      <c r="P1017" s="351" t="s">
        <v>688</v>
      </c>
      <c r="Q1017" s="352"/>
      <c r="R1017" s="349">
        <v>10</v>
      </c>
      <c r="S1017" s="350"/>
      <c r="T1017" s="349">
        <v>6</v>
      </c>
      <c r="U1017" s="350"/>
      <c r="V1017" s="351" t="s">
        <v>3182</v>
      </c>
      <c r="W1017" s="352"/>
      <c r="X1017" s="334">
        <v>79</v>
      </c>
      <c r="Y1017" s="335"/>
      <c r="Z1017" s="336"/>
      <c r="AA1017" s="337" t="s">
        <v>842</v>
      </c>
      <c r="AB1017" s="338"/>
      <c r="AC1017" s="162" t="s">
        <v>3176</v>
      </c>
      <c r="AD1017" s="163"/>
      <c r="AE1017" s="31" t="s">
        <v>1356</v>
      </c>
      <c r="AF1017" s="292" t="s">
        <v>2541</v>
      </c>
      <c r="AG1017" s="314"/>
      <c r="AH1017" s="293"/>
      <c r="AI1017" s="167"/>
      <c r="AJ1017" s="48"/>
      <c r="AK1017" s="15"/>
      <c r="AL1017" s="15"/>
    </row>
    <row r="1018" spans="1:38" ht="60" x14ac:dyDescent="0.25">
      <c r="A1018" s="230"/>
      <c r="B1018" s="290"/>
      <c r="C1018" s="345"/>
      <c r="D1018" s="291"/>
      <c r="E1018" s="19" t="s">
        <v>3183</v>
      </c>
      <c r="F1018" s="237"/>
      <c r="G1018" s="306"/>
      <c r="H1018" s="238"/>
      <c r="I1018" s="237"/>
      <c r="J1018" s="238"/>
      <c r="K1018" s="290"/>
      <c r="L1018" s="291"/>
      <c r="M1018" s="511" t="s">
        <v>3184</v>
      </c>
      <c r="N1018" s="512"/>
      <c r="O1018" s="513"/>
      <c r="P1018" s="351" t="s">
        <v>688</v>
      </c>
      <c r="Q1018" s="352"/>
      <c r="R1018" s="349">
        <v>10</v>
      </c>
      <c r="S1018" s="350"/>
      <c r="T1018" s="349">
        <v>6</v>
      </c>
      <c r="U1018" s="350"/>
      <c r="V1018" s="351" t="s">
        <v>3185</v>
      </c>
      <c r="W1018" s="352"/>
      <c r="X1018" s="334">
        <v>79</v>
      </c>
      <c r="Y1018" s="335"/>
      <c r="Z1018" s="336"/>
      <c r="AA1018" s="337" t="s">
        <v>989</v>
      </c>
      <c r="AB1018" s="338"/>
      <c r="AC1018" s="212" t="s">
        <v>3177</v>
      </c>
      <c r="AD1018" s="213"/>
      <c r="AE1018" s="31" t="s">
        <v>3179</v>
      </c>
      <c r="AF1018" s="290"/>
      <c r="AG1018" s="345"/>
      <c r="AH1018" s="291"/>
      <c r="AI1018" s="167"/>
      <c r="AJ1018" s="48"/>
      <c r="AK1018" s="15"/>
      <c r="AL1018" s="15"/>
    </row>
    <row r="1019" spans="1:38" ht="90" x14ac:dyDescent="0.25">
      <c r="A1019" s="178"/>
      <c r="B1019" s="303" t="s">
        <v>3186</v>
      </c>
      <c r="C1019" s="344"/>
      <c r="D1019" s="304"/>
      <c r="E1019" s="19" t="s">
        <v>3187</v>
      </c>
      <c r="F1019" s="233" t="s">
        <v>3188</v>
      </c>
      <c r="G1019" s="305"/>
      <c r="H1019" s="234"/>
      <c r="I1019" s="233" t="s">
        <v>3189</v>
      </c>
      <c r="J1019" s="234"/>
      <c r="K1019" s="351" t="s">
        <v>3190</v>
      </c>
      <c r="L1019" s="352"/>
      <c r="M1019" s="527" t="s">
        <v>3191</v>
      </c>
      <c r="N1019" s="528"/>
      <c r="O1019" s="529"/>
      <c r="P1019" s="328">
        <v>3</v>
      </c>
      <c r="Q1019" s="329"/>
      <c r="R1019" s="328">
        <v>10</v>
      </c>
      <c r="S1019" s="329"/>
      <c r="T1019" s="328">
        <v>8</v>
      </c>
      <c r="U1019" s="329"/>
      <c r="V1019" s="303" t="s">
        <v>3192</v>
      </c>
      <c r="W1019" s="304"/>
      <c r="X1019" s="294">
        <v>89</v>
      </c>
      <c r="Y1019" s="295"/>
      <c r="Z1019" s="296"/>
      <c r="AA1019" s="233" t="s">
        <v>3193</v>
      </c>
      <c r="AB1019" s="234"/>
      <c r="AC1019" s="171" t="s">
        <v>3194</v>
      </c>
      <c r="AD1019" s="172"/>
      <c r="AE1019" s="24" t="s">
        <v>3197</v>
      </c>
      <c r="AF1019" s="303" t="s">
        <v>3058</v>
      </c>
      <c r="AG1019" s="344"/>
      <c r="AH1019" s="304"/>
      <c r="AI1019" s="167"/>
      <c r="AJ1019" s="48"/>
      <c r="AK1019" s="15"/>
      <c r="AL1019" s="15"/>
    </row>
    <row r="1020" spans="1:38" ht="75" x14ac:dyDescent="0.25">
      <c r="A1020" s="179"/>
      <c r="B1020" s="292"/>
      <c r="C1020" s="314"/>
      <c r="D1020" s="293"/>
      <c r="E1020" s="19" t="s">
        <v>3199</v>
      </c>
      <c r="F1020" s="235"/>
      <c r="G1020" s="270"/>
      <c r="H1020" s="236"/>
      <c r="I1020" s="235"/>
      <c r="J1020" s="236"/>
      <c r="K1020" s="351" t="s">
        <v>3190</v>
      </c>
      <c r="L1020" s="352"/>
      <c r="M1020" s="530"/>
      <c r="N1020" s="531"/>
      <c r="O1020" s="532"/>
      <c r="P1020" s="517"/>
      <c r="Q1020" s="518"/>
      <c r="R1020" s="517"/>
      <c r="S1020" s="518"/>
      <c r="T1020" s="517"/>
      <c r="U1020" s="518"/>
      <c r="V1020" s="292"/>
      <c r="W1020" s="293"/>
      <c r="X1020" s="297"/>
      <c r="Y1020" s="298"/>
      <c r="Z1020" s="299"/>
      <c r="AA1020" s="235"/>
      <c r="AB1020" s="236"/>
      <c r="AC1020" s="162" t="s">
        <v>3195</v>
      </c>
      <c r="AD1020" s="163"/>
      <c r="AE1020" s="31" t="s">
        <v>1356</v>
      </c>
      <c r="AF1020" s="292" t="s">
        <v>2541</v>
      </c>
      <c r="AG1020" s="314"/>
      <c r="AH1020" s="293"/>
      <c r="AI1020" s="167"/>
      <c r="AJ1020" s="48"/>
      <c r="AK1020" s="15"/>
      <c r="AL1020" s="15"/>
    </row>
    <row r="1021" spans="1:38" ht="75" x14ac:dyDescent="0.25">
      <c r="A1021" s="179"/>
      <c r="B1021" s="292"/>
      <c r="C1021" s="314"/>
      <c r="D1021" s="293"/>
      <c r="E1021" s="19" t="s">
        <v>3200</v>
      </c>
      <c r="F1021" s="235"/>
      <c r="G1021" s="270"/>
      <c r="H1021" s="236"/>
      <c r="I1021" s="235"/>
      <c r="J1021" s="236"/>
      <c r="K1021" s="351" t="s">
        <v>3190</v>
      </c>
      <c r="L1021" s="352"/>
      <c r="M1021" s="530"/>
      <c r="N1021" s="531"/>
      <c r="O1021" s="532"/>
      <c r="P1021" s="517"/>
      <c r="Q1021" s="518"/>
      <c r="R1021" s="517"/>
      <c r="S1021" s="518"/>
      <c r="T1021" s="517"/>
      <c r="U1021" s="518"/>
      <c r="V1021" s="292"/>
      <c r="W1021" s="293"/>
      <c r="X1021" s="297"/>
      <c r="Y1021" s="298"/>
      <c r="Z1021" s="299"/>
      <c r="AA1021" s="235"/>
      <c r="AB1021" s="236"/>
      <c r="AC1021" s="162" t="s">
        <v>3196</v>
      </c>
      <c r="AD1021" s="163"/>
      <c r="AE1021" s="31" t="s">
        <v>3198</v>
      </c>
      <c r="AF1021" s="292"/>
      <c r="AG1021" s="314"/>
      <c r="AH1021" s="293"/>
      <c r="AI1021" s="167"/>
      <c r="AJ1021" s="48"/>
      <c r="AK1021" s="15"/>
      <c r="AL1021" s="15"/>
    </row>
    <row r="1022" spans="1:38" ht="75" x14ac:dyDescent="0.25">
      <c r="A1022" s="230"/>
      <c r="B1022" s="290"/>
      <c r="C1022" s="345"/>
      <c r="D1022" s="291"/>
      <c r="E1022" s="19" t="s">
        <v>3201</v>
      </c>
      <c r="F1022" s="237"/>
      <c r="G1022" s="306"/>
      <c r="H1022" s="238"/>
      <c r="I1022" s="237"/>
      <c r="J1022" s="238"/>
      <c r="K1022" s="351" t="s">
        <v>3190</v>
      </c>
      <c r="L1022" s="352"/>
      <c r="M1022" s="533"/>
      <c r="N1022" s="534"/>
      <c r="O1022" s="535"/>
      <c r="P1022" s="519"/>
      <c r="Q1022" s="520"/>
      <c r="R1022" s="519"/>
      <c r="S1022" s="520"/>
      <c r="T1022" s="519"/>
      <c r="U1022" s="520"/>
      <c r="V1022" s="290"/>
      <c r="W1022" s="291"/>
      <c r="X1022" s="300"/>
      <c r="Y1022" s="301"/>
      <c r="Z1022" s="302"/>
      <c r="AA1022" s="237"/>
      <c r="AB1022" s="238"/>
      <c r="AC1022" s="212"/>
      <c r="AD1022" s="213"/>
      <c r="AE1022" s="31"/>
      <c r="AF1022" s="290"/>
      <c r="AG1022" s="345"/>
      <c r="AH1022" s="291"/>
      <c r="AI1022" s="214"/>
      <c r="AJ1022" s="48"/>
      <c r="AK1022" s="15"/>
      <c r="AL1022" s="15"/>
    </row>
    <row r="1023" spans="1:38" ht="120" x14ac:dyDescent="0.3">
      <c r="A1023" s="178"/>
      <c r="B1023" s="303" t="s">
        <v>3202</v>
      </c>
      <c r="C1023" s="344"/>
      <c r="D1023" s="304"/>
      <c r="E1023" s="28" t="s">
        <v>6456</v>
      </c>
      <c r="F1023" s="303" t="s">
        <v>3203</v>
      </c>
      <c r="G1023" s="344"/>
      <c r="H1023" s="304"/>
      <c r="I1023" s="233" t="s">
        <v>3204</v>
      </c>
      <c r="J1023" s="234"/>
      <c r="K1023" s="164"/>
      <c r="L1023" s="166"/>
      <c r="M1023" s="233" t="s">
        <v>1023</v>
      </c>
      <c r="N1023" s="305"/>
      <c r="O1023" s="234"/>
      <c r="P1023" s="303" t="s">
        <v>3205</v>
      </c>
      <c r="Q1023" s="304"/>
      <c r="R1023" s="303" t="s">
        <v>924</v>
      </c>
      <c r="S1023" s="304"/>
      <c r="T1023" s="328">
        <v>1</v>
      </c>
      <c r="U1023" s="329"/>
      <c r="V1023" s="303" t="s">
        <v>1759</v>
      </c>
      <c r="W1023" s="304"/>
      <c r="X1023" s="585" t="s">
        <v>1583</v>
      </c>
      <c r="Y1023" s="586"/>
      <c r="Z1023" s="587"/>
      <c r="AA1023" s="233" t="s">
        <v>2192</v>
      </c>
      <c r="AB1023" s="234"/>
      <c r="AC1023" s="171" t="s">
        <v>675</v>
      </c>
      <c r="AD1023" s="172"/>
      <c r="AE1023" s="24" t="s">
        <v>3208</v>
      </c>
      <c r="AF1023" s="164"/>
      <c r="AG1023" s="165"/>
      <c r="AH1023" s="166"/>
      <c r="AI1023" s="16" t="s">
        <v>3211</v>
      </c>
      <c r="AJ1023" s="48"/>
      <c r="AK1023" s="15"/>
      <c r="AL1023" s="15"/>
    </row>
    <row r="1024" spans="1:38" ht="120" x14ac:dyDescent="0.3">
      <c r="A1024" s="179"/>
      <c r="B1024" s="292"/>
      <c r="C1024" s="314"/>
      <c r="D1024" s="293"/>
      <c r="E1024" s="28" t="s">
        <v>6457</v>
      </c>
      <c r="F1024" s="292"/>
      <c r="G1024" s="314"/>
      <c r="H1024" s="293"/>
      <c r="I1024" s="235"/>
      <c r="J1024" s="236"/>
      <c r="K1024" s="167"/>
      <c r="L1024" s="169"/>
      <c r="M1024" s="235"/>
      <c r="N1024" s="270"/>
      <c r="O1024" s="236"/>
      <c r="P1024" s="292"/>
      <c r="Q1024" s="293"/>
      <c r="R1024" s="292"/>
      <c r="S1024" s="293"/>
      <c r="T1024" s="517"/>
      <c r="U1024" s="518"/>
      <c r="V1024" s="292"/>
      <c r="W1024" s="293"/>
      <c r="X1024" s="588"/>
      <c r="Y1024" s="589"/>
      <c r="Z1024" s="590"/>
      <c r="AA1024" s="235"/>
      <c r="AB1024" s="236"/>
      <c r="AC1024" s="162" t="s">
        <v>3206</v>
      </c>
      <c r="AD1024" s="163"/>
      <c r="AE1024" s="31" t="s">
        <v>3209</v>
      </c>
      <c r="AF1024" s="167"/>
      <c r="AG1024" s="168"/>
      <c r="AH1024" s="169"/>
      <c r="AI1024" s="43" t="s">
        <v>3212</v>
      </c>
      <c r="AJ1024" s="48"/>
      <c r="AK1024" s="15"/>
      <c r="AL1024" s="15"/>
    </row>
    <row r="1025" spans="1:38" ht="90" x14ac:dyDescent="0.3">
      <c r="A1025" s="179"/>
      <c r="B1025" s="292"/>
      <c r="C1025" s="314"/>
      <c r="D1025" s="293"/>
      <c r="E1025" s="28" t="s">
        <v>6458</v>
      </c>
      <c r="F1025" s="292"/>
      <c r="G1025" s="314"/>
      <c r="H1025" s="293"/>
      <c r="I1025" s="235"/>
      <c r="J1025" s="236"/>
      <c r="K1025" s="167"/>
      <c r="L1025" s="169"/>
      <c r="M1025" s="235"/>
      <c r="N1025" s="270"/>
      <c r="O1025" s="236"/>
      <c r="P1025" s="292"/>
      <c r="Q1025" s="293"/>
      <c r="R1025" s="292"/>
      <c r="S1025" s="293"/>
      <c r="T1025" s="517"/>
      <c r="U1025" s="518"/>
      <c r="V1025" s="292"/>
      <c r="W1025" s="293"/>
      <c r="X1025" s="588"/>
      <c r="Y1025" s="589"/>
      <c r="Z1025" s="590"/>
      <c r="AA1025" s="235"/>
      <c r="AB1025" s="236"/>
      <c r="AC1025" s="162" t="s">
        <v>3207</v>
      </c>
      <c r="AD1025" s="163"/>
      <c r="AE1025" s="31" t="s">
        <v>1356</v>
      </c>
      <c r="AF1025" s="167"/>
      <c r="AG1025" s="168"/>
      <c r="AH1025" s="169"/>
      <c r="AI1025" s="43"/>
      <c r="AJ1025" s="48"/>
      <c r="AK1025" s="15"/>
      <c r="AL1025" s="15"/>
    </row>
    <row r="1026" spans="1:38" ht="120" x14ac:dyDescent="0.3">
      <c r="A1026" s="179"/>
      <c r="B1026" s="292"/>
      <c r="C1026" s="314"/>
      <c r="D1026" s="293"/>
      <c r="E1026" s="28" t="s">
        <v>6459</v>
      </c>
      <c r="F1026" s="292"/>
      <c r="G1026" s="314"/>
      <c r="H1026" s="293"/>
      <c r="I1026" s="235"/>
      <c r="J1026" s="236"/>
      <c r="K1026" s="167"/>
      <c r="L1026" s="169"/>
      <c r="M1026" s="235"/>
      <c r="N1026" s="270"/>
      <c r="O1026" s="236"/>
      <c r="P1026" s="292"/>
      <c r="Q1026" s="293"/>
      <c r="R1026" s="292"/>
      <c r="S1026" s="293"/>
      <c r="T1026" s="517"/>
      <c r="U1026" s="518"/>
      <c r="V1026" s="292"/>
      <c r="W1026" s="293"/>
      <c r="X1026" s="588"/>
      <c r="Y1026" s="589"/>
      <c r="Z1026" s="590"/>
      <c r="AA1026" s="235"/>
      <c r="AB1026" s="236"/>
      <c r="AC1026" s="162"/>
      <c r="AD1026" s="163"/>
      <c r="AE1026" s="31" t="s">
        <v>3210</v>
      </c>
      <c r="AF1026" s="167"/>
      <c r="AG1026" s="168"/>
      <c r="AH1026" s="169"/>
      <c r="AI1026" s="43"/>
      <c r="AJ1026" s="48"/>
      <c r="AK1026" s="15"/>
      <c r="AL1026" s="15"/>
    </row>
    <row r="1027" spans="1:38" ht="120" x14ac:dyDescent="0.3">
      <c r="A1027" s="179"/>
      <c r="B1027" s="292"/>
      <c r="C1027" s="314"/>
      <c r="D1027" s="293"/>
      <c r="E1027" s="28" t="s">
        <v>6460</v>
      </c>
      <c r="F1027" s="292"/>
      <c r="G1027" s="314"/>
      <c r="H1027" s="293"/>
      <c r="I1027" s="235"/>
      <c r="J1027" s="236"/>
      <c r="K1027" s="167"/>
      <c r="L1027" s="169"/>
      <c r="M1027" s="235"/>
      <c r="N1027" s="270"/>
      <c r="O1027" s="236"/>
      <c r="P1027" s="292"/>
      <c r="Q1027" s="293"/>
      <c r="R1027" s="292"/>
      <c r="S1027" s="293"/>
      <c r="T1027" s="517"/>
      <c r="U1027" s="518"/>
      <c r="V1027" s="292"/>
      <c r="W1027" s="293"/>
      <c r="X1027" s="588"/>
      <c r="Y1027" s="589"/>
      <c r="Z1027" s="590"/>
      <c r="AA1027" s="235"/>
      <c r="AB1027" s="236"/>
      <c r="AC1027" s="162"/>
      <c r="AD1027" s="163"/>
      <c r="AE1027" s="31"/>
      <c r="AF1027" s="167"/>
      <c r="AG1027" s="168"/>
      <c r="AH1027" s="169"/>
      <c r="AI1027" s="43"/>
      <c r="AJ1027" s="48"/>
      <c r="AK1027" s="15"/>
      <c r="AL1027" s="15"/>
    </row>
    <row r="1028" spans="1:38" ht="120" x14ac:dyDescent="0.3">
      <c r="A1028" s="179"/>
      <c r="B1028" s="292"/>
      <c r="C1028" s="314"/>
      <c r="D1028" s="293"/>
      <c r="E1028" s="28" t="s">
        <v>6461</v>
      </c>
      <c r="F1028" s="292"/>
      <c r="G1028" s="314"/>
      <c r="H1028" s="293"/>
      <c r="I1028" s="235"/>
      <c r="J1028" s="236"/>
      <c r="K1028" s="167"/>
      <c r="L1028" s="169"/>
      <c r="M1028" s="235"/>
      <c r="N1028" s="270"/>
      <c r="O1028" s="236"/>
      <c r="P1028" s="292"/>
      <c r="Q1028" s="293"/>
      <c r="R1028" s="292"/>
      <c r="S1028" s="293"/>
      <c r="T1028" s="517"/>
      <c r="U1028" s="518"/>
      <c r="V1028" s="292"/>
      <c r="W1028" s="293"/>
      <c r="X1028" s="588"/>
      <c r="Y1028" s="589"/>
      <c r="Z1028" s="590"/>
      <c r="AA1028" s="235"/>
      <c r="AB1028" s="236"/>
      <c r="AC1028" s="162"/>
      <c r="AD1028" s="163"/>
      <c r="AE1028" s="31"/>
      <c r="AF1028" s="167"/>
      <c r="AG1028" s="168"/>
      <c r="AH1028" s="169"/>
      <c r="AI1028" s="43"/>
      <c r="AJ1028" s="48"/>
      <c r="AK1028" s="15"/>
      <c r="AL1028" s="15"/>
    </row>
    <row r="1029" spans="1:38" ht="120" x14ac:dyDescent="0.3">
      <c r="A1029" s="230"/>
      <c r="B1029" s="290"/>
      <c r="C1029" s="345"/>
      <c r="D1029" s="291"/>
      <c r="E1029" s="28" t="s">
        <v>6462</v>
      </c>
      <c r="F1029" s="290"/>
      <c r="G1029" s="345"/>
      <c r="H1029" s="291"/>
      <c r="I1029" s="237"/>
      <c r="J1029" s="238"/>
      <c r="K1029" s="214"/>
      <c r="L1029" s="216"/>
      <c r="M1029" s="237"/>
      <c r="N1029" s="306"/>
      <c r="O1029" s="238"/>
      <c r="P1029" s="290"/>
      <c r="Q1029" s="291"/>
      <c r="R1029" s="290"/>
      <c r="S1029" s="291"/>
      <c r="T1029" s="519"/>
      <c r="U1029" s="520"/>
      <c r="V1029" s="290"/>
      <c r="W1029" s="291"/>
      <c r="X1029" s="591"/>
      <c r="Y1029" s="592"/>
      <c r="Z1029" s="593"/>
      <c r="AA1029" s="237"/>
      <c r="AB1029" s="238"/>
      <c r="AC1029" s="212"/>
      <c r="AD1029" s="213"/>
      <c r="AE1029" s="31"/>
      <c r="AF1029" s="214"/>
      <c r="AG1029" s="215"/>
      <c r="AH1029" s="216"/>
      <c r="AI1029" s="43"/>
      <c r="AJ1029" s="48"/>
      <c r="AK1029" s="15"/>
      <c r="AL1029" s="15"/>
    </row>
    <row r="1030" spans="1:38" ht="120" x14ac:dyDescent="0.3">
      <c r="A1030" s="178"/>
      <c r="B1030" s="303" t="s">
        <v>3202</v>
      </c>
      <c r="C1030" s="344"/>
      <c r="D1030" s="304"/>
      <c r="E1030" s="28" t="s">
        <v>6463</v>
      </c>
      <c r="F1030" s="303" t="s">
        <v>3213</v>
      </c>
      <c r="G1030" s="344"/>
      <c r="H1030" s="304"/>
      <c r="I1030" s="233" t="s">
        <v>3204</v>
      </c>
      <c r="J1030" s="234"/>
      <c r="K1030" s="164"/>
      <c r="L1030" s="166"/>
      <c r="M1030" s="233" t="s">
        <v>1023</v>
      </c>
      <c r="N1030" s="305"/>
      <c r="O1030" s="234"/>
      <c r="P1030" s="303" t="s">
        <v>3205</v>
      </c>
      <c r="Q1030" s="304"/>
      <c r="R1030" s="303" t="s">
        <v>924</v>
      </c>
      <c r="S1030" s="304"/>
      <c r="T1030" s="328">
        <v>1</v>
      </c>
      <c r="U1030" s="329"/>
      <c r="V1030" s="303" t="s">
        <v>1759</v>
      </c>
      <c r="W1030" s="304"/>
      <c r="X1030" s="585" t="s">
        <v>1583</v>
      </c>
      <c r="Y1030" s="586"/>
      <c r="Z1030" s="587"/>
      <c r="AA1030" s="233" t="s">
        <v>2192</v>
      </c>
      <c r="AB1030" s="234"/>
      <c r="AC1030" s="223" t="s">
        <v>675</v>
      </c>
      <c r="AD1030" s="224"/>
      <c r="AE1030" s="24" t="s">
        <v>3208</v>
      </c>
      <c r="AF1030" s="164"/>
      <c r="AG1030" s="165"/>
      <c r="AH1030" s="166"/>
      <c r="AI1030" s="164"/>
      <c r="AJ1030" s="48"/>
      <c r="AK1030" s="15"/>
      <c r="AL1030" s="15"/>
    </row>
    <row r="1031" spans="1:38" ht="90" x14ac:dyDescent="0.3">
      <c r="A1031" s="179"/>
      <c r="B1031" s="292"/>
      <c r="C1031" s="314"/>
      <c r="D1031" s="293"/>
      <c r="E1031" s="28" t="s">
        <v>6464</v>
      </c>
      <c r="F1031" s="292"/>
      <c r="G1031" s="314"/>
      <c r="H1031" s="293"/>
      <c r="I1031" s="235"/>
      <c r="J1031" s="236"/>
      <c r="K1031" s="167"/>
      <c r="L1031" s="169"/>
      <c r="M1031" s="235"/>
      <c r="N1031" s="270"/>
      <c r="O1031" s="236"/>
      <c r="P1031" s="292"/>
      <c r="Q1031" s="293"/>
      <c r="R1031" s="292"/>
      <c r="S1031" s="293"/>
      <c r="T1031" s="517"/>
      <c r="U1031" s="518"/>
      <c r="V1031" s="292"/>
      <c r="W1031" s="293"/>
      <c r="X1031" s="588"/>
      <c r="Y1031" s="589"/>
      <c r="Z1031" s="590"/>
      <c r="AA1031" s="235"/>
      <c r="AB1031" s="236"/>
      <c r="AC1031" s="239" t="s">
        <v>3214</v>
      </c>
      <c r="AD1031" s="240"/>
      <c r="AE1031" s="31" t="s">
        <v>3216</v>
      </c>
      <c r="AF1031" s="167"/>
      <c r="AG1031" s="168"/>
      <c r="AH1031" s="169"/>
      <c r="AI1031" s="167"/>
      <c r="AJ1031" s="48"/>
      <c r="AK1031" s="15"/>
      <c r="AL1031" s="15"/>
    </row>
    <row r="1032" spans="1:38" ht="90" x14ac:dyDescent="0.3">
      <c r="A1032" s="179"/>
      <c r="B1032" s="292"/>
      <c r="C1032" s="314"/>
      <c r="D1032" s="293"/>
      <c r="E1032" s="28" t="s">
        <v>6465</v>
      </c>
      <c r="F1032" s="292"/>
      <c r="G1032" s="314"/>
      <c r="H1032" s="293"/>
      <c r="I1032" s="235"/>
      <c r="J1032" s="236"/>
      <c r="K1032" s="167"/>
      <c r="L1032" s="169"/>
      <c r="M1032" s="235"/>
      <c r="N1032" s="270"/>
      <c r="O1032" s="236"/>
      <c r="P1032" s="292"/>
      <c r="Q1032" s="293"/>
      <c r="R1032" s="292"/>
      <c r="S1032" s="293"/>
      <c r="T1032" s="517"/>
      <c r="U1032" s="518"/>
      <c r="V1032" s="292"/>
      <c r="W1032" s="293"/>
      <c r="X1032" s="588"/>
      <c r="Y1032" s="589"/>
      <c r="Z1032" s="590"/>
      <c r="AA1032" s="235"/>
      <c r="AB1032" s="236"/>
      <c r="AC1032" s="239" t="s">
        <v>2211</v>
      </c>
      <c r="AD1032" s="240"/>
      <c r="AE1032" s="31" t="s">
        <v>3217</v>
      </c>
      <c r="AF1032" s="167"/>
      <c r="AG1032" s="168"/>
      <c r="AH1032" s="169"/>
      <c r="AI1032" s="167"/>
      <c r="AJ1032" s="48"/>
      <c r="AK1032" s="15"/>
      <c r="AL1032" s="15"/>
    </row>
    <row r="1033" spans="1:38" ht="120" x14ac:dyDescent="0.3">
      <c r="A1033" s="179"/>
      <c r="B1033" s="292"/>
      <c r="C1033" s="314"/>
      <c r="D1033" s="293"/>
      <c r="E1033" s="28" t="s">
        <v>6466</v>
      </c>
      <c r="F1033" s="292"/>
      <c r="G1033" s="314"/>
      <c r="H1033" s="293"/>
      <c r="I1033" s="235"/>
      <c r="J1033" s="236"/>
      <c r="K1033" s="167"/>
      <c r="L1033" s="169"/>
      <c r="M1033" s="235"/>
      <c r="N1033" s="270"/>
      <c r="O1033" s="236"/>
      <c r="P1033" s="292"/>
      <c r="Q1033" s="293"/>
      <c r="R1033" s="292"/>
      <c r="S1033" s="293"/>
      <c r="T1033" s="517"/>
      <c r="U1033" s="518"/>
      <c r="V1033" s="292"/>
      <c r="W1033" s="293"/>
      <c r="X1033" s="588"/>
      <c r="Y1033" s="589"/>
      <c r="Z1033" s="590"/>
      <c r="AA1033" s="235"/>
      <c r="AB1033" s="236"/>
      <c r="AC1033" s="239" t="s">
        <v>3215</v>
      </c>
      <c r="AD1033" s="240"/>
      <c r="AE1033" s="31"/>
      <c r="AF1033" s="167"/>
      <c r="AG1033" s="168"/>
      <c r="AH1033" s="169"/>
      <c r="AI1033" s="167"/>
      <c r="AJ1033" s="48"/>
      <c r="AK1033" s="15"/>
      <c r="AL1033" s="15"/>
    </row>
    <row r="1034" spans="1:38" ht="120" x14ac:dyDescent="0.3">
      <c r="A1034" s="179"/>
      <c r="B1034" s="292"/>
      <c r="C1034" s="314"/>
      <c r="D1034" s="293"/>
      <c r="E1034" s="28" t="s">
        <v>6467</v>
      </c>
      <c r="F1034" s="292"/>
      <c r="G1034" s="314"/>
      <c r="H1034" s="293"/>
      <c r="I1034" s="235"/>
      <c r="J1034" s="236"/>
      <c r="K1034" s="167"/>
      <c r="L1034" s="169"/>
      <c r="M1034" s="235"/>
      <c r="N1034" s="270"/>
      <c r="O1034" s="236"/>
      <c r="P1034" s="292"/>
      <c r="Q1034" s="293"/>
      <c r="R1034" s="292"/>
      <c r="S1034" s="293"/>
      <c r="T1034" s="517"/>
      <c r="U1034" s="518"/>
      <c r="V1034" s="292"/>
      <c r="W1034" s="293"/>
      <c r="X1034" s="588"/>
      <c r="Y1034" s="589"/>
      <c r="Z1034" s="590"/>
      <c r="AA1034" s="235"/>
      <c r="AB1034" s="236"/>
      <c r="AC1034" s="239"/>
      <c r="AD1034" s="240"/>
      <c r="AE1034" s="31"/>
      <c r="AF1034" s="167"/>
      <c r="AG1034" s="168"/>
      <c r="AH1034" s="169"/>
      <c r="AI1034" s="167"/>
      <c r="AJ1034" s="48"/>
      <c r="AK1034" s="15"/>
      <c r="AL1034" s="15"/>
    </row>
    <row r="1035" spans="1:38" ht="120" x14ac:dyDescent="0.3">
      <c r="A1035" s="179"/>
      <c r="B1035" s="292"/>
      <c r="C1035" s="314"/>
      <c r="D1035" s="293"/>
      <c r="E1035" s="28" t="s">
        <v>6468</v>
      </c>
      <c r="F1035" s="292"/>
      <c r="G1035" s="314"/>
      <c r="H1035" s="293"/>
      <c r="I1035" s="235"/>
      <c r="J1035" s="236"/>
      <c r="K1035" s="167"/>
      <c r="L1035" s="169"/>
      <c r="M1035" s="235"/>
      <c r="N1035" s="270"/>
      <c r="O1035" s="236"/>
      <c r="P1035" s="292"/>
      <c r="Q1035" s="293"/>
      <c r="R1035" s="292"/>
      <c r="S1035" s="293"/>
      <c r="T1035" s="517"/>
      <c r="U1035" s="518"/>
      <c r="V1035" s="292"/>
      <c r="W1035" s="293"/>
      <c r="X1035" s="588"/>
      <c r="Y1035" s="589"/>
      <c r="Z1035" s="590"/>
      <c r="AA1035" s="235"/>
      <c r="AB1035" s="236"/>
      <c r="AC1035" s="239"/>
      <c r="AD1035" s="240"/>
      <c r="AE1035" s="31"/>
      <c r="AF1035" s="167"/>
      <c r="AG1035" s="168"/>
      <c r="AH1035" s="169"/>
      <c r="AI1035" s="167"/>
      <c r="AJ1035" s="48"/>
      <c r="AK1035" s="15"/>
      <c r="AL1035" s="15"/>
    </row>
    <row r="1036" spans="1:38" ht="120" x14ac:dyDescent="0.3">
      <c r="A1036" s="230"/>
      <c r="B1036" s="290"/>
      <c r="C1036" s="345"/>
      <c r="D1036" s="291"/>
      <c r="E1036" s="28" t="s">
        <v>6469</v>
      </c>
      <c r="F1036" s="290"/>
      <c r="G1036" s="345"/>
      <c r="H1036" s="291"/>
      <c r="I1036" s="237"/>
      <c r="J1036" s="238"/>
      <c r="K1036" s="214"/>
      <c r="L1036" s="216"/>
      <c r="M1036" s="237"/>
      <c r="N1036" s="306"/>
      <c r="O1036" s="238"/>
      <c r="P1036" s="290"/>
      <c r="Q1036" s="291"/>
      <c r="R1036" s="290"/>
      <c r="S1036" s="291"/>
      <c r="T1036" s="519"/>
      <c r="U1036" s="520"/>
      <c r="V1036" s="290"/>
      <c r="W1036" s="291"/>
      <c r="X1036" s="591"/>
      <c r="Y1036" s="592"/>
      <c r="Z1036" s="593"/>
      <c r="AA1036" s="237"/>
      <c r="AB1036" s="238"/>
      <c r="AC1036" s="225"/>
      <c r="AD1036" s="226"/>
      <c r="AE1036" s="31"/>
      <c r="AF1036" s="214"/>
      <c r="AG1036" s="215"/>
      <c r="AH1036" s="216"/>
      <c r="AI1036" s="167"/>
      <c r="AJ1036" s="48"/>
      <c r="AK1036" s="15"/>
      <c r="AL1036" s="15"/>
    </row>
    <row r="1037" spans="1:38" ht="120" x14ac:dyDescent="0.3">
      <c r="A1037" s="178"/>
      <c r="B1037" s="303" t="s">
        <v>3202</v>
      </c>
      <c r="C1037" s="344"/>
      <c r="D1037" s="304"/>
      <c r="E1037" s="28" t="s">
        <v>6470</v>
      </c>
      <c r="F1037" s="303" t="s">
        <v>3218</v>
      </c>
      <c r="G1037" s="344"/>
      <c r="H1037" s="304"/>
      <c r="I1037" s="233" t="s">
        <v>3204</v>
      </c>
      <c r="J1037" s="234"/>
      <c r="K1037" s="164"/>
      <c r="L1037" s="166"/>
      <c r="M1037" s="233" t="s">
        <v>1023</v>
      </c>
      <c r="N1037" s="305"/>
      <c r="O1037" s="234"/>
      <c r="P1037" s="303" t="s">
        <v>3205</v>
      </c>
      <c r="Q1037" s="304"/>
      <c r="R1037" s="303" t="s">
        <v>924</v>
      </c>
      <c r="S1037" s="304"/>
      <c r="T1037" s="328">
        <v>1</v>
      </c>
      <c r="U1037" s="329"/>
      <c r="V1037" s="303" t="s">
        <v>1759</v>
      </c>
      <c r="W1037" s="304"/>
      <c r="X1037" s="585" t="s">
        <v>1583</v>
      </c>
      <c r="Y1037" s="586"/>
      <c r="Z1037" s="587"/>
      <c r="AA1037" s="233" t="s">
        <v>2192</v>
      </c>
      <c r="AB1037" s="234"/>
      <c r="AC1037" s="171" t="s">
        <v>675</v>
      </c>
      <c r="AD1037" s="172"/>
      <c r="AE1037" s="24" t="s">
        <v>3208</v>
      </c>
      <c r="AF1037" s="164"/>
      <c r="AG1037" s="165"/>
      <c r="AH1037" s="166"/>
      <c r="AI1037" s="167"/>
      <c r="AJ1037" s="48"/>
      <c r="AK1037" s="15"/>
      <c r="AL1037" s="15"/>
    </row>
    <row r="1038" spans="1:38" ht="120" x14ac:dyDescent="0.3">
      <c r="A1038" s="179"/>
      <c r="B1038" s="292"/>
      <c r="C1038" s="314"/>
      <c r="D1038" s="293"/>
      <c r="E1038" s="28" t="s">
        <v>6471</v>
      </c>
      <c r="F1038" s="292"/>
      <c r="G1038" s="314"/>
      <c r="H1038" s="293"/>
      <c r="I1038" s="235"/>
      <c r="J1038" s="236"/>
      <c r="K1038" s="167"/>
      <c r="L1038" s="169"/>
      <c r="M1038" s="235"/>
      <c r="N1038" s="270"/>
      <c r="O1038" s="236"/>
      <c r="P1038" s="292"/>
      <c r="Q1038" s="293"/>
      <c r="R1038" s="292"/>
      <c r="S1038" s="293"/>
      <c r="T1038" s="517"/>
      <c r="U1038" s="518"/>
      <c r="V1038" s="292"/>
      <c r="W1038" s="293"/>
      <c r="X1038" s="588"/>
      <c r="Y1038" s="589"/>
      <c r="Z1038" s="590"/>
      <c r="AA1038" s="235"/>
      <c r="AB1038" s="236"/>
      <c r="AC1038" s="162" t="s">
        <v>3219</v>
      </c>
      <c r="AD1038" s="163"/>
      <c r="AE1038" s="31" t="s">
        <v>3221</v>
      </c>
      <c r="AF1038" s="167"/>
      <c r="AG1038" s="168"/>
      <c r="AH1038" s="169"/>
      <c r="AI1038" s="167"/>
      <c r="AJ1038" s="48"/>
      <c r="AK1038" s="15"/>
      <c r="AL1038" s="15"/>
    </row>
    <row r="1039" spans="1:38" ht="120" x14ac:dyDescent="0.3">
      <c r="A1039" s="179"/>
      <c r="B1039" s="292"/>
      <c r="C1039" s="314"/>
      <c r="D1039" s="293"/>
      <c r="E1039" s="28" t="s">
        <v>6472</v>
      </c>
      <c r="F1039" s="292"/>
      <c r="G1039" s="314"/>
      <c r="H1039" s="293"/>
      <c r="I1039" s="235"/>
      <c r="J1039" s="236"/>
      <c r="K1039" s="167"/>
      <c r="L1039" s="169"/>
      <c r="M1039" s="235"/>
      <c r="N1039" s="270"/>
      <c r="O1039" s="236"/>
      <c r="P1039" s="292"/>
      <c r="Q1039" s="293"/>
      <c r="R1039" s="292"/>
      <c r="S1039" s="293"/>
      <c r="T1039" s="517"/>
      <c r="U1039" s="518"/>
      <c r="V1039" s="292"/>
      <c r="W1039" s="293"/>
      <c r="X1039" s="588"/>
      <c r="Y1039" s="589"/>
      <c r="Z1039" s="590"/>
      <c r="AA1039" s="235"/>
      <c r="AB1039" s="236"/>
      <c r="AC1039" s="162" t="s">
        <v>3220</v>
      </c>
      <c r="AD1039" s="163"/>
      <c r="AE1039" s="31" t="s">
        <v>1356</v>
      </c>
      <c r="AF1039" s="167"/>
      <c r="AG1039" s="168"/>
      <c r="AH1039" s="169"/>
      <c r="AI1039" s="167"/>
      <c r="AJ1039" s="48"/>
      <c r="AK1039" s="15"/>
      <c r="AL1039" s="15"/>
    </row>
    <row r="1040" spans="1:38" ht="120" x14ac:dyDescent="0.3">
      <c r="A1040" s="179"/>
      <c r="B1040" s="292"/>
      <c r="C1040" s="314"/>
      <c r="D1040" s="293"/>
      <c r="E1040" s="28" t="s">
        <v>6473</v>
      </c>
      <c r="F1040" s="292"/>
      <c r="G1040" s="314"/>
      <c r="H1040" s="293"/>
      <c r="I1040" s="235"/>
      <c r="J1040" s="236"/>
      <c r="K1040" s="167"/>
      <c r="L1040" s="169"/>
      <c r="M1040" s="235"/>
      <c r="N1040" s="270"/>
      <c r="O1040" s="236"/>
      <c r="P1040" s="292"/>
      <c r="Q1040" s="293"/>
      <c r="R1040" s="292"/>
      <c r="S1040" s="293"/>
      <c r="T1040" s="517"/>
      <c r="U1040" s="518"/>
      <c r="V1040" s="292"/>
      <c r="W1040" s="293"/>
      <c r="X1040" s="588"/>
      <c r="Y1040" s="589"/>
      <c r="Z1040" s="590"/>
      <c r="AA1040" s="235"/>
      <c r="AB1040" s="236"/>
      <c r="AC1040" s="162"/>
      <c r="AD1040" s="163"/>
      <c r="AE1040" s="31" t="s">
        <v>3222</v>
      </c>
      <c r="AF1040" s="167"/>
      <c r="AG1040" s="168"/>
      <c r="AH1040" s="169"/>
      <c r="AI1040" s="167"/>
      <c r="AJ1040" s="48"/>
      <c r="AK1040" s="15"/>
      <c r="AL1040" s="15"/>
    </row>
    <row r="1041" spans="1:38" ht="135" x14ac:dyDescent="0.3">
      <c r="A1041" s="179"/>
      <c r="B1041" s="292"/>
      <c r="C1041" s="314"/>
      <c r="D1041" s="293"/>
      <c r="E1041" s="28" t="s">
        <v>6474</v>
      </c>
      <c r="F1041" s="292"/>
      <c r="G1041" s="314"/>
      <c r="H1041" s="293"/>
      <c r="I1041" s="235"/>
      <c r="J1041" s="236"/>
      <c r="K1041" s="167"/>
      <c r="L1041" s="169"/>
      <c r="M1041" s="235"/>
      <c r="N1041" s="270"/>
      <c r="O1041" s="236"/>
      <c r="P1041" s="292"/>
      <c r="Q1041" s="293"/>
      <c r="R1041" s="292"/>
      <c r="S1041" s="293"/>
      <c r="T1041" s="517"/>
      <c r="U1041" s="518"/>
      <c r="V1041" s="292"/>
      <c r="W1041" s="293"/>
      <c r="X1041" s="588"/>
      <c r="Y1041" s="589"/>
      <c r="Z1041" s="590"/>
      <c r="AA1041" s="235"/>
      <c r="AB1041" s="236"/>
      <c r="AC1041" s="162"/>
      <c r="AD1041" s="163"/>
      <c r="AE1041" s="31"/>
      <c r="AF1041" s="167"/>
      <c r="AG1041" s="168"/>
      <c r="AH1041" s="169"/>
      <c r="AI1041" s="167"/>
      <c r="AJ1041" s="48"/>
      <c r="AK1041" s="15"/>
      <c r="AL1041" s="15"/>
    </row>
    <row r="1042" spans="1:38" ht="135" x14ac:dyDescent="0.3">
      <c r="A1042" s="179"/>
      <c r="B1042" s="292"/>
      <c r="C1042" s="314"/>
      <c r="D1042" s="293"/>
      <c r="E1042" s="28" t="s">
        <v>6475</v>
      </c>
      <c r="F1042" s="292"/>
      <c r="G1042" s="314"/>
      <c r="H1042" s="293"/>
      <c r="I1042" s="235"/>
      <c r="J1042" s="236"/>
      <c r="K1042" s="167"/>
      <c r="L1042" s="169"/>
      <c r="M1042" s="235"/>
      <c r="N1042" s="270"/>
      <c r="O1042" s="236"/>
      <c r="P1042" s="292"/>
      <c r="Q1042" s="293"/>
      <c r="R1042" s="292"/>
      <c r="S1042" s="293"/>
      <c r="T1042" s="517"/>
      <c r="U1042" s="518"/>
      <c r="V1042" s="292"/>
      <c r="W1042" s="293"/>
      <c r="X1042" s="588"/>
      <c r="Y1042" s="589"/>
      <c r="Z1042" s="590"/>
      <c r="AA1042" s="235"/>
      <c r="AB1042" s="236"/>
      <c r="AC1042" s="162"/>
      <c r="AD1042" s="163"/>
      <c r="AE1042" s="31"/>
      <c r="AF1042" s="167"/>
      <c r="AG1042" s="168"/>
      <c r="AH1042" s="169"/>
      <c r="AI1042" s="167"/>
      <c r="AJ1042" s="48"/>
      <c r="AK1042" s="15"/>
      <c r="AL1042" s="15"/>
    </row>
    <row r="1043" spans="1:38" ht="120" x14ac:dyDescent="0.3">
      <c r="A1043" s="230"/>
      <c r="B1043" s="290"/>
      <c r="C1043" s="345"/>
      <c r="D1043" s="291"/>
      <c r="E1043" s="28" t="s">
        <v>6476</v>
      </c>
      <c r="F1043" s="290"/>
      <c r="G1043" s="345"/>
      <c r="H1043" s="291"/>
      <c r="I1043" s="237"/>
      <c r="J1043" s="238"/>
      <c r="K1043" s="214"/>
      <c r="L1043" s="216"/>
      <c r="M1043" s="237"/>
      <c r="N1043" s="306"/>
      <c r="O1043" s="238"/>
      <c r="P1043" s="290"/>
      <c r="Q1043" s="291"/>
      <c r="R1043" s="290"/>
      <c r="S1043" s="291"/>
      <c r="T1043" s="519"/>
      <c r="U1043" s="520"/>
      <c r="V1043" s="290"/>
      <c r="W1043" s="291"/>
      <c r="X1043" s="591"/>
      <c r="Y1043" s="592"/>
      <c r="Z1043" s="593"/>
      <c r="AA1043" s="237"/>
      <c r="AB1043" s="238"/>
      <c r="AC1043" s="212"/>
      <c r="AD1043" s="213"/>
      <c r="AE1043" s="31"/>
      <c r="AF1043" s="214"/>
      <c r="AG1043" s="215"/>
      <c r="AH1043" s="216"/>
      <c r="AI1043" s="167"/>
      <c r="AJ1043" s="48"/>
      <c r="AK1043" s="15"/>
      <c r="AL1043" s="15"/>
    </row>
    <row r="1044" spans="1:38" ht="60" x14ac:dyDescent="0.3">
      <c r="A1044" s="178"/>
      <c r="B1044" s="303" t="s">
        <v>3223</v>
      </c>
      <c r="C1044" s="344"/>
      <c r="D1044" s="304"/>
      <c r="E1044" s="66" t="s">
        <v>3224</v>
      </c>
      <c r="F1044" s="171" t="s">
        <v>3225</v>
      </c>
      <c r="G1044" s="407"/>
      <c r="H1044" s="172"/>
      <c r="I1044" s="88" t="s">
        <v>3226</v>
      </c>
      <c r="J1044" s="89"/>
      <c r="K1044" s="88" t="s">
        <v>3228</v>
      </c>
      <c r="L1044" s="89"/>
      <c r="M1044" s="392" t="s">
        <v>3230</v>
      </c>
      <c r="N1044" s="393"/>
      <c r="O1044" s="394"/>
      <c r="P1044" s="112">
        <v>3</v>
      </c>
      <c r="Q1044" s="113"/>
      <c r="R1044" s="112">
        <v>8</v>
      </c>
      <c r="S1044" s="113"/>
      <c r="T1044" s="112">
        <v>4</v>
      </c>
      <c r="U1044" s="113"/>
      <c r="V1044" s="171" t="s">
        <v>3231</v>
      </c>
      <c r="W1044" s="172"/>
      <c r="X1044" s="294">
        <v>49</v>
      </c>
      <c r="Y1044" s="295"/>
      <c r="Z1044" s="296"/>
      <c r="AA1044" s="233" t="s">
        <v>1261</v>
      </c>
      <c r="AB1044" s="234"/>
      <c r="AC1044" s="223" t="s">
        <v>3194</v>
      </c>
      <c r="AD1044" s="224"/>
      <c r="AE1044" s="24" t="s">
        <v>3234</v>
      </c>
      <c r="AF1044" s="171" t="s">
        <v>2540</v>
      </c>
      <c r="AG1044" s="407"/>
      <c r="AH1044" s="172"/>
      <c r="AI1044" s="167"/>
      <c r="AJ1044" s="271"/>
      <c r="AK1044" s="15"/>
      <c r="AL1044" s="15"/>
    </row>
    <row r="1045" spans="1:38" ht="15.5" x14ac:dyDescent="0.3">
      <c r="A1045" s="179"/>
      <c r="B1045" s="292"/>
      <c r="C1045" s="314"/>
      <c r="D1045" s="293"/>
      <c r="E1045" s="74"/>
      <c r="F1045" s="162"/>
      <c r="G1045" s="170"/>
      <c r="H1045" s="163"/>
      <c r="I1045" s="126" t="s">
        <v>3227</v>
      </c>
      <c r="J1045" s="127"/>
      <c r="K1045" s="126" t="s">
        <v>3229</v>
      </c>
      <c r="L1045" s="127"/>
      <c r="M1045" s="582"/>
      <c r="N1045" s="583"/>
      <c r="O1045" s="584"/>
      <c r="P1045" s="155">
        <v>3</v>
      </c>
      <c r="Q1045" s="157"/>
      <c r="R1045" s="155">
        <v>8</v>
      </c>
      <c r="S1045" s="157"/>
      <c r="T1045" s="155">
        <v>4</v>
      </c>
      <c r="U1045" s="157"/>
      <c r="V1045" s="162"/>
      <c r="W1045" s="163"/>
      <c r="X1045" s="297"/>
      <c r="Y1045" s="298"/>
      <c r="Z1045" s="299"/>
      <c r="AA1045" s="235"/>
      <c r="AB1045" s="236"/>
      <c r="AC1045" s="239" t="s">
        <v>3232</v>
      </c>
      <c r="AD1045" s="240"/>
      <c r="AE1045" s="31" t="s">
        <v>848</v>
      </c>
      <c r="AF1045" s="162" t="s">
        <v>2541</v>
      </c>
      <c r="AG1045" s="170"/>
      <c r="AH1045" s="163"/>
      <c r="AI1045" s="167"/>
      <c r="AJ1045" s="271"/>
      <c r="AK1045" s="15"/>
      <c r="AL1045" s="15"/>
    </row>
    <row r="1046" spans="1:38" ht="45" x14ac:dyDescent="0.3">
      <c r="A1046" s="179"/>
      <c r="B1046" s="292"/>
      <c r="C1046" s="314"/>
      <c r="D1046" s="293"/>
      <c r="E1046" s="74"/>
      <c r="F1046" s="162"/>
      <c r="G1046" s="170"/>
      <c r="H1046" s="163"/>
      <c r="I1046" s="126" t="s">
        <v>3226</v>
      </c>
      <c r="J1046" s="127"/>
      <c r="K1046" s="126" t="s">
        <v>3228</v>
      </c>
      <c r="L1046" s="127"/>
      <c r="M1046" s="582"/>
      <c r="N1046" s="583"/>
      <c r="O1046" s="584"/>
      <c r="P1046" s="155">
        <v>3</v>
      </c>
      <c r="Q1046" s="157"/>
      <c r="R1046" s="155">
        <v>8</v>
      </c>
      <c r="S1046" s="157"/>
      <c r="T1046" s="155">
        <v>4</v>
      </c>
      <c r="U1046" s="157"/>
      <c r="V1046" s="162"/>
      <c r="W1046" s="163"/>
      <c r="X1046" s="297"/>
      <c r="Y1046" s="298"/>
      <c r="Z1046" s="299"/>
      <c r="AA1046" s="235"/>
      <c r="AB1046" s="236"/>
      <c r="AC1046" s="239" t="s">
        <v>2211</v>
      </c>
      <c r="AD1046" s="240"/>
      <c r="AE1046" s="31" t="s">
        <v>1356</v>
      </c>
      <c r="AF1046" s="162"/>
      <c r="AG1046" s="170"/>
      <c r="AH1046" s="163"/>
      <c r="AI1046" s="167"/>
      <c r="AJ1046" s="271"/>
      <c r="AK1046" s="15"/>
      <c r="AL1046" s="15"/>
    </row>
    <row r="1047" spans="1:38" ht="60" x14ac:dyDescent="0.3">
      <c r="A1047" s="179"/>
      <c r="B1047" s="292"/>
      <c r="C1047" s="314"/>
      <c r="D1047" s="293"/>
      <c r="E1047" s="74"/>
      <c r="F1047" s="162"/>
      <c r="G1047" s="170"/>
      <c r="H1047" s="163"/>
      <c r="I1047" s="126" t="s">
        <v>3227</v>
      </c>
      <c r="J1047" s="127"/>
      <c r="K1047" s="126" t="s">
        <v>3229</v>
      </c>
      <c r="L1047" s="127"/>
      <c r="M1047" s="582"/>
      <c r="N1047" s="583"/>
      <c r="O1047" s="584"/>
      <c r="P1047" s="155">
        <v>3</v>
      </c>
      <c r="Q1047" s="157"/>
      <c r="R1047" s="155">
        <v>8</v>
      </c>
      <c r="S1047" s="157"/>
      <c r="T1047" s="155">
        <v>4</v>
      </c>
      <c r="U1047" s="157"/>
      <c r="V1047" s="162"/>
      <c r="W1047" s="163"/>
      <c r="X1047" s="297"/>
      <c r="Y1047" s="298"/>
      <c r="Z1047" s="299"/>
      <c r="AA1047" s="235"/>
      <c r="AB1047" s="236"/>
      <c r="AC1047" s="239" t="s">
        <v>3233</v>
      </c>
      <c r="AD1047" s="240"/>
      <c r="AE1047" s="31" t="s">
        <v>3235</v>
      </c>
      <c r="AF1047" s="162"/>
      <c r="AG1047" s="170"/>
      <c r="AH1047" s="163"/>
      <c r="AI1047" s="167"/>
      <c r="AJ1047" s="271"/>
      <c r="AK1047" s="15"/>
      <c r="AL1047" s="15"/>
    </row>
    <row r="1048" spans="1:38" ht="15.5" x14ac:dyDescent="0.3">
      <c r="A1048" s="179"/>
      <c r="B1048" s="292"/>
      <c r="C1048" s="314"/>
      <c r="D1048" s="293"/>
      <c r="E1048" s="67"/>
      <c r="F1048" s="162"/>
      <c r="G1048" s="170"/>
      <c r="H1048" s="163"/>
      <c r="I1048" s="126" t="s">
        <v>3226</v>
      </c>
      <c r="J1048" s="127"/>
      <c r="K1048" s="126" t="s">
        <v>3228</v>
      </c>
      <c r="L1048" s="127"/>
      <c r="M1048" s="395"/>
      <c r="N1048" s="396"/>
      <c r="O1048" s="397"/>
      <c r="P1048" s="155"/>
      <c r="Q1048" s="157"/>
      <c r="R1048" s="155">
        <v>8</v>
      </c>
      <c r="S1048" s="157"/>
      <c r="T1048" s="155"/>
      <c r="U1048" s="157"/>
      <c r="V1048" s="212"/>
      <c r="W1048" s="213"/>
      <c r="X1048" s="297"/>
      <c r="Y1048" s="298"/>
      <c r="Z1048" s="299"/>
      <c r="AA1048" s="235"/>
      <c r="AB1048" s="236"/>
      <c r="AC1048" s="239"/>
      <c r="AD1048" s="240"/>
      <c r="AE1048" s="31"/>
      <c r="AF1048" s="162"/>
      <c r="AG1048" s="170"/>
      <c r="AH1048" s="163"/>
      <c r="AI1048" s="167"/>
      <c r="AJ1048" s="271"/>
      <c r="AK1048" s="15"/>
      <c r="AL1048" s="15"/>
    </row>
    <row r="1049" spans="1:38" ht="75" x14ac:dyDescent="0.3">
      <c r="A1049" s="179"/>
      <c r="B1049" s="292"/>
      <c r="C1049" s="314"/>
      <c r="D1049" s="293"/>
      <c r="E1049" s="19" t="s">
        <v>3236</v>
      </c>
      <c r="F1049" s="162"/>
      <c r="G1049" s="170"/>
      <c r="H1049" s="163"/>
      <c r="I1049" s="126" t="s">
        <v>3227</v>
      </c>
      <c r="J1049" s="127"/>
      <c r="K1049" s="126" t="s">
        <v>3229</v>
      </c>
      <c r="L1049" s="127"/>
      <c r="M1049" s="511" t="s">
        <v>3230</v>
      </c>
      <c r="N1049" s="512"/>
      <c r="O1049" s="513"/>
      <c r="P1049" s="155"/>
      <c r="Q1049" s="157"/>
      <c r="R1049" s="155">
        <v>8</v>
      </c>
      <c r="S1049" s="157"/>
      <c r="T1049" s="155"/>
      <c r="U1049" s="157"/>
      <c r="V1049" s="351" t="s">
        <v>3231</v>
      </c>
      <c r="W1049" s="352"/>
      <c r="X1049" s="297"/>
      <c r="Y1049" s="298"/>
      <c r="Z1049" s="299"/>
      <c r="AA1049" s="235"/>
      <c r="AB1049" s="236"/>
      <c r="AC1049" s="239"/>
      <c r="AD1049" s="240"/>
      <c r="AE1049" s="31"/>
      <c r="AF1049" s="162"/>
      <c r="AG1049" s="170"/>
      <c r="AH1049" s="163"/>
      <c r="AI1049" s="167"/>
      <c r="AJ1049" s="48"/>
      <c r="AK1049" s="15"/>
      <c r="AL1049" s="15"/>
    </row>
    <row r="1050" spans="1:38" ht="75" x14ac:dyDescent="0.3">
      <c r="A1050" s="179"/>
      <c r="B1050" s="292"/>
      <c r="C1050" s="314"/>
      <c r="D1050" s="293"/>
      <c r="E1050" s="19" t="s">
        <v>3237</v>
      </c>
      <c r="F1050" s="162"/>
      <c r="G1050" s="170"/>
      <c r="H1050" s="163"/>
      <c r="I1050" s="126" t="s">
        <v>3226</v>
      </c>
      <c r="J1050" s="127"/>
      <c r="K1050" s="126" t="s">
        <v>3228</v>
      </c>
      <c r="L1050" s="127"/>
      <c r="M1050" s="511" t="s">
        <v>3230</v>
      </c>
      <c r="N1050" s="512"/>
      <c r="O1050" s="513"/>
      <c r="P1050" s="155"/>
      <c r="Q1050" s="157"/>
      <c r="R1050" s="155"/>
      <c r="S1050" s="157"/>
      <c r="T1050" s="155"/>
      <c r="U1050" s="157"/>
      <c r="V1050" s="351" t="s">
        <v>3231</v>
      </c>
      <c r="W1050" s="352"/>
      <c r="X1050" s="297"/>
      <c r="Y1050" s="298"/>
      <c r="Z1050" s="299"/>
      <c r="AA1050" s="235"/>
      <c r="AB1050" s="236"/>
      <c r="AC1050" s="239"/>
      <c r="AD1050" s="240"/>
      <c r="AE1050" s="31"/>
      <c r="AF1050" s="162"/>
      <c r="AG1050" s="170"/>
      <c r="AH1050" s="163"/>
      <c r="AI1050" s="167"/>
      <c r="AJ1050" s="48"/>
      <c r="AK1050" s="15"/>
      <c r="AL1050" s="15"/>
    </row>
    <row r="1051" spans="1:38" ht="75" x14ac:dyDescent="0.3">
      <c r="A1051" s="230"/>
      <c r="B1051" s="290"/>
      <c r="C1051" s="345"/>
      <c r="D1051" s="291"/>
      <c r="E1051" s="19" t="s">
        <v>3238</v>
      </c>
      <c r="F1051" s="212"/>
      <c r="G1051" s="408"/>
      <c r="H1051" s="213"/>
      <c r="I1051" s="117" t="s">
        <v>3227</v>
      </c>
      <c r="J1051" s="118"/>
      <c r="K1051" s="117" t="s">
        <v>3229</v>
      </c>
      <c r="L1051" s="118"/>
      <c r="M1051" s="511" t="s">
        <v>3239</v>
      </c>
      <c r="N1051" s="512"/>
      <c r="O1051" s="513"/>
      <c r="P1051" s="160"/>
      <c r="Q1051" s="161"/>
      <c r="R1051" s="155"/>
      <c r="S1051" s="157"/>
      <c r="T1051" s="160"/>
      <c r="U1051" s="161"/>
      <c r="V1051" s="351" t="s">
        <v>3240</v>
      </c>
      <c r="W1051" s="352"/>
      <c r="X1051" s="300"/>
      <c r="Y1051" s="301"/>
      <c r="Z1051" s="302"/>
      <c r="AA1051" s="237"/>
      <c r="AB1051" s="238"/>
      <c r="AC1051" s="225"/>
      <c r="AD1051" s="226"/>
      <c r="AE1051" s="31"/>
      <c r="AF1051" s="212"/>
      <c r="AG1051" s="408"/>
      <c r="AH1051" s="213"/>
      <c r="AI1051" s="167"/>
      <c r="AJ1051" s="48"/>
      <c r="AK1051" s="15"/>
      <c r="AL1051" s="15"/>
    </row>
    <row r="1052" spans="1:38" ht="75" x14ac:dyDescent="0.3">
      <c r="A1052" s="178"/>
      <c r="B1052" s="303" t="s">
        <v>3241</v>
      </c>
      <c r="C1052" s="344"/>
      <c r="D1052" s="304"/>
      <c r="E1052" s="19" t="s">
        <v>3242</v>
      </c>
      <c r="F1052" s="192" t="s">
        <v>3243</v>
      </c>
      <c r="G1052" s="196"/>
      <c r="H1052" s="193"/>
      <c r="I1052" s="223" t="s">
        <v>1243</v>
      </c>
      <c r="J1052" s="224"/>
      <c r="K1052" s="143" t="s">
        <v>3244</v>
      </c>
      <c r="L1052" s="145"/>
      <c r="M1052" s="356">
        <v>55</v>
      </c>
      <c r="N1052" s="510"/>
      <c r="O1052" s="357"/>
      <c r="P1052" s="332" t="s">
        <v>3163</v>
      </c>
      <c r="Q1052" s="333"/>
      <c r="R1052" s="155"/>
      <c r="S1052" s="157"/>
      <c r="T1052" s="112">
        <v>6</v>
      </c>
      <c r="U1052" s="113"/>
      <c r="V1052" s="332" t="s">
        <v>3245</v>
      </c>
      <c r="W1052" s="333"/>
      <c r="X1052" s="252">
        <v>99</v>
      </c>
      <c r="Y1052" s="253"/>
      <c r="Z1052" s="254"/>
      <c r="AA1052" s="192" t="s">
        <v>1338</v>
      </c>
      <c r="AB1052" s="193"/>
      <c r="AC1052" s="164"/>
      <c r="AD1052" s="166"/>
      <c r="AE1052" s="24" t="s">
        <v>3246</v>
      </c>
      <c r="AF1052" s="164"/>
      <c r="AG1052" s="165"/>
      <c r="AH1052" s="166"/>
      <c r="AI1052" s="167"/>
      <c r="AJ1052" s="48"/>
      <c r="AK1052" s="15"/>
      <c r="AL1052" s="15"/>
    </row>
    <row r="1053" spans="1:38" ht="60" x14ac:dyDescent="0.3">
      <c r="A1053" s="179"/>
      <c r="B1053" s="292"/>
      <c r="C1053" s="314"/>
      <c r="D1053" s="293"/>
      <c r="E1053" s="28" t="s">
        <v>3248</v>
      </c>
      <c r="F1053" s="194"/>
      <c r="G1053" s="197"/>
      <c r="H1053" s="195"/>
      <c r="I1053" s="225"/>
      <c r="J1053" s="226"/>
      <c r="K1053" s="146" t="s">
        <v>3244</v>
      </c>
      <c r="L1053" s="148"/>
      <c r="M1053" s="477">
        <v>60</v>
      </c>
      <c r="N1053" s="543"/>
      <c r="O1053" s="478"/>
      <c r="P1053" s="173" t="s">
        <v>3163</v>
      </c>
      <c r="Q1053" s="174"/>
      <c r="R1053" s="160"/>
      <c r="S1053" s="161"/>
      <c r="T1053" s="160">
        <v>6</v>
      </c>
      <c r="U1053" s="161"/>
      <c r="V1053" s="173" t="s">
        <v>3249</v>
      </c>
      <c r="W1053" s="174"/>
      <c r="X1053" s="255"/>
      <c r="Y1053" s="256"/>
      <c r="Z1053" s="257"/>
      <c r="AA1053" s="194"/>
      <c r="AB1053" s="195"/>
      <c r="AC1053" s="167"/>
      <c r="AD1053" s="169"/>
      <c r="AE1053" s="31" t="s">
        <v>1356</v>
      </c>
      <c r="AF1053" s="167"/>
      <c r="AG1053" s="168"/>
      <c r="AH1053" s="169"/>
      <c r="AI1053" s="167"/>
      <c r="AJ1053" s="48"/>
      <c r="AK1053" s="15"/>
      <c r="AL1053" s="15"/>
    </row>
    <row r="1054" spans="1:38" ht="60" x14ac:dyDescent="0.3">
      <c r="A1054" s="179"/>
      <c r="B1054" s="292"/>
      <c r="C1054" s="314"/>
      <c r="D1054" s="293"/>
      <c r="E1054" s="19" t="s">
        <v>3250</v>
      </c>
      <c r="F1054" s="171" t="s">
        <v>3251</v>
      </c>
      <c r="G1054" s="407"/>
      <c r="H1054" s="172"/>
      <c r="I1054" s="171" t="s">
        <v>3252</v>
      </c>
      <c r="J1054" s="172"/>
      <c r="K1054" s="143" t="s">
        <v>3254</v>
      </c>
      <c r="L1054" s="145"/>
      <c r="M1054" s="332" t="s">
        <v>3255</v>
      </c>
      <c r="N1054" s="374"/>
      <c r="O1054" s="333"/>
      <c r="P1054" s="208" t="s">
        <v>1759</v>
      </c>
      <c r="Q1054" s="209"/>
      <c r="R1054" s="112">
        <v>23</v>
      </c>
      <c r="S1054" s="113"/>
      <c r="T1054" s="112">
        <v>10</v>
      </c>
      <c r="U1054" s="113"/>
      <c r="V1054" s="332" t="s">
        <v>3256</v>
      </c>
      <c r="W1054" s="333"/>
      <c r="X1054" s="294">
        <v>178</v>
      </c>
      <c r="Y1054" s="295"/>
      <c r="Z1054" s="296"/>
      <c r="AA1054" s="233" t="s">
        <v>1742</v>
      </c>
      <c r="AB1054" s="234"/>
      <c r="AC1054" s="167"/>
      <c r="AD1054" s="169"/>
      <c r="AE1054" s="31" t="s">
        <v>3247</v>
      </c>
      <c r="AF1054" s="167"/>
      <c r="AG1054" s="168"/>
      <c r="AH1054" s="169"/>
      <c r="AI1054" s="167"/>
      <c r="AJ1054" s="48"/>
      <c r="AK1054" s="15"/>
      <c r="AL1054" s="15"/>
    </row>
    <row r="1055" spans="1:38" ht="60" x14ac:dyDescent="0.3">
      <c r="A1055" s="179"/>
      <c r="B1055" s="292"/>
      <c r="C1055" s="314"/>
      <c r="D1055" s="293"/>
      <c r="E1055" s="28" t="s">
        <v>3257</v>
      </c>
      <c r="F1055" s="162"/>
      <c r="G1055" s="170"/>
      <c r="H1055" s="163"/>
      <c r="I1055" s="162" t="s">
        <v>3253</v>
      </c>
      <c r="J1055" s="163"/>
      <c r="K1055" s="104" t="s">
        <v>3254</v>
      </c>
      <c r="L1055" s="105"/>
      <c r="M1055" s="173" t="s">
        <v>3255</v>
      </c>
      <c r="N1055" s="276"/>
      <c r="O1055" s="174"/>
      <c r="P1055" s="280" t="s">
        <v>1759</v>
      </c>
      <c r="Q1055" s="281"/>
      <c r="R1055" s="155">
        <v>23</v>
      </c>
      <c r="S1055" s="157"/>
      <c r="T1055" s="155">
        <v>10</v>
      </c>
      <c r="U1055" s="157"/>
      <c r="V1055" s="173" t="s">
        <v>3256</v>
      </c>
      <c r="W1055" s="174"/>
      <c r="X1055" s="297"/>
      <c r="Y1055" s="298"/>
      <c r="Z1055" s="299"/>
      <c r="AA1055" s="235"/>
      <c r="AB1055" s="236"/>
      <c r="AC1055" s="167"/>
      <c r="AD1055" s="169"/>
      <c r="AE1055" s="31"/>
      <c r="AF1055" s="167"/>
      <c r="AG1055" s="168"/>
      <c r="AH1055" s="169"/>
      <c r="AI1055" s="167"/>
      <c r="AJ1055" s="48"/>
      <c r="AK1055" s="15"/>
      <c r="AL1055" s="15"/>
    </row>
    <row r="1056" spans="1:38" ht="60" x14ac:dyDescent="0.3">
      <c r="A1056" s="179"/>
      <c r="B1056" s="292"/>
      <c r="C1056" s="314"/>
      <c r="D1056" s="293"/>
      <c r="E1056" s="19" t="s">
        <v>3258</v>
      </c>
      <c r="F1056" s="162"/>
      <c r="G1056" s="170"/>
      <c r="H1056" s="163"/>
      <c r="I1056" s="162"/>
      <c r="J1056" s="163"/>
      <c r="K1056" s="104" t="s">
        <v>3254</v>
      </c>
      <c r="L1056" s="105"/>
      <c r="M1056" s="332" t="s">
        <v>3255</v>
      </c>
      <c r="N1056" s="374"/>
      <c r="O1056" s="333"/>
      <c r="P1056" s="280" t="s">
        <v>1759</v>
      </c>
      <c r="Q1056" s="281"/>
      <c r="R1056" s="155">
        <v>23</v>
      </c>
      <c r="S1056" s="157"/>
      <c r="T1056" s="155">
        <v>10</v>
      </c>
      <c r="U1056" s="157"/>
      <c r="V1056" s="332" t="s">
        <v>3256</v>
      </c>
      <c r="W1056" s="333"/>
      <c r="X1056" s="297"/>
      <c r="Y1056" s="298"/>
      <c r="Z1056" s="299"/>
      <c r="AA1056" s="235"/>
      <c r="AB1056" s="236"/>
      <c r="AC1056" s="167"/>
      <c r="AD1056" s="169"/>
      <c r="AE1056" s="31"/>
      <c r="AF1056" s="167"/>
      <c r="AG1056" s="168"/>
      <c r="AH1056" s="169"/>
      <c r="AI1056" s="167"/>
      <c r="AJ1056" s="48"/>
      <c r="AK1056" s="15"/>
      <c r="AL1056" s="15"/>
    </row>
    <row r="1057" spans="1:38" ht="60" x14ac:dyDescent="0.3">
      <c r="A1057" s="179"/>
      <c r="B1057" s="292"/>
      <c r="C1057" s="314"/>
      <c r="D1057" s="293"/>
      <c r="E1057" s="28" t="s">
        <v>3259</v>
      </c>
      <c r="F1057" s="212"/>
      <c r="G1057" s="408"/>
      <c r="H1057" s="213"/>
      <c r="I1057" s="212"/>
      <c r="J1057" s="213"/>
      <c r="K1057" s="146" t="s">
        <v>3254</v>
      </c>
      <c r="L1057" s="148"/>
      <c r="M1057" s="173" t="s">
        <v>3255</v>
      </c>
      <c r="N1057" s="276"/>
      <c r="O1057" s="174"/>
      <c r="P1057" s="210" t="s">
        <v>1759</v>
      </c>
      <c r="Q1057" s="211"/>
      <c r="R1057" s="160">
        <v>23</v>
      </c>
      <c r="S1057" s="161"/>
      <c r="T1057" s="160">
        <v>10</v>
      </c>
      <c r="U1057" s="161"/>
      <c r="V1057" s="173" t="s">
        <v>3256</v>
      </c>
      <c r="W1057" s="174"/>
      <c r="X1057" s="300"/>
      <c r="Y1057" s="301"/>
      <c r="Z1057" s="302"/>
      <c r="AA1057" s="237"/>
      <c r="AB1057" s="238"/>
      <c r="AC1057" s="167"/>
      <c r="AD1057" s="169"/>
      <c r="AE1057" s="31"/>
      <c r="AF1057" s="167"/>
      <c r="AG1057" s="168"/>
      <c r="AH1057" s="169"/>
      <c r="AI1057" s="167"/>
      <c r="AJ1057" s="48"/>
      <c r="AK1057" s="15"/>
      <c r="AL1057" s="15"/>
    </row>
    <row r="1058" spans="1:38" ht="105" x14ac:dyDescent="0.3">
      <c r="A1058" s="179"/>
      <c r="B1058" s="292"/>
      <c r="C1058" s="314"/>
      <c r="D1058" s="293"/>
      <c r="E1058" s="28" t="s">
        <v>3260</v>
      </c>
      <c r="F1058" s="409" t="s">
        <v>2933</v>
      </c>
      <c r="G1058" s="410"/>
      <c r="H1058" s="411"/>
      <c r="I1058" s="382">
        <v>18</v>
      </c>
      <c r="J1058" s="383"/>
      <c r="K1058" s="114" t="s">
        <v>3261</v>
      </c>
      <c r="L1058" s="116"/>
      <c r="M1058" s="173" t="s">
        <v>3262</v>
      </c>
      <c r="N1058" s="276"/>
      <c r="O1058" s="174"/>
      <c r="P1058" s="208" t="s">
        <v>3263</v>
      </c>
      <c r="Q1058" s="209"/>
      <c r="R1058" s="112">
        <v>39</v>
      </c>
      <c r="S1058" s="113"/>
      <c r="T1058" s="112">
        <v>22</v>
      </c>
      <c r="U1058" s="113"/>
      <c r="V1058" s="173" t="s">
        <v>3264</v>
      </c>
      <c r="W1058" s="174"/>
      <c r="X1058" s="294">
        <v>358</v>
      </c>
      <c r="Y1058" s="295"/>
      <c r="Z1058" s="296"/>
      <c r="AA1058" s="233" t="s">
        <v>1742</v>
      </c>
      <c r="AB1058" s="234"/>
      <c r="AC1058" s="167"/>
      <c r="AD1058" s="169"/>
      <c r="AE1058" s="31"/>
      <c r="AF1058" s="167"/>
      <c r="AG1058" s="168"/>
      <c r="AH1058" s="169"/>
      <c r="AI1058" s="167"/>
      <c r="AJ1058" s="48"/>
      <c r="AK1058" s="15"/>
      <c r="AL1058" s="15"/>
    </row>
    <row r="1059" spans="1:38" ht="105" x14ac:dyDescent="0.3">
      <c r="A1059" s="179"/>
      <c r="B1059" s="292"/>
      <c r="C1059" s="314"/>
      <c r="D1059" s="293"/>
      <c r="E1059" s="28" t="s">
        <v>3265</v>
      </c>
      <c r="F1059" s="401"/>
      <c r="G1059" s="402"/>
      <c r="H1059" s="403"/>
      <c r="I1059" s="382">
        <v>18</v>
      </c>
      <c r="J1059" s="383"/>
      <c r="K1059" s="114" t="s">
        <v>3261</v>
      </c>
      <c r="L1059" s="116"/>
      <c r="M1059" s="173" t="s">
        <v>3262</v>
      </c>
      <c r="N1059" s="276"/>
      <c r="O1059" s="174"/>
      <c r="P1059" s="280" t="s">
        <v>3263</v>
      </c>
      <c r="Q1059" s="281"/>
      <c r="R1059" s="155">
        <v>39</v>
      </c>
      <c r="S1059" s="157"/>
      <c r="T1059" s="155">
        <v>22</v>
      </c>
      <c r="U1059" s="157"/>
      <c r="V1059" s="173" t="s">
        <v>3264</v>
      </c>
      <c r="W1059" s="174"/>
      <c r="X1059" s="297"/>
      <c r="Y1059" s="298"/>
      <c r="Z1059" s="299"/>
      <c r="AA1059" s="235"/>
      <c r="AB1059" s="236"/>
      <c r="AC1059" s="167"/>
      <c r="AD1059" s="169"/>
      <c r="AE1059" s="31"/>
      <c r="AF1059" s="167"/>
      <c r="AG1059" s="168"/>
      <c r="AH1059" s="169"/>
      <c r="AI1059" s="167"/>
      <c r="AJ1059" s="48"/>
      <c r="AK1059" s="15"/>
      <c r="AL1059" s="15"/>
    </row>
    <row r="1060" spans="1:38" ht="105" x14ac:dyDescent="0.3">
      <c r="A1060" s="179"/>
      <c r="B1060" s="292"/>
      <c r="C1060" s="314"/>
      <c r="D1060" s="293"/>
      <c r="E1060" s="28" t="s">
        <v>3266</v>
      </c>
      <c r="F1060" s="401"/>
      <c r="G1060" s="402"/>
      <c r="H1060" s="403"/>
      <c r="I1060" s="382">
        <v>18</v>
      </c>
      <c r="J1060" s="383"/>
      <c r="K1060" s="114" t="s">
        <v>3261</v>
      </c>
      <c r="L1060" s="116"/>
      <c r="M1060" s="173" t="s">
        <v>3262</v>
      </c>
      <c r="N1060" s="276"/>
      <c r="O1060" s="174"/>
      <c r="P1060" s="280" t="s">
        <v>3263</v>
      </c>
      <c r="Q1060" s="281"/>
      <c r="R1060" s="155">
        <v>39</v>
      </c>
      <c r="S1060" s="157"/>
      <c r="T1060" s="155">
        <v>22</v>
      </c>
      <c r="U1060" s="157"/>
      <c r="V1060" s="173" t="s">
        <v>3264</v>
      </c>
      <c r="W1060" s="174"/>
      <c r="X1060" s="297"/>
      <c r="Y1060" s="298"/>
      <c r="Z1060" s="299"/>
      <c r="AA1060" s="235"/>
      <c r="AB1060" s="236"/>
      <c r="AC1060" s="167"/>
      <c r="AD1060" s="169"/>
      <c r="AE1060" s="31"/>
      <c r="AF1060" s="167"/>
      <c r="AG1060" s="168"/>
      <c r="AH1060" s="169"/>
      <c r="AI1060" s="167"/>
      <c r="AJ1060" s="48"/>
      <c r="AK1060" s="15"/>
      <c r="AL1060" s="15"/>
    </row>
    <row r="1061" spans="1:38" ht="105" x14ac:dyDescent="0.3">
      <c r="A1061" s="230"/>
      <c r="B1061" s="290"/>
      <c r="C1061" s="345"/>
      <c r="D1061" s="291"/>
      <c r="E1061" s="28" t="s">
        <v>3267</v>
      </c>
      <c r="F1061" s="404"/>
      <c r="G1061" s="405"/>
      <c r="H1061" s="406"/>
      <c r="I1061" s="382">
        <v>18</v>
      </c>
      <c r="J1061" s="383"/>
      <c r="K1061" s="114" t="s">
        <v>3261</v>
      </c>
      <c r="L1061" s="116"/>
      <c r="M1061" s="173" t="s">
        <v>3262</v>
      </c>
      <c r="N1061" s="276"/>
      <c r="O1061" s="174"/>
      <c r="P1061" s="210" t="s">
        <v>3263</v>
      </c>
      <c r="Q1061" s="211"/>
      <c r="R1061" s="160">
        <v>39</v>
      </c>
      <c r="S1061" s="161"/>
      <c r="T1061" s="160">
        <v>22</v>
      </c>
      <c r="U1061" s="161"/>
      <c r="V1061" s="173" t="s">
        <v>3264</v>
      </c>
      <c r="W1061" s="174"/>
      <c r="X1061" s="300"/>
      <c r="Y1061" s="301"/>
      <c r="Z1061" s="302"/>
      <c r="AA1061" s="237"/>
      <c r="AB1061" s="238"/>
      <c r="AC1061" s="214"/>
      <c r="AD1061" s="216"/>
      <c r="AE1061" s="31"/>
      <c r="AF1061" s="214"/>
      <c r="AG1061" s="215"/>
      <c r="AH1061" s="216"/>
      <c r="AI1061" s="167"/>
      <c r="AJ1061" s="48"/>
      <c r="AK1061" s="15"/>
      <c r="AL1061" s="15"/>
    </row>
    <row r="1062" spans="1:38" ht="75" x14ac:dyDescent="0.25">
      <c r="A1062" s="178"/>
      <c r="B1062" s="303" t="s">
        <v>3268</v>
      </c>
      <c r="C1062" s="344"/>
      <c r="D1062" s="304"/>
      <c r="E1062" s="28" t="s">
        <v>3269</v>
      </c>
      <c r="F1062" s="124" t="s">
        <v>3270</v>
      </c>
      <c r="G1062" s="182"/>
      <c r="H1062" s="125"/>
      <c r="I1062" s="380" t="s">
        <v>2840</v>
      </c>
      <c r="J1062" s="381"/>
      <c r="K1062" s="114" t="s">
        <v>3271</v>
      </c>
      <c r="L1062" s="116"/>
      <c r="M1062" s="183">
        <v>105</v>
      </c>
      <c r="N1062" s="184"/>
      <c r="O1062" s="185"/>
      <c r="P1062" s="173" t="s">
        <v>2875</v>
      </c>
      <c r="Q1062" s="174"/>
      <c r="R1062" s="112">
        <v>23</v>
      </c>
      <c r="S1062" s="113"/>
      <c r="T1062" s="183">
        <v>9</v>
      </c>
      <c r="U1062" s="185"/>
      <c r="V1062" s="173" t="s">
        <v>3272</v>
      </c>
      <c r="W1062" s="174"/>
      <c r="X1062" s="227">
        <v>198</v>
      </c>
      <c r="Y1062" s="228"/>
      <c r="Z1062" s="229"/>
      <c r="AA1062" s="110" t="s">
        <v>1342</v>
      </c>
      <c r="AB1062" s="111"/>
      <c r="AC1062" s="171" t="s">
        <v>3194</v>
      </c>
      <c r="AD1062" s="172"/>
      <c r="AE1062" s="24" t="s">
        <v>3274</v>
      </c>
      <c r="AF1062" s="303" t="s">
        <v>2566</v>
      </c>
      <c r="AG1062" s="344"/>
      <c r="AH1062" s="304"/>
      <c r="AI1062" s="167"/>
      <c r="AJ1062" s="48"/>
      <c r="AK1062" s="15"/>
      <c r="AL1062" s="15"/>
    </row>
    <row r="1063" spans="1:38" ht="45" x14ac:dyDescent="0.25">
      <c r="A1063" s="179"/>
      <c r="B1063" s="292"/>
      <c r="C1063" s="314"/>
      <c r="D1063" s="293"/>
      <c r="E1063" s="19" t="s">
        <v>3276</v>
      </c>
      <c r="F1063" s="346" t="s">
        <v>3277</v>
      </c>
      <c r="G1063" s="347"/>
      <c r="H1063" s="348"/>
      <c r="I1063" s="430" t="s">
        <v>1213</v>
      </c>
      <c r="J1063" s="431"/>
      <c r="K1063" s="114" t="s">
        <v>3278</v>
      </c>
      <c r="L1063" s="116"/>
      <c r="M1063" s="349">
        <v>122</v>
      </c>
      <c r="N1063" s="423"/>
      <c r="O1063" s="350"/>
      <c r="P1063" s="332" t="s">
        <v>2881</v>
      </c>
      <c r="Q1063" s="333"/>
      <c r="R1063" s="160">
        <v>23</v>
      </c>
      <c r="S1063" s="161"/>
      <c r="T1063" s="349">
        <v>10</v>
      </c>
      <c r="U1063" s="350"/>
      <c r="V1063" s="332" t="s">
        <v>3279</v>
      </c>
      <c r="W1063" s="333"/>
      <c r="X1063" s="334">
        <v>248</v>
      </c>
      <c r="Y1063" s="335"/>
      <c r="Z1063" s="336"/>
      <c r="AA1063" s="337" t="s">
        <v>717</v>
      </c>
      <c r="AB1063" s="338"/>
      <c r="AC1063" s="162" t="s">
        <v>3273</v>
      </c>
      <c r="AD1063" s="163"/>
      <c r="AE1063" s="31" t="s">
        <v>1356</v>
      </c>
      <c r="AF1063" s="292" t="s">
        <v>2541</v>
      </c>
      <c r="AG1063" s="314"/>
      <c r="AH1063" s="293"/>
      <c r="AI1063" s="167"/>
      <c r="AJ1063" s="48"/>
      <c r="AK1063" s="15"/>
      <c r="AL1063" s="15"/>
    </row>
    <row r="1064" spans="1:38" ht="60" x14ac:dyDescent="0.25">
      <c r="A1064" s="179"/>
      <c r="B1064" s="292"/>
      <c r="C1064" s="314"/>
      <c r="D1064" s="293"/>
      <c r="E1064" s="28" t="s">
        <v>3280</v>
      </c>
      <c r="F1064" s="124" t="s">
        <v>3281</v>
      </c>
      <c r="G1064" s="182"/>
      <c r="H1064" s="125"/>
      <c r="I1064" s="380" t="s">
        <v>3282</v>
      </c>
      <c r="J1064" s="381"/>
      <c r="K1064" s="114" t="s">
        <v>3283</v>
      </c>
      <c r="L1064" s="116"/>
      <c r="M1064" s="183">
        <v>165</v>
      </c>
      <c r="N1064" s="184"/>
      <c r="O1064" s="185"/>
      <c r="P1064" s="173" t="s">
        <v>2889</v>
      </c>
      <c r="Q1064" s="174"/>
      <c r="R1064" s="183">
        <v>30</v>
      </c>
      <c r="S1064" s="185"/>
      <c r="T1064" s="183">
        <v>12</v>
      </c>
      <c r="U1064" s="185"/>
      <c r="V1064" s="173" t="s">
        <v>3284</v>
      </c>
      <c r="W1064" s="174"/>
      <c r="X1064" s="227">
        <v>308</v>
      </c>
      <c r="Y1064" s="228"/>
      <c r="Z1064" s="229"/>
      <c r="AA1064" s="110" t="s">
        <v>1090</v>
      </c>
      <c r="AB1064" s="111"/>
      <c r="AC1064" s="162"/>
      <c r="AD1064" s="163"/>
      <c r="AE1064" s="31" t="s">
        <v>3275</v>
      </c>
      <c r="AF1064" s="292"/>
      <c r="AG1064" s="314"/>
      <c r="AH1064" s="293"/>
      <c r="AI1064" s="167"/>
      <c r="AJ1064" s="48"/>
      <c r="AK1064" s="15"/>
      <c r="AL1064" s="15"/>
    </row>
    <row r="1065" spans="1:38" ht="75" x14ac:dyDescent="0.25">
      <c r="A1065" s="179"/>
      <c r="B1065" s="292"/>
      <c r="C1065" s="314"/>
      <c r="D1065" s="293"/>
      <c r="E1065" s="28" t="s">
        <v>3285</v>
      </c>
      <c r="F1065" s="88" t="s">
        <v>3286</v>
      </c>
      <c r="G1065" s="153"/>
      <c r="H1065" s="89"/>
      <c r="I1065" s="382">
        <v>15</v>
      </c>
      <c r="J1065" s="383"/>
      <c r="K1065" s="114" t="s">
        <v>3289</v>
      </c>
      <c r="L1065" s="116"/>
      <c r="M1065" s="114" t="s">
        <v>3290</v>
      </c>
      <c r="N1065" s="115"/>
      <c r="O1065" s="116"/>
      <c r="P1065" s="114" t="s">
        <v>2875</v>
      </c>
      <c r="Q1065" s="116"/>
      <c r="R1065" s="183">
        <v>23</v>
      </c>
      <c r="S1065" s="185"/>
      <c r="T1065" s="183">
        <v>9</v>
      </c>
      <c r="U1065" s="185"/>
      <c r="V1065" s="114" t="s">
        <v>3291</v>
      </c>
      <c r="W1065" s="116"/>
      <c r="X1065" s="227">
        <v>238</v>
      </c>
      <c r="Y1065" s="228"/>
      <c r="Z1065" s="229"/>
      <c r="AA1065" s="110" t="s">
        <v>1739</v>
      </c>
      <c r="AB1065" s="111"/>
      <c r="AC1065" s="162"/>
      <c r="AD1065" s="163"/>
      <c r="AE1065" s="31"/>
      <c r="AF1065" s="292"/>
      <c r="AG1065" s="314"/>
      <c r="AH1065" s="293"/>
      <c r="AI1065" s="167"/>
      <c r="AJ1065" s="48"/>
      <c r="AK1065" s="15"/>
      <c r="AL1065" s="15"/>
    </row>
    <row r="1066" spans="1:38" ht="75" x14ac:dyDescent="0.25">
      <c r="A1066" s="179"/>
      <c r="B1066" s="292"/>
      <c r="C1066" s="314"/>
      <c r="D1066" s="293"/>
      <c r="E1066" s="28" t="s">
        <v>3292</v>
      </c>
      <c r="F1066" s="126" t="s">
        <v>3287</v>
      </c>
      <c r="G1066" s="203"/>
      <c r="H1066" s="127"/>
      <c r="I1066" s="382">
        <v>16</v>
      </c>
      <c r="J1066" s="383"/>
      <c r="K1066" s="114" t="s">
        <v>3293</v>
      </c>
      <c r="L1066" s="116"/>
      <c r="M1066" s="114" t="s">
        <v>3294</v>
      </c>
      <c r="N1066" s="115"/>
      <c r="O1066" s="116"/>
      <c r="P1066" s="114" t="s">
        <v>2881</v>
      </c>
      <c r="Q1066" s="116"/>
      <c r="R1066" s="183">
        <v>23</v>
      </c>
      <c r="S1066" s="185"/>
      <c r="T1066" s="183">
        <v>10</v>
      </c>
      <c r="U1066" s="185"/>
      <c r="V1066" s="114" t="s">
        <v>3295</v>
      </c>
      <c r="W1066" s="116"/>
      <c r="X1066" s="227">
        <v>288</v>
      </c>
      <c r="Y1066" s="228"/>
      <c r="Z1066" s="229"/>
      <c r="AA1066" s="110" t="s">
        <v>842</v>
      </c>
      <c r="AB1066" s="111"/>
      <c r="AC1066" s="162"/>
      <c r="AD1066" s="163"/>
      <c r="AE1066" s="31"/>
      <c r="AF1066" s="292"/>
      <c r="AG1066" s="314"/>
      <c r="AH1066" s="293"/>
      <c r="AI1066" s="167"/>
      <c r="AJ1066" s="48"/>
      <c r="AK1066" s="15"/>
      <c r="AL1066" s="15"/>
    </row>
    <row r="1067" spans="1:38" ht="75" x14ac:dyDescent="0.25">
      <c r="A1067" s="179"/>
      <c r="B1067" s="292"/>
      <c r="C1067" s="314"/>
      <c r="D1067" s="293"/>
      <c r="E1067" s="28" t="s">
        <v>3296</v>
      </c>
      <c r="F1067" s="117" t="s">
        <v>3288</v>
      </c>
      <c r="G1067" s="154"/>
      <c r="H1067" s="118"/>
      <c r="I1067" s="380" t="s">
        <v>1395</v>
      </c>
      <c r="J1067" s="381"/>
      <c r="K1067" s="114" t="s">
        <v>3297</v>
      </c>
      <c r="L1067" s="116"/>
      <c r="M1067" s="114" t="s">
        <v>3298</v>
      </c>
      <c r="N1067" s="115"/>
      <c r="O1067" s="116"/>
      <c r="P1067" s="114" t="s">
        <v>2889</v>
      </c>
      <c r="Q1067" s="116"/>
      <c r="R1067" s="183">
        <v>36</v>
      </c>
      <c r="S1067" s="185"/>
      <c r="T1067" s="183">
        <v>12</v>
      </c>
      <c r="U1067" s="185"/>
      <c r="V1067" s="114" t="s">
        <v>3299</v>
      </c>
      <c r="W1067" s="116"/>
      <c r="X1067" s="227">
        <v>348</v>
      </c>
      <c r="Y1067" s="228"/>
      <c r="Z1067" s="229"/>
      <c r="AA1067" s="110" t="s">
        <v>1159</v>
      </c>
      <c r="AB1067" s="111"/>
      <c r="AC1067" s="162"/>
      <c r="AD1067" s="163"/>
      <c r="AE1067" s="31"/>
      <c r="AF1067" s="292"/>
      <c r="AG1067" s="314"/>
      <c r="AH1067" s="293"/>
      <c r="AI1067" s="167"/>
      <c r="AJ1067" s="48"/>
      <c r="AK1067" s="15"/>
      <c r="AL1067" s="15"/>
    </row>
    <row r="1068" spans="1:38" ht="75" x14ac:dyDescent="0.25">
      <c r="A1068" s="179"/>
      <c r="B1068" s="292"/>
      <c r="C1068" s="314"/>
      <c r="D1068" s="293"/>
      <c r="E1068" s="19" t="s">
        <v>3300</v>
      </c>
      <c r="F1068" s="346" t="s">
        <v>3301</v>
      </c>
      <c r="G1068" s="347"/>
      <c r="H1068" s="348"/>
      <c r="I1068" s="445">
        <v>13</v>
      </c>
      <c r="J1068" s="446"/>
      <c r="K1068" s="351" t="s">
        <v>3302</v>
      </c>
      <c r="L1068" s="352"/>
      <c r="M1068" s="349">
        <v>116</v>
      </c>
      <c r="N1068" s="423"/>
      <c r="O1068" s="350"/>
      <c r="P1068" s="351" t="s">
        <v>2875</v>
      </c>
      <c r="Q1068" s="352"/>
      <c r="R1068" s="349">
        <v>23</v>
      </c>
      <c r="S1068" s="350"/>
      <c r="T1068" s="349">
        <v>9</v>
      </c>
      <c r="U1068" s="350"/>
      <c r="V1068" s="332" t="s">
        <v>3303</v>
      </c>
      <c r="W1068" s="333"/>
      <c r="X1068" s="334">
        <v>218</v>
      </c>
      <c r="Y1068" s="335"/>
      <c r="Z1068" s="336"/>
      <c r="AA1068" s="337" t="s">
        <v>1023</v>
      </c>
      <c r="AB1068" s="338"/>
      <c r="AC1068" s="162"/>
      <c r="AD1068" s="163"/>
      <c r="AE1068" s="31"/>
      <c r="AF1068" s="292"/>
      <c r="AG1068" s="314"/>
      <c r="AH1068" s="293"/>
      <c r="AI1068" s="167"/>
      <c r="AJ1068" s="48"/>
      <c r="AK1068" s="15"/>
      <c r="AL1068" s="15"/>
    </row>
    <row r="1069" spans="1:38" ht="75" x14ac:dyDescent="0.25">
      <c r="A1069" s="179"/>
      <c r="B1069" s="292"/>
      <c r="C1069" s="314"/>
      <c r="D1069" s="293"/>
      <c r="E1069" s="28" t="s">
        <v>3304</v>
      </c>
      <c r="F1069" s="124" t="s">
        <v>3305</v>
      </c>
      <c r="G1069" s="182"/>
      <c r="H1069" s="125"/>
      <c r="I1069" s="380" t="s">
        <v>2483</v>
      </c>
      <c r="J1069" s="381"/>
      <c r="K1069" s="114" t="s">
        <v>3306</v>
      </c>
      <c r="L1069" s="116"/>
      <c r="M1069" s="183">
        <v>133</v>
      </c>
      <c r="N1069" s="184"/>
      <c r="O1069" s="185"/>
      <c r="P1069" s="114" t="s">
        <v>2881</v>
      </c>
      <c r="Q1069" s="116"/>
      <c r="R1069" s="183">
        <v>23</v>
      </c>
      <c r="S1069" s="185"/>
      <c r="T1069" s="183">
        <v>10</v>
      </c>
      <c r="U1069" s="185"/>
      <c r="V1069" s="173" t="s">
        <v>3307</v>
      </c>
      <c r="W1069" s="174"/>
      <c r="X1069" s="227">
        <v>268</v>
      </c>
      <c r="Y1069" s="228"/>
      <c r="Z1069" s="229"/>
      <c r="AA1069" s="110" t="s">
        <v>717</v>
      </c>
      <c r="AB1069" s="111"/>
      <c r="AC1069" s="162"/>
      <c r="AD1069" s="163"/>
      <c r="AE1069" s="31"/>
      <c r="AF1069" s="292"/>
      <c r="AG1069" s="314"/>
      <c r="AH1069" s="293"/>
      <c r="AI1069" s="167"/>
      <c r="AJ1069" s="48"/>
      <c r="AK1069" s="15"/>
      <c r="AL1069" s="15"/>
    </row>
    <row r="1070" spans="1:38" ht="75" x14ac:dyDescent="0.25">
      <c r="A1070" s="179"/>
      <c r="B1070" s="292"/>
      <c r="C1070" s="314"/>
      <c r="D1070" s="293"/>
      <c r="E1070" s="28" t="s">
        <v>3308</v>
      </c>
      <c r="F1070" s="124" t="s">
        <v>3309</v>
      </c>
      <c r="G1070" s="182"/>
      <c r="H1070" s="125"/>
      <c r="I1070" s="382">
        <v>20</v>
      </c>
      <c r="J1070" s="383"/>
      <c r="K1070" s="110" t="s">
        <v>3310</v>
      </c>
      <c r="L1070" s="111"/>
      <c r="M1070" s="183">
        <v>176</v>
      </c>
      <c r="N1070" s="184"/>
      <c r="O1070" s="185"/>
      <c r="P1070" s="114" t="s">
        <v>2889</v>
      </c>
      <c r="Q1070" s="116"/>
      <c r="R1070" s="183">
        <v>34</v>
      </c>
      <c r="S1070" s="185"/>
      <c r="T1070" s="183">
        <v>12</v>
      </c>
      <c r="U1070" s="185"/>
      <c r="V1070" s="173" t="s">
        <v>3311</v>
      </c>
      <c r="W1070" s="174"/>
      <c r="X1070" s="227">
        <v>328</v>
      </c>
      <c r="Y1070" s="228"/>
      <c r="Z1070" s="229"/>
      <c r="AA1070" s="110" t="s">
        <v>1090</v>
      </c>
      <c r="AB1070" s="111"/>
      <c r="AC1070" s="162"/>
      <c r="AD1070" s="163"/>
      <c r="AE1070" s="31"/>
      <c r="AF1070" s="292"/>
      <c r="AG1070" s="314"/>
      <c r="AH1070" s="293"/>
      <c r="AI1070" s="167"/>
      <c r="AJ1070" s="48"/>
      <c r="AK1070" s="15"/>
      <c r="AL1070" s="15"/>
    </row>
    <row r="1071" spans="1:38" ht="15.5" x14ac:dyDescent="0.25">
      <c r="A1071" s="179"/>
      <c r="B1071" s="292"/>
      <c r="C1071" s="314"/>
      <c r="D1071" s="293"/>
      <c r="E1071" s="66" t="s">
        <v>3312</v>
      </c>
      <c r="F1071" s="112" t="s">
        <v>3313</v>
      </c>
      <c r="G1071" s="572"/>
      <c r="H1071" s="113"/>
      <c r="I1071" s="578">
        <v>16</v>
      </c>
      <c r="J1071" s="579"/>
      <c r="K1071" s="171" t="s">
        <v>3315</v>
      </c>
      <c r="L1071" s="172"/>
      <c r="M1071" s="171" t="s">
        <v>3316</v>
      </c>
      <c r="N1071" s="407"/>
      <c r="O1071" s="172"/>
      <c r="P1071" s="171" t="s">
        <v>2875</v>
      </c>
      <c r="Q1071" s="172"/>
      <c r="R1071" s="387">
        <v>23</v>
      </c>
      <c r="S1071" s="388"/>
      <c r="T1071" s="387">
        <v>9</v>
      </c>
      <c r="U1071" s="388"/>
      <c r="V1071" s="491" t="s">
        <v>3317</v>
      </c>
      <c r="W1071" s="492"/>
      <c r="X1071" s="252">
        <v>258</v>
      </c>
      <c r="Y1071" s="253"/>
      <c r="Z1071" s="254"/>
      <c r="AA1071" s="192" t="s">
        <v>1159</v>
      </c>
      <c r="AB1071" s="193"/>
      <c r="AC1071" s="162"/>
      <c r="AD1071" s="163"/>
      <c r="AE1071" s="31"/>
      <c r="AF1071" s="292"/>
      <c r="AG1071" s="314"/>
      <c r="AH1071" s="293"/>
      <c r="AI1071" s="167"/>
      <c r="AJ1071" s="271"/>
      <c r="AK1071" s="15"/>
      <c r="AL1071" s="15"/>
    </row>
    <row r="1072" spans="1:38" ht="15.5" x14ac:dyDescent="0.25">
      <c r="A1072" s="179"/>
      <c r="B1072" s="292"/>
      <c r="C1072" s="314"/>
      <c r="D1072" s="293"/>
      <c r="E1072" s="67"/>
      <c r="F1072" s="160" t="s">
        <v>3314</v>
      </c>
      <c r="G1072" s="573"/>
      <c r="H1072" s="161"/>
      <c r="I1072" s="580"/>
      <c r="J1072" s="581"/>
      <c r="K1072" s="212"/>
      <c r="L1072" s="213"/>
      <c r="M1072" s="212"/>
      <c r="N1072" s="408"/>
      <c r="O1072" s="213"/>
      <c r="P1072" s="212"/>
      <c r="Q1072" s="213"/>
      <c r="R1072" s="389"/>
      <c r="S1072" s="390"/>
      <c r="T1072" s="389"/>
      <c r="U1072" s="390"/>
      <c r="V1072" s="493"/>
      <c r="W1072" s="494"/>
      <c r="X1072" s="255"/>
      <c r="Y1072" s="256"/>
      <c r="Z1072" s="257"/>
      <c r="AA1072" s="194"/>
      <c r="AB1072" s="195"/>
      <c r="AC1072" s="162"/>
      <c r="AD1072" s="163"/>
      <c r="AE1072" s="31"/>
      <c r="AF1072" s="292"/>
      <c r="AG1072" s="314"/>
      <c r="AH1072" s="293"/>
      <c r="AI1072" s="167"/>
      <c r="AJ1072" s="271"/>
      <c r="AK1072" s="15"/>
      <c r="AL1072" s="15"/>
    </row>
    <row r="1073" spans="1:38" ht="15.5" x14ac:dyDescent="0.25">
      <c r="A1073" s="179"/>
      <c r="B1073" s="292"/>
      <c r="C1073" s="314"/>
      <c r="D1073" s="293"/>
      <c r="E1073" s="64" t="s">
        <v>3318</v>
      </c>
      <c r="F1073" s="112" t="s">
        <v>3319</v>
      </c>
      <c r="G1073" s="572"/>
      <c r="H1073" s="113"/>
      <c r="I1073" s="574" t="s">
        <v>3320</v>
      </c>
      <c r="J1073" s="575"/>
      <c r="K1073" s="88" t="s">
        <v>3321</v>
      </c>
      <c r="L1073" s="89"/>
      <c r="M1073" s="88" t="s">
        <v>3322</v>
      </c>
      <c r="N1073" s="153"/>
      <c r="O1073" s="89"/>
      <c r="P1073" s="88" t="s">
        <v>2881</v>
      </c>
      <c r="Q1073" s="89"/>
      <c r="R1073" s="204">
        <v>23</v>
      </c>
      <c r="S1073" s="205"/>
      <c r="T1073" s="204">
        <v>10</v>
      </c>
      <c r="U1073" s="205"/>
      <c r="V1073" s="208" t="s">
        <v>3323</v>
      </c>
      <c r="W1073" s="209"/>
      <c r="X1073" s="241">
        <v>308</v>
      </c>
      <c r="Y1073" s="242"/>
      <c r="Z1073" s="243"/>
      <c r="AA1073" s="143" t="s">
        <v>826</v>
      </c>
      <c r="AB1073" s="145"/>
      <c r="AC1073" s="162"/>
      <c r="AD1073" s="163"/>
      <c r="AE1073" s="31"/>
      <c r="AF1073" s="292"/>
      <c r="AG1073" s="314"/>
      <c r="AH1073" s="293"/>
      <c r="AI1073" s="167"/>
      <c r="AJ1073" s="271"/>
      <c r="AK1073" s="15"/>
      <c r="AL1073" s="15"/>
    </row>
    <row r="1074" spans="1:38" ht="15.5" x14ac:dyDescent="0.25">
      <c r="A1074" s="179"/>
      <c r="B1074" s="292"/>
      <c r="C1074" s="314"/>
      <c r="D1074" s="293"/>
      <c r="E1074" s="65"/>
      <c r="F1074" s="160" t="s">
        <v>3314</v>
      </c>
      <c r="G1074" s="573"/>
      <c r="H1074" s="161"/>
      <c r="I1074" s="576"/>
      <c r="J1074" s="577"/>
      <c r="K1074" s="117"/>
      <c r="L1074" s="118"/>
      <c r="M1074" s="117"/>
      <c r="N1074" s="154"/>
      <c r="O1074" s="118"/>
      <c r="P1074" s="117"/>
      <c r="Q1074" s="118"/>
      <c r="R1074" s="206"/>
      <c r="S1074" s="207"/>
      <c r="T1074" s="206"/>
      <c r="U1074" s="207"/>
      <c r="V1074" s="210"/>
      <c r="W1074" s="211"/>
      <c r="X1074" s="244"/>
      <c r="Y1074" s="245"/>
      <c r="Z1074" s="246"/>
      <c r="AA1074" s="146"/>
      <c r="AB1074" s="148"/>
      <c r="AC1074" s="162"/>
      <c r="AD1074" s="163"/>
      <c r="AE1074" s="31"/>
      <c r="AF1074" s="292"/>
      <c r="AG1074" s="314"/>
      <c r="AH1074" s="293"/>
      <c r="AI1074" s="167"/>
      <c r="AJ1074" s="271"/>
      <c r="AK1074" s="15"/>
      <c r="AL1074" s="15"/>
    </row>
    <row r="1075" spans="1:38" ht="15.5" x14ac:dyDescent="0.25">
      <c r="A1075" s="179"/>
      <c r="B1075" s="292"/>
      <c r="C1075" s="314"/>
      <c r="D1075" s="293"/>
      <c r="E1075" s="64" t="s">
        <v>3324</v>
      </c>
      <c r="F1075" s="112" t="s">
        <v>3325</v>
      </c>
      <c r="G1075" s="572"/>
      <c r="H1075" s="113"/>
      <c r="I1075" s="568">
        <v>23</v>
      </c>
      <c r="J1075" s="569"/>
      <c r="K1075" s="88" t="s">
        <v>3327</v>
      </c>
      <c r="L1075" s="89"/>
      <c r="M1075" s="88" t="s">
        <v>3328</v>
      </c>
      <c r="N1075" s="153"/>
      <c r="O1075" s="89"/>
      <c r="P1075" s="88" t="s">
        <v>2889</v>
      </c>
      <c r="Q1075" s="89"/>
      <c r="R1075" s="204">
        <v>34</v>
      </c>
      <c r="S1075" s="205"/>
      <c r="T1075" s="204">
        <v>12</v>
      </c>
      <c r="U1075" s="205"/>
      <c r="V1075" s="208" t="s">
        <v>3329</v>
      </c>
      <c r="W1075" s="209"/>
      <c r="X1075" s="241">
        <v>368</v>
      </c>
      <c r="Y1075" s="242"/>
      <c r="Z1075" s="243"/>
      <c r="AA1075" s="143" t="s">
        <v>989</v>
      </c>
      <c r="AB1075" s="145"/>
      <c r="AC1075" s="162"/>
      <c r="AD1075" s="163"/>
      <c r="AE1075" s="31"/>
      <c r="AF1075" s="292"/>
      <c r="AG1075" s="314"/>
      <c r="AH1075" s="293"/>
      <c r="AI1075" s="167"/>
      <c r="AJ1075" s="271"/>
      <c r="AK1075" s="15"/>
      <c r="AL1075" s="15"/>
    </row>
    <row r="1076" spans="1:38" ht="15.5" x14ac:dyDescent="0.25">
      <c r="A1076" s="230"/>
      <c r="B1076" s="290"/>
      <c r="C1076" s="345"/>
      <c r="D1076" s="291"/>
      <c r="E1076" s="65"/>
      <c r="F1076" s="160" t="s">
        <v>3326</v>
      </c>
      <c r="G1076" s="573"/>
      <c r="H1076" s="161"/>
      <c r="I1076" s="570"/>
      <c r="J1076" s="571"/>
      <c r="K1076" s="117"/>
      <c r="L1076" s="118"/>
      <c r="M1076" s="117"/>
      <c r="N1076" s="154"/>
      <c r="O1076" s="118"/>
      <c r="P1076" s="117"/>
      <c r="Q1076" s="118"/>
      <c r="R1076" s="206"/>
      <c r="S1076" s="207"/>
      <c r="T1076" s="206"/>
      <c r="U1076" s="207"/>
      <c r="V1076" s="210"/>
      <c r="W1076" s="211"/>
      <c r="X1076" s="244"/>
      <c r="Y1076" s="245"/>
      <c r="Z1076" s="246"/>
      <c r="AA1076" s="146"/>
      <c r="AB1076" s="148"/>
      <c r="AC1076" s="212"/>
      <c r="AD1076" s="213"/>
      <c r="AE1076" s="31"/>
      <c r="AF1076" s="290"/>
      <c r="AG1076" s="345"/>
      <c r="AH1076" s="291"/>
      <c r="AI1076" s="167"/>
      <c r="AJ1076" s="271"/>
      <c r="AK1076" s="15"/>
      <c r="AL1076" s="15"/>
    </row>
    <row r="1077" spans="1:38" ht="75" x14ac:dyDescent="0.3">
      <c r="A1077" s="178"/>
      <c r="B1077" s="303" t="s">
        <v>3330</v>
      </c>
      <c r="C1077" s="344"/>
      <c r="D1077" s="304"/>
      <c r="E1077" s="28" t="s">
        <v>3331</v>
      </c>
      <c r="F1077" s="233" t="s">
        <v>3332</v>
      </c>
      <c r="G1077" s="305"/>
      <c r="H1077" s="234"/>
      <c r="I1077" s="382">
        <v>3</v>
      </c>
      <c r="J1077" s="383"/>
      <c r="K1077" s="143" t="s">
        <v>3333</v>
      </c>
      <c r="L1077" s="145"/>
      <c r="M1077" s="173" t="s">
        <v>2273</v>
      </c>
      <c r="N1077" s="276"/>
      <c r="O1077" s="174"/>
      <c r="P1077" s="112">
        <v>2</v>
      </c>
      <c r="Q1077" s="113"/>
      <c r="R1077" s="112">
        <v>5</v>
      </c>
      <c r="S1077" s="113"/>
      <c r="T1077" s="112">
        <v>4</v>
      </c>
      <c r="U1077" s="113"/>
      <c r="V1077" s="173" t="s">
        <v>3334</v>
      </c>
      <c r="W1077" s="174"/>
      <c r="X1077" s="294">
        <v>35</v>
      </c>
      <c r="Y1077" s="295"/>
      <c r="Z1077" s="296"/>
      <c r="AA1077" s="233" t="s">
        <v>1033</v>
      </c>
      <c r="AB1077" s="234"/>
      <c r="AC1077" s="171" t="s">
        <v>3194</v>
      </c>
      <c r="AD1077" s="172"/>
      <c r="AE1077" s="24" t="s">
        <v>3337</v>
      </c>
      <c r="AF1077" s="164"/>
      <c r="AG1077" s="165"/>
      <c r="AH1077" s="166"/>
      <c r="AI1077" s="167"/>
      <c r="AJ1077" s="48"/>
      <c r="AK1077" s="15"/>
      <c r="AL1077" s="15"/>
    </row>
    <row r="1078" spans="1:38" ht="75" x14ac:dyDescent="0.3">
      <c r="A1078" s="179"/>
      <c r="B1078" s="292"/>
      <c r="C1078" s="314"/>
      <c r="D1078" s="293"/>
      <c r="E1078" s="28" t="s">
        <v>3339</v>
      </c>
      <c r="F1078" s="235"/>
      <c r="G1078" s="270"/>
      <c r="H1078" s="236"/>
      <c r="I1078" s="382">
        <v>3</v>
      </c>
      <c r="J1078" s="383"/>
      <c r="K1078" s="104" t="s">
        <v>3333</v>
      </c>
      <c r="L1078" s="105"/>
      <c r="M1078" s="173" t="s">
        <v>2273</v>
      </c>
      <c r="N1078" s="276"/>
      <c r="O1078" s="174"/>
      <c r="P1078" s="155">
        <v>2</v>
      </c>
      <c r="Q1078" s="157"/>
      <c r="R1078" s="155">
        <v>5</v>
      </c>
      <c r="S1078" s="157"/>
      <c r="T1078" s="155">
        <v>4</v>
      </c>
      <c r="U1078" s="157"/>
      <c r="V1078" s="173" t="s">
        <v>3334</v>
      </c>
      <c r="W1078" s="174"/>
      <c r="X1078" s="297"/>
      <c r="Y1078" s="298"/>
      <c r="Z1078" s="299"/>
      <c r="AA1078" s="235"/>
      <c r="AB1078" s="236"/>
      <c r="AC1078" s="162" t="s">
        <v>3335</v>
      </c>
      <c r="AD1078" s="163"/>
      <c r="AE1078" s="31" t="s">
        <v>848</v>
      </c>
      <c r="AF1078" s="167"/>
      <c r="AG1078" s="168"/>
      <c r="AH1078" s="169"/>
      <c r="AI1078" s="167"/>
      <c r="AJ1078" s="48"/>
      <c r="AK1078" s="15"/>
      <c r="AL1078" s="15"/>
    </row>
    <row r="1079" spans="1:38" ht="90" x14ac:dyDescent="0.3">
      <c r="A1079" s="179"/>
      <c r="B1079" s="292"/>
      <c r="C1079" s="314"/>
      <c r="D1079" s="293"/>
      <c r="E1079" s="28" t="s">
        <v>3340</v>
      </c>
      <c r="F1079" s="235"/>
      <c r="G1079" s="270"/>
      <c r="H1079" s="236"/>
      <c r="I1079" s="382">
        <v>3</v>
      </c>
      <c r="J1079" s="383"/>
      <c r="K1079" s="104" t="s">
        <v>3333</v>
      </c>
      <c r="L1079" s="105"/>
      <c r="M1079" s="173" t="s">
        <v>2273</v>
      </c>
      <c r="N1079" s="276"/>
      <c r="O1079" s="174"/>
      <c r="P1079" s="155">
        <v>2</v>
      </c>
      <c r="Q1079" s="157"/>
      <c r="R1079" s="155">
        <v>5</v>
      </c>
      <c r="S1079" s="157"/>
      <c r="T1079" s="155">
        <v>4</v>
      </c>
      <c r="U1079" s="157"/>
      <c r="V1079" s="173" t="s">
        <v>3334</v>
      </c>
      <c r="W1079" s="174"/>
      <c r="X1079" s="297"/>
      <c r="Y1079" s="298"/>
      <c r="Z1079" s="299"/>
      <c r="AA1079" s="235"/>
      <c r="AB1079" s="236"/>
      <c r="AC1079" s="162" t="s">
        <v>3336</v>
      </c>
      <c r="AD1079" s="163"/>
      <c r="AE1079" s="31" t="s">
        <v>1356</v>
      </c>
      <c r="AF1079" s="167"/>
      <c r="AG1079" s="168"/>
      <c r="AH1079" s="169"/>
      <c r="AI1079" s="167"/>
      <c r="AJ1079" s="48"/>
      <c r="AK1079" s="15"/>
      <c r="AL1079" s="15"/>
    </row>
    <row r="1080" spans="1:38" ht="90" x14ac:dyDescent="0.3">
      <c r="A1080" s="179"/>
      <c r="B1080" s="292"/>
      <c r="C1080" s="314"/>
      <c r="D1080" s="293"/>
      <c r="E1080" s="44" t="s">
        <v>3341</v>
      </c>
      <c r="F1080" s="235"/>
      <c r="G1080" s="270"/>
      <c r="H1080" s="236"/>
      <c r="I1080" s="568">
        <v>3</v>
      </c>
      <c r="J1080" s="569"/>
      <c r="K1080" s="104" t="s">
        <v>3333</v>
      </c>
      <c r="L1080" s="105"/>
      <c r="M1080" s="208" t="s">
        <v>2273</v>
      </c>
      <c r="N1080" s="283"/>
      <c r="O1080" s="209"/>
      <c r="P1080" s="155">
        <v>2</v>
      </c>
      <c r="Q1080" s="157"/>
      <c r="R1080" s="155">
        <v>5</v>
      </c>
      <c r="S1080" s="157"/>
      <c r="T1080" s="155">
        <v>4</v>
      </c>
      <c r="U1080" s="157"/>
      <c r="V1080" s="208" t="s">
        <v>3334</v>
      </c>
      <c r="W1080" s="209"/>
      <c r="X1080" s="297"/>
      <c r="Y1080" s="298"/>
      <c r="Z1080" s="299"/>
      <c r="AA1080" s="235"/>
      <c r="AB1080" s="236"/>
      <c r="AC1080" s="162"/>
      <c r="AD1080" s="163"/>
      <c r="AE1080" s="31" t="s">
        <v>3338</v>
      </c>
      <c r="AF1080" s="167"/>
      <c r="AG1080" s="168"/>
      <c r="AH1080" s="169"/>
      <c r="AI1080" s="167"/>
      <c r="AJ1080" s="271"/>
      <c r="AK1080" s="15"/>
      <c r="AL1080" s="15"/>
    </row>
    <row r="1081" spans="1:38" ht="120" x14ac:dyDescent="0.3">
      <c r="A1081" s="179"/>
      <c r="B1081" s="292"/>
      <c r="C1081" s="314"/>
      <c r="D1081" s="293"/>
      <c r="E1081" s="41" t="s">
        <v>3342</v>
      </c>
      <c r="F1081" s="235"/>
      <c r="G1081" s="270"/>
      <c r="H1081" s="236"/>
      <c r="I1081" s="570"/>
      <c r="J1081" s="571"/>
      <c r="K1081" s="104" t="s">
        <v>3333</v>
      </c>
      <c r="L1081" s="105"/>
      <c r="M1081" s="210"/>
      <c r="N1081" s="284"/>
      <c r="O1081" s="211"/>
      <c r="P1081" s="155">
        <v>2</v>
      </c>
      <c r="Q1081" s="157"/>
      <c r="R1081" s="155">
        <v>5</v>
      </c>
      <c r="S1081" s="157"/>
      <c r="T1081" s="155">
        <v>4</v>
      </c>
      <c r="U1081" s="157"/>
      <c r="V1081" s="210"/>
      <c r="W1081" s="211"/>
      <c r="X1081" s="297"/>
      <c r="Y1081" s="298"/>
      <c r="Z1081" s="299"/>
      <c r="AA1081" s="235"/>
      <c r="AB1081" s="236"/>
      <c r="AC1081" s="162"/>
      <c r="AD1081" s="163"/>
      <c r="AE1081" s="31"/>
      <c r="AF1081" s="167"/>
      <c r="AG1081" s="168"/>
      <c r="AH1081" s="169"/>
      <c r="AI1081" s="167"/>
      <c r="AJ1081" s="271"/>
      <c r="AK1081" s="15"/>
      <c r="AL1081" s="15"/>
    </row>
    <row r="1082" spans="1:38" ht="75" x14ac:dyDescent="0.3">
      <c r="A1082" s="179"/>
      <c r="B1082" s="292"/>
      <c r="C1082" s="314"/>
      <c r="D1082" s="293"/>
      <c r="E1082" s="19" t="s">
        <v>3343</v>
      </c>
      <c r="F1082" s="235"/>
      <c r="G1082" s="270"/>
      <c r="H1082" s="236"/>
      <c r="I1082" s="445">
        <v>3</v>
      </c>
      <c r="J1082" s="446"/>
      <c r="K1082" s="104" t="s">
        <v>3333</v>
      </c>
      <c r="L1082" s="105"/>
      <c r="M1082" s="332" t="s">
        <v>2273</v>
      </c>
      <c r="N1082" s="374"/>
      <c r="O1082" s="333"/>
      <c r="P1082" s="155">
        <v>2</v>
      </c>
      <c r="Q1082" s="157"/>
      <c r="R1082" s="155">
        <v>5</v>
      </c>
      <c r="S1082" s="157"/>
      <c r="T1082" s="155">
        <v>4</v>
      </c>
      <c r="U1082" s="157"/>
      <c r="V1082" s="332" t="s">
        <v>3334</v>
      </c>
      <c r="W1082" s="333"/>
      <c r="X1082" s="297"/>
      <c r="Y1082" s="298"/>
      <c r="Z1082" s="299"/>
      <c r="AA1082" s="235"/>
      <c r="AB1082" s="236"/>
      <c r="AC1082" s="162"/>
      <c r="AD1082" s="163"/>
      <c r="AE1082" s="31"/>
      <c r="AF1082" s="167"/>
      <c r="AG1082" s="168"/>
      <c r="AH1082" s="169"/>
      <c r="AI1082" s="167"/>
      <c r="AJ1082" s="48"/>
      <c r="AK1082" s="15"/>
      <c r="AL1082" s="15"/>
    </row>
    <row r="1083" spans="1:38" ht="90" x14ac:dyDescent="0.3">
      <c r="A1083" s="179"/>
      <c r="B1083" s="292"/>
      <c r="C1083" s="314"/>
      <c r="D1083" s="293"/>
      <c r="E1083" s="44" t="s">
        <v>3344</v>
      </c>
      <c r="F1083" s="235"/>
      <c r="G1083" s="270"/>
      <c r="H1083" s="236"/>
      <c r="I1083" s="568">
        <v>3</v>
      </c>
      <c r="J1083" s="569"/>
      <c r="K1083" s="104" t="s">
        <v>3333</v>
      </c>
      <c r="L1083" s="105"/>
      <c r="M1083" s="208" t="s">
        <v>2273</v>
      </c>
      <c r="N1083" s="283"/>
      <c r="O1083" s="209"/>
      <c r="P1083" s="155">
        <v>2</v>
      </c>
      <c r="Q1083" s="157"/>
      <c r="R1083" s="155">
        <v>5</v>
      </c>
      <c r="S1083" s="157"/>
      <c r="T1083" s="155">
        <v>4</v>
      </c>
      <c r="U1083" s="157"/>
      <c r="V1083" s="208" t="s">
        <v>3334</v>
      </c>
      <c r="W1083" s="209"/>
      <c r="X1083" s="297"/>
      <c r="Y1083" s="298"/>
      <c r="Z1083" s="299"/>
      <c r="AA1083" s="235"/>
      <c r="AB1083" s="236"/>
      <c r="AC1083" s="162"/>
      <c r="AD1083" s="163"/>
      <c r="AE1083" s="31"/>
      <c r="AF1083" s="167"/>
      <c r="AG1083" s="168"/>
      <c r="AH1083" s="169"/>
      <c r="AI1083" s="167"/>
      <c r="AJ1083" s="271"/>
      <c r="AK1083" s="15"/>
      <c r="AL1083" s="15"/>
    </row>
    <row r="1084" spans="1:38" ht="120" x14ac:dyDescent="0.3">
      <c r="A1084" s="179"/>
      <c r="B1084" s="292"/>
      <c r="C1084" s="314"/>
      <c r="D1084" s="293"/>
      <c r="E1084" s="41" t="s">
        <v>3345</v>
      </c>
      <c r="F1084" s="235"/>
      <c r="G1084" s="270"/>
      <c r="H1084" s="236"/>
      <c r="I1084" s="570"/>
      <c r="J1084" s="571"/>
      <c r="K1084" s="104" t="s">
        <v>3333</v>
      </c>
      <c r="L1084" s="105"/>
      <c r="M1084" s="210"/>
      <c r="N1084" s="284"/>
      <c r="O1084" s="211"/>
      <c r="P1084" s="155">
        <v>2</v>
      </c>
      <c r="Q1084" s="157"/>
      <c r="R1084" s="155">
        <v>5</v>
      </c>
      <c r="S1084" s="157"/>
      <c r="T1084" s="155">
        <v>4</v>
      </c>
      <c r="U1084" s="157"/>
      <c r="V1084" s="210"/>
      <c r="W1084" s="211"/>
      <c r="X1084" s="297"/>
      <c r="Y1084" s="298"/>
      <c r="Z1084" s="299"/>
      <c r="AA1084" s="235"/>
      <c r="AB1084" s="236"/>
      <c r="AC1084" s="162"/>
      <c r="AD1084" s="163"/>
      <c r="AE1084" s="31"/>
      <c r="AF1084" s="167"/>
      <c r="AG1084" s="168"/>
      <c r="AH1084" s="169"/>
      <c r="AI1084" s="167"/>
      <c r="AJ1084" s="271"/>
      <c r="AK1084" s="15"/>
      <c r="AL1084" s="15"/>
    </row>
    <row r="1085" spans="1:38" ht="75" x14ac:dyDescent="0.3">
      <c r="A1085" s="179"/>
      <c r="B1085" s="292"/>
      <c r="C1085" s="314"/>
      <c r="D1085" s="293"/>
      <c r="E1085" s="28" t="s">
        <v>3346</v>
      </c>
      <c r="F1085" s="235"/>
      <c r="G1085" s="270"/>
      <c r="H1085" s="236"/>
      <c r="I1085" s="382">
        <v>3</v>
      </c>
      <c r="J1085" s="383"/>
      <c r="K1085" s="104"/>
      <c r="L1085" s="105"/>
      <c r="M1085" s="173" t="s">
        <v>2273</v>
      </c>
      <c r="N1085" s="276"/>
      <c r="O1085" s="174"/>
      <c r="P1085" s="155"/>
      <c r="Q1085" s="157"/>
      <c r="R1085" s="155"/>
      <c r="S1085" s="157"/>
      <c r="T1085" s="155"/>
      <c r="U1085" s="157"/>
      <c r="V1085" s="173" t="s">
        <v>3334</v>
      </c>
      <c r="W1085" s="174"/>
      <c r="X1085" s="297"/>
      <c r="Y1085" s="298"/>
      <c r="Z1085" s="299"/>
      <c r="AA1085" s="235"/>
      <c r="AB1085" s="236"/>
      <c r="AC1085" s="162"/>
      <c r="AD1085" s="163"/>
      <c r="AE1085" s="31"/>
      <c r="AF1085" s="167"/>
      <c r="AG1085" s="168"/>
      <c r="AH1085" s="169"/>
      <c r="AI1085" s="167"/>
      <c r="AJ1085" s="48"/>
      <c r="AK1085" s="15"/>
      <c r="AL1085" s="15"/>
    </row>
    <row r="1086" spans="1:38" ht="90" x14ac:dyDescent="0.3">
      <c r="A1086" s="179"/>
      <c r="B1086" s="292"/>
      <c r="C1086" s="314"/>
      <c r="D1086" s="293"/>
      <c r="E1086" s="44" t="s">
        <v>3347</v>
      </c>
      <c r="F1086" s="235"/>
      <c r="G1086" s="270"/>
      <c r="H1086" s="236"/>
      <c r="I1086" s="568">
        <v>3</v>
      </c>
      <c r="J1086" s="569"/>
      <c r="K1086" s="104"/>
      <c r="L1086" s="105"/>
      <c r="M1086" s="208" t="s">
        <v>2273</v>
      </c>
      <c r="N1086" s="283"/>
      <c r="O1086" s="209"/>
      <c r="P1086" s="155"/>
      <c r="Q1086" s="157"/>
      <c r="R1086" s="155"/>
      <c r="S1086" s="157"/>
      <c r="T1086" s="155"/>
      <c r="U1086" s="157"/>
      <c r="V1086" s="208" t="s">
        <v>3334</v>
      </c>
      <c r="W1086" s="209"/>
      <c r="X1086" s="297"/>
      <c r="Y1086" s="298"/>
      <c r="Z1086" s="299"/>
      <c r="AA1086" s="235"/>
      <c r="AB1086" s="236"/>
      <c r="AC1086" s="162"/>
      <c r="AD1086" s="163"/>
      <c r="AE1086" s="31"/>
      <c r="AF1086" s="167"/>
      <c r="AG1086" s="168"/>
      <c r="AH1086" s="169"/>
      <c r="AI1086" s="167"/>
      <c r="AJ1086" s="271"/>
      <c r="AK1086" s="15"/>
      <c r="AL1086" s="15"/>
    </row>
    <row r="1087" spans="1:38" ht="120" x14ac:dyDescent="0.3">
      <c r="A1087" s="230"/>
      <c r="B1087" s="290"/>
      <c r="C1087" s="345"/>
      <c r="D1087" s="291"/>
      <c r="E1087" s="41" t="s">
        <v>3348</v>
      </c>
      <c r="F1087" s="237"/>
      <c r="G1087" s="306"/>
      <c r="H1087" s="238"/>
      <c r="I1087" s="570"/>
      <c r="J1087" s="571"/>
      <c r="K1087" s="146"/>
      <c r="L1087" s="148"/>
      <c r="M1087" s="210"/>
      <c r="N1087" s="284"/>
      <c r="O1087" s="211"/>
      <c r="P1087" s="160"/>
      <c r="Q1087" s="161"/>
      <c r="R1087" s="160"/>
      <c r="S1087" s="161"/>
      <c r="T1087" s="160"/>
      <c r="U1087" s="161"/>
      <c r="V1087" s="210"/>
      <c r="W1087" s="211"/>
      <c r="X1087" s="300"/>
      <c r="Y1087" s="301"/>
      <c r="Z1087" s="302"/>
      <c r="AA1087" s="237"/>
      <c r="AB1087" s="238"/>
      <c r="AC1087" s="212"/>
      <c r="AD1087" s="213"/>
      <c r="AE1087" s="31"/>
      <c r="AF1087" s="214"/>
      <c r="AG1087" s="215"/>
      <c r="AH1087" s="216"/>
      <c r="AI1087" s="167"/>
      <c r="AJ1087" s="271"/>
      <c r="AK1087" s="15"/>
      <c r="AL1087" s="15"/>
    </row>
    <row r="1088" spans="1:38" ht="135" x14ac:dyDescent="0.3">
      <c r="A1088" s="178"/>
      <c r="B1088" s="303" t="s">
        <v>3349</v>
      </c>
      <c r="C1088" s="344"/>
      <c r="D1088" s="304"/>
      <c r="E1088" s="19" t="s">
        <v>3350</v>
      </c>
      <c r="F1088" s="233" t="s">
        <v>3351</v>
      </c>
      <c r="G1088" s="305"/>
      <c r="H1088" s="234"/>
      <c r="I1088" s="112">
        <v>5</v>
      </c>
      <c r="J1088" s="113"/>
      <c r="K1088" s="143" t="s">
        <v>3352</v>
      </c>
      <c r="L1088" s="145"/>
      <c r="M1088" s="332" t="s">
        <v>3353</v>
      </c>
      <c r="N1088" s="374"/>
      <c r="O1088" s="333"/>
      <c r="P1088" s="208" t="s">
        <v>3354</v>
      </c>
      <c r="Q1088" s="209"/>
      <c r="R1088" s="112">
        <v>8</v>
      </c>
      <c r="S1088" s="113"/>
      <c r="T1088" s="112">
        <v>6</v>
      </c>
      <c r="U1088" s="113"/>
      <c r="V1088" s="332" t="s">
        <v>3355</v>
      </c>
      <c r="W1088" s="333"/>
      <c r="X1088" s="294">
        <v>89</v>
      </c>
      <c r="Y1088" s="295"/>
      <c r="Z1088" s="296"/>
      <c r="AA1088" s="233" t="s">
        <v>1364</v>
      </c>
      <c r="AB1088" s="234"/>
      <c r="AC1088" s="171" t="s">
        <v>3194</v>
      </c>
      <c r="AD1088" s="172"/>
      <c r="AE1088" s="16" t="s">
        <v>3358</v>
      </c>
      <c r="AF1088" s="164"/>
      <c r="AG1088" s="165"/>
      <c r="AH1088" s="166"/>
      <c r="AI1088" s="167"/>
      <c r="AJ1088" s="48"/>
      <c r="AK1088" s="15"/>
      <c r="AL1088" s="15"/>
    </row>
    <row r="1089" spans="1:38" ht="90" x14ac:dyDescent="0.3">
      <c r="A1089" s="179"/>
      <c r="B1089" s="292"/>
      <c r="C1089" s="314"/>
      <c r="D1089" s="293"/>
      <c r="E1089" s="19" t="s">
        <v>3360</v>
      </c>
      <c r="F1089" s="235"/>
      <c r="G1089" s="270"/>
      <c r="H1089" s="236"/>
      <c r="I1089" s="155">
        <v>5</v>
      </c>
      <c r="J1089" s="157"/>
      <c r="K1089" s="104" t="s">
        <v>3352</v>
      </c>
      <c r="L1089" s="105"/>
      <c r="M1089" s="491" t="s">
        <v>3353</v>
      </c>
      <c r="N1089" s="563"/>
      <c r="O1089" s="492"/>
      <c r="P1089" s="210" t="s">
        <v>3354</v>
      </c>
      <c r="Q1089" s="211"/>
      <c r="R1089" s="155">
        <v>8</v>
      </c>
      <c r="S1089" s="157"/>
      <c r="T1089" s="160">
        <v>6</v>
      </c>
      <c r="U1089" s="161"/>
      <c r="V1089" s="332" t="s">
        <v>3355</v>
      </c>
      <c r="W1089" s="333"/>
      <c r="X1089" s="297"/>
      <c r="Y1089" s="298"/>
      <c r="Z1089" s="299"/>
      <c r="AA1089" s="235"/>
      <c r="AB1089" s="236"/>
      <c r="AC1089" s="162" t="s">
        <v>3356</v>
      </c>
      <c r="AD1089" s="163"/>
      <c r="AE1089" s="43" t="s">
        <v>3359</v>
      </c>
      <c r="AF1089" s="167"/>
      <c r="AG1089" s="168"/>
      <c r="AH1089" s="169"/>
      <c r="AI1089" s="167"/>
      <c r="AJ1089" s="48"/>
      <c r="AK1089" s="15"/>
      <c r="AL1089" s="15"/>
    </row>
    <row r="1090" spans="1:38" ht="90" x14ac:dyDescent="0.3">
      <c r="A1090" s="179"/>
      <c r="B1090" s="292"/>
      <c r="C1090" s="314"/>
      <c r="D1090" s="293"/>
      <c r="E1090" s="19" t="s">
        <v>3361</v>
      </c>
      <c r="F1090" s="235"/>
      <c r="G1090" s="270"/>
      <c r="H1090" s="236"/>
      <c r="I1090" s="155">
        <v>5</v>
      </c>
      <c r="J1090" s="157"/>
      <c r="K1090" s="104" t="s">
        <v>3352</v>
      </c>
      <c r="L1090" s="105"/>
      <c r="M1090" s="564" t="s">
        <v>3362</v>
      </c>
      <c r="N1090" s="565"/>
      <c r="O1090" s="566"/>
      <c r="P1090" s="208" t="s">
        <v>3354</v>
      </c>
      <c r="Q1090" s="209"/>
      <c r="R1090" s="155">
        <v>8</v>
      </c>
      <c r="S1090" s="157"/>
      <c r="T1090" s="112">
        <v>6</v>
      </c>
      <c r="U1090" s="113"/>
      <c r="V1090" s="332" t="s">
        <v>3363</v>
      </c>
      <c r="W1090" s="333"/>
      <c r="X1090" s="297"/>
      <c r="Y1090" s="298"/>
      <c r="Z1090" s="299"/>
      <c r="AA1090" s="235"/>
      <c r="AB1090" s="236"/>
      <c r="AC1090" s="162" t="s">
        <v>2211</v>
      </c>
      <c r="AD1090" s="163"/>
      <c r="AE1090" s="43"/>
      <c r="AF1090" s="167"/>
      <c r="AG1090" s="168"/>
      <c r="AH1090" s="169"/>
      <c r="AI1090" s="167"/>
      <c r="AJ1090" s="48"/>
      <c r="AK1090" s="15"/>
      <c r="AL1090" s="15"/>
    </row>
    <row r="1091" spans="1:38" ht="90" x14ac:dyDescent="0.3">
      <c r="A1091" s="230"/>
      <c r="B1091" s="290"/>
      <c r="C1091" s="345"/>
      <c r="D1091" s="291"/>
      <c r="E1091" s="19" t="s">
        <v>3364</v>
      </c>
      <c r="F1091" s="237"/>
      <c r="G1091" s="306"/>
      <c r="H1091" s="238"/>
      <c r="I1091" s="160">
        <v>5</v>
      </c>
      <c r="J1091" s="161"/>
      <c r="K1091" s="146" t="s">
        <v>3352</v>
      </c>
      <c r="L1091" s="148"/>
      <c r="M1091" s="493" t="s">
        <v>3365</v>
      </c>
      <c r="N1091" s="567"/>
      <c r="O1091" s="494"/>
      <c r="P1091" s="210" t="s">
        <v>3354</v>
      </c>
      <c r="Q1091" s="211"/>
      <c r="R1091" s="160">
        <v>8</v>
      </c>
      <c r="S1091" s="161"/>
      <c r="T1091" s="160">
        <v>6</v>
      </c>
      <c r="U1091" s="161"/>
      <c r="V1091" s="332" t="s">
        <v>3366</v>
      </c>
      <c r="W1091" s="333"/>
      <c r="X1091" s="300"/>
      <c r="Y1091" s="301"/>
      <c r="Z1091" s="302"/>
      <c r="AA1091" s="237"/>
      <c r="AB1091" s="238"/>
      <c r="AC1091" s="212" t="s">
        <v>3357</v>
      </c>
      <c r="AD1091" s="213"/>
      <c r="AE1091" s="43"/>
      <c r="AF1091" s="214"/>
      <c r="AG1091" s="215"/>
      <c r="AH1091" s="216"/>
      <c r="AI1091" s="167"/>
      <c r="AJ1091" s="48"/>
      <c r="AK1091" s="15"/>
      <c r="AL1091" s="15"/>
    </row>
    <row r="1092" spans="1:38" ht="60" x14ac:dyDescent="0.3">
      <c r="A1092" s="178"/>
      <c r="B1092" s="303" t="s">
        <v>3367</v>
      </c>
      <c r="C1092" s="344"/>
      <c r="D1092" s="304"/>
      <c r="E1092" s="66" t="s">
        <v>3368</v>
      </c>
      <c r="F1092" s="171" t="s">
        <v>3369</v>
      </c>
      <c r="G1092" s="407"/>
      <c r="H1092" s="172"/>
      <c r="I1092" s="88" t="s">
        <v>3371</v>
      </c>
      <c r="J1092" s="89"/>
      <c r="K1092" s="88" t="s">
        <v>3373</v>
      </c>
      <c r="L1092" s="89"/>
      <c r="M1092" s="554" t="s">
        <v>3375</v>
      </c>
      <c r="N1092" s="555"/>
      <c r="O1092" s="556"/>
      <c r="P1092" s="164"/>
      <c r="Q1092" s="166"/>
      <c r="R1092" s="112">
        <v>26</v>
      </c>
      <c r="S1092" s="113"/>
      <c r="T1092" s="164"/>
      <c r="U1092" s="166"/>
      <c r="V1092" s="198" t="s">
        <v>3376</v>
      </c>
      <c r="W1092" s="199"/>
      <c r="X1092" s="241">
        <v>198</v>
      </c>
      <c r="Y1092" s="242"/>
      <c r="Z1092" s="243"/>
      <c r="AA1092" s="143" t="s">
        <v>1854</v>
      </c>
      <c r="AB1092" s="145"/>
      <c r="AC1092" s="171" t="s">
        <v>3194</v>
      </c>
      <c r="AD1092" s="172"/>
      <c r="AE1092" s="16" t="s">
        <v>3379</v>
      </c>
      <c r="AF1092" s="171" t="s">
        <v>2566</v>
      </c>
      <c r="AG1092" s="407"/>
      <c r="AH1092" s="172"/>
      <c r="AI1092" s="167"/>
      <c r="AJ1092" s="271"/>
      <c r="AK1092" s="15"/>
      <c r="AL1092" s="15"/>
    </row>
    <row r="1093" spans="1:38" ht="15.5" x14ac:dyDescent="0.3">
      <c r="A1093" s="179"/>
      <c r="B1093" s="292"/>
      <c r="C1093" s="314"/>
      <c r="D1093" s="293"/>
      <c r="E1093" s="74"/>
      <c r="F1093" s="162" t="s">
        <v>3370</v>
      </c>
      <c r="G1093" s="170"/>
      <c r="H1093" s="163"/>
      <c r="I1093" s="126" t="s">
        <v>3372</v>
      </c>
      <c r="J1093" s="127"/>
      <c r="K1093" s="126" t="s">
        <v>3373</v>
      </c>
      <c r="L1093" s="127"/>
      <c r="M1093" s="557"/>
      <c r="N1093" s="558"/>
      <c r="O1093" s="559"/>
      <c r="P1093" s="167"/>
      <c r="Q1093" s="169"/>
      <c r="R1093" s="155">
        <v>26</v>
      </c>
      <c r="S1093" s="157"/>
      <c r="T1093" s="167"/>
      <c r="U1093" s="169"/>
      <c r="V1093" s="547"/>
      <c r="W1093" s="548"/>
      <c r="X1093" s="247"/>
      <c r="Y1093" s="248"/>
      <c r="Z1093" s="249"/>
      <c r="AA1093" s="104"/>
      <c r="AB1093" s="105"/>
      <c r="AC1093" s="162" t="s">
        <v>3377</v>
      </c>
      <c r="AD1093" s="163"/>
      <c r="AE1093" s="43" t="s">
        <v>848</v>
      </c>
      <c r="AF1093" s="162" t="s">
        <v>2541</v>
      </c>
      <c r="AG1093" s="170"/>
      <c r="AH1093" s="163"/>
      <c r="AI1093" s="167"/>
      <c r="AJ1093" s="271"/>
      <c r="AK1093" s="15"/>
      <c r="AL1093" s="15"/>
    </row>
    <row r="1094" spans="1:38" ht="45" x14ac:dyDescent="0.3">
      <c r="A1094" s="179"/>
      <c r="B1094" s="292"/>
      <c r="C1094" s="314"/>
      <c r="D1094" s="293"/>
      <c r="E1094" s="74"/>
      <c r="F1094" s="162"/>
      <c r="G1094" s="170"/>
      <c r="H1094" s="163"/>
      <c r="I1094" s="126" t="s">
        <v>3371</v>
      </c>
      <c r="J1094" s="127"/>
      <c r="K1094" s="126" t="s">
        <v>3374</v>
      </c>
      <c r="L1094" s="127"/>
      <c r="M1094" s="557"/>
      <c r="N1094" s="558"/>
      <c r="O1094" s="559"/>
      <c r="P1094" s="167"/>
      <c r="Q1094" s="169"/>
      <c r="R1094" s="155"/>
      <c r="S1094" s="157"/>
      <c r="T1094" s="167"/>
      <c r="U1094" s="169"/>
      <c r="V1094" s="547"/>
      <c r="W1094" s="548"/>
      <c r="X1094" s="247"/>
      <c r="Y1094" s="248"/>
      <c r="Z1094" s="249"/>
      <c r="AA1094" s="104"/>
      <c r="AB1094" s="105"/>
      <c r="AC1094" s="162" t="s">
        <v>3378</v>
      </c>
      <c r="AD1094" s="163"/>
      <c r="AE1094" s="43" t="s">
        <v>1356</v>
      </c>
      <c r="AF1094" s="162"/>
      <c r="AG1094" s="170"/>
      <c r="AH1094" s="163"/>
      <c r="AI1094" s="167"/>
      <c r="AJ1094" s="271"/>
      <c r="AK1094" s="15"/>
      <c r="AL1094" s="15"/>
    </row>
    <row r="1095" spans="1:38" ht="60" x14ac:dyDescent="0.3">
      <c r="A1095" s="179"/>
      <c r="B1095" s="292"/>
      <c r="C1095" s="314"/>
      <c r="D1095" s="293"/>
      <c r="E1095" s="74"/>
      <c r="F1095" s="162"/>
      <c r="G1095" s="170"/>
      <c r="H1095" s="163"/>
      <c r="I1095" s="126" t="s">
        <v>3372</v>
      </c>
      <c r="J1095" s="127"/>
      <c r="K1095" s="126" t="s">
        <v>3374</v>
      </c>
      <c r="L1095" s="127"/>
      <c r="M1095" s="557"/>
      <c r="N1095" s="558"/>
      <c r="O1095" s="559"/>
      <c r="P1095" s="167"/>
      <c r="Q1095" s="169"/>
      <c r="R1095" s="155"/>
      <c r="S1095" s="157"/>
      <c r="T1095" s="167"/>
      <c r="U1095" s="169"/>
      <c r="V1095" s="547"/>
      <c r="W1095" s="548"/>
      <c r="X1095" s="247"/>
      <c r="Y1095" s="248"/>
      <c r="Z1095" s="249"/>
      <c r="AA1095" s="104"/>
      <c r="AB1095" s="105"/>
      <c r="AC1095" s="162"/>
      <c r="AD1095" s="163"/>
      <c r="AE1095" s="43" t="s">
        <v>3380</v>
      </c>
      <c r="AF1095" s="162"/>
      <c r="AG1095" s="170"/>
      <c r="AH1095" s="163"/>
      <c r="AI1095" s="167"/>
      <c r="AJ1095" s="271"/>
      <c r="AK1095" s="15"/>
      <c r="AL1095" s="15"/>
    </row>
    <row r="1096" spans="1:38" ht="15.5" x14ac:dyDescent="0.3">
      <c r="A1096" s="179"/>
      <c r="B1096" s="292"/>
      <c r="C1096" s="314"/>
      <c r="D1096" s="293"/>
      <c r="E1096" s="74"/>
      <c r="F1096" s="162"/>
      <c r="G1096" s="170"/>
      <c r="H1096" s="163"/>
      <c r="I1096" s="126" t="s">
        <v>3371</v>
      </c>
      <c r="J1096" s="127"/>
      <c r="K1096" s="126"/>
      <c r="L1096" s="127"/>
      <c r="M1096" s="557"/>
      <c r="N1096" s="558"/>
      <c r="O1096" s="559"/>
      <c r="P1096" s="167"/>
      <c r="Q1096" s="169"/>
      <c r="R1096" s="155"/>
      <c r="S1096" s="157"/>
      <c r="T1096" s="167"/>
      <c r="U1096" s="169"/>
      <c r="V1096" s="547"/>
      <c r="W1096" s="548"/>
      <c r="X1096" s="247"/>
      <c r="Y1096" s="248"/>
      <c r="Z1096" s="249"/>
      <c r="AA1096" s="104"/>
      <c r="AB1096" s="105"/>
      <c r="AC1096" s="162"/>
      <c r="AD1096" s="163"/>
      <c r="AE1096" s="43"/>
      <c r="AF1096" s="162"/>
      <c r="AG1096" s="170"/>
      <c r="AH1096" s="163"/>
      <c r="AI1096" s="167"/>
      <c r="AJ1096" s="271"/>
      <c r="AK1096" s="15"/>
      <c r="AL1096" s="15"/>
    </row>
    <row r="1097" spans="1:38" ht="15.5" x14ac:dyDescent="0.3">
      <c r="A1097" s="179"/>
      <c r="B1097" s="292"/>
      <c r="C1097" s="314"/>
      <c r="D1097" s="293"/>
      <c r="E1097" s="74"/>
      <c r="F1097" s="162"/>
      <c r="G1097" s="170"/>
      <c r="H1097" s="163"/>
      <c r="I1097" s="126" t="s">
        <v>3372</v>
      </c>
      <c r="J1097" s="127"/>
      <c r="K1097" s="126"/>
      <c r="L1097" s="127"/>
      <c r="M1097" s="557"/>
      <c r="N1097" s="558"/>
      <c r="O1097" s="559"/>
      <c r="P1097" s="167"/>
      <c r="Q1097" s="169"/>
      <c r="R1097" s="155"/>
      <c r="S1097" s="157"/>
      <c r="T1097" s="167"/>
      <c r="U1097" s="169"/>
      <c r="V1097" s="547"/>
      <c r="W1097" s="548"/>
      <c r="X1097" s="247"/>
      <c r="Y1097" s="248"/>
      <c r="Z1097" s="249"/>
      <c r="AA1097" s="104"/>
      <c r="AB1097" s="105"/>
      <c r="AC1097" s="162"/>
      <c r="AD1097" s="163"/>
      <c r="AE1097" s="43"/>
      <c r="AF1097" s="162"/>
      <c r="AG1097" s="170"/>
      <c r="AH1097" s="163"/>
      <c r="AI1097" s="167"/>
      <c r="AJ1097" s="271"/>
      <c r="AK1097" s="15"/>
      <c r="AL1097" s="15"/>
    </row>
    <row r="1098" spans="1:38" ht="15.5" x14ac:dyDescent="0.3">
      <c r="A1098" s="179"/>
      <c r="B1098" s="292"/>
      <c r="C1098" s="314"/>
      <c r="D1098" s="293"/>
      <c r="E1098" s="74"/>
      <c r="F1098" s="162"/>
      <c r="G1098" s="170"/>
      <c r="H1098" s="163"/>
      <c r="I1098" s="126" t="s">
        <v>3371</v>
      </c>
      <c r="J1098" s="127"/>
      <c r="K1098" s="126"/>
      <c r="L1098" s="127"/>
      <c r="M1098" s="557"/>
      <c r="N1098" s="558"/>
      <c r="O1098" s="559"/>
      <c r="P1098" s="167"/>
      <c r="Q1098" s="169"/>
      <c r="R1098" s="155"/>
      <c r="S1098" s="157"/>
      <c r="T1098" s="167"/>
      <c r="U1098" s="169"/>
      <c r="V1098" s="547"/>
      <c r="W1098" s="548"/>
      <c r="X1098" s="247"/>
      <c r="Y1098" s="248"/>
      <c r="Z1098" s="249"/>
      <c r="AA1098" s="104"/>
      <c r="AB1098" s="105"/>
      <c r="AC1098" s="162"/>
      <c r="AD1098" s="163"/>
      <c r="AE1098" s="43"/>
      <c r="AF1098" s="162"/>
      <c r="AG1098" s="170"/>
      <c r="AH1098" s="163"/>
      <c r="AI1098" s="167"/>
      <c r="AJ1098" s="271"/>
      <c r="AK1098" s="15"/>
      <c r="AL1098" s="15"/>
    </row>
    <row r="1099" spans="1:38" ht="15.5" x14ac:dyDescent="0.3">
      <c r="A1099" s="179"/>
      <c r="B1099" s="292"/>
      <c r="C1099" s="314"/>
      <c r="D1099" s="293"/>
      <c r="E1099" s="67"/>
      <c r="F1099" s="162"/>
      <c r="G1099" s="170"/>
      <c r="H1099" s="163"/>
      <c r="I1099" s="126" t="s">
        <v>3372</v>
      </c>
      <c r="J1099" s="127"/>
      <c r="K1099" s="126"/>
      <c r="L1099" s="127"/>
      <c r="M1099" s="560"/>
      <c r="N1099" s="561"/>
      <c r="O1099" s="562"/>
      <c r="P1099" s="214"/>
      <c r="Q1099" s="216"/>
      <c r="R1099" s="155"/>
      <c r="S1099" s="157"/>
      <c r="T1099" s="214"/>
      <c r="U1099" s="216"/>
      <c r="V1099" s="200"/>
      <c r="W1099" s="201"/>
      <c r="X1099" s="244"/>
      <c r="Y1099" s="245"/>
      <c r="Z1099" s="246"/>
      <c r="AA1099" s="146"/>
      <c r="AB1099" s="148"/>
      <c r="AC1099" s="162"/>
      <c r="AD1099" s="163"/>
      <c r="AE1099" s="43"/>
      <c r="AF1099" s="162"/>
      <c r="AG1099" s="170"/>
      <c r="AH1099" s="163"/>
      <c r="AI1099" s="167"/>
      <c r="AJ1099" s="271"/>
      <c r="AK1099" s="15"/>
      <c r="AL1099" s="15"/>
    </row>
    <row r="1100" spans="1:38" ht="60" x14ac:dyDescent="0.3">
      <c r="A1100" s="179"/>
      <c r="B1100" s="292"/>
      <c r="C1100" s="314"/>
      <c r="D1100" s="293"/>
      <c r="E1100" s="19" t="s">
        <v>3381</v>
      </c>
      <c r="F1100" s="162"/>
      <c r="G1100" s="170"/>
      <c r="H1100" s="163"/>
      <c r="I1100" s="126" t="s">
        <v>3371</v>
      </c>
      <c r="J1100" s="127"/>
      <c r="K1100" s="126"/>
      <c r="L1100" s="127"/>
      <c r="M1100" s="511" t="s">
        <v>3375</v>
      </c>
      <c r="N1100" s="512"/>
      <c r="O1100" s="513"/>
      <c r="P1100" s="460"/>
      <c r="Q1100" s="461"/>
      <c r="R1100" s="160"/>
      <c r="S1100" s="161"/>
      <c r="T1100" s="460"/>
      <c r="U1100" s="461"/>
      <c r="V1100" s="353" t="s">
        <v>3376</v>
      </c>
      <c r="W1100" s="355"/>
      <c r="X1100" s="334">
        <v>198</v>
      </c>
      <c r="Y1100" s="335"/>
      <c r="Z1100" s="336"/>
      <c r="AA1100" s="337" t="s">
        <v>1854</v>
      </c>
      <c r="AB1100" s="338"/>
      <c r="AC1100" s="162"/>
      <c r="AD1100" s="163"/>
      <c r="AE1100" s="43"/>
      <c r="AF1100" s="162"/>
      <c r="AG1100" s="170"/>
      <c r="AH1100" s="163"/>
      <c r="AI1100" s="167"/>
      <c r="AJ1100" s="48"/>
      <c r="AK1100" s="15"/>
      <c r="AL1100" s="15"/>
    </row>
    <row r="1101" spans="1:38" ht="60" x14ac:dyDescent="0.3">
      <c r="A1101" s="179"/>
      <c r="B1101" s="292"/>
      <c r="C1101" s="314"/>
      <c r="D1101" s="293"/>
      <c r="E1101" s="28" t="s">
        <v>3382</v>
      </c>
      <c r="F1101" s="162"/>
      <c r="G1101" s="170"/>
      <c r="H1101" s="163"/>
      <c r="I1101" s="126" t="s">
        <v>3372</v>
      </c>
      <c r="J1101" s="127"/>
      <c r="K1101" s="126"/>
      <c r="L1101" s="127"/>
      <c r="M1101" s="384" t="s">
        <v>3383</v>
      </c>
      <c r="N1101" s="385"/>
      <c r="O1101" s="386"/>
      <c r="P1101" s="460"/>
      <c r="Q1101" s="461"/>
      <c r="R1101" s="112">
        <v>45</v>
      </c>
      <c r="S1101" s="113"/>
      <c r="T1101" s="460"/>
      <c r="U1101" s="461"/>
      <c r="V1101" s="180" t="s">
        <v>3384</v>
      </c>
      <c r="W1101" s="181"/>
      <c r="X1101" s="227">
        <v>300</v>
      </c>
      <c r="Y1101" s="228"/>
      <c r="Z1101" s="229"/>
      <c r="AA1101" s="110" t="s">
        <v>1023</v>
      </c>
      <c r="AB1101" s="111"/>
      <c r="AC1101" s="162"/>
      <c r="AD1101" s="163"/>
      <c r="AE1101" s="43"/>
      <c r="AF1101" s="162"/>
      <c r="AG1101" s="170"/>
      <c r="AH1101" s="163"/>
      <c r="AI1101" s="167"/>
      <c r="AJ1101" s="48"/>
      <c r="AK1101" s="15"/>
      <c r="AL1101" s="15"/>
    </row>
    <row r="1102" spans="1:38" ht="60" x14ac:dyDescent="0.3">
      <c r="A1102" s="179"/>
      <c r="B1102" s="292"/>
      <c r="C1102" s="314"/>
      <c r="D1102" s="293"/>
      <c r="E1102" s="28" t="s">
        <v>3385</v>
      </c>
      <c r="F1102" s="162"/>
      <c r="G1102" s="170"/>
      <c r="H1102" s="163"/>
      <c r="I1102" s="126" t="s">
        <v>3371</v>
      </c>
      <c r="J1102" s="127"/>
      <c r="K1102" s="117"/>
      <c r="L1102" s="118"/>
      <c r="M1102" s="384" t="s">
        <v>3383</v>
      </c>
      <c r="N1102" s="385"/>
      <c r="O1102" s="386"/>
      <c r="P1102" s="460"/>
      <c r="Q1102" s="461"/>
      <c r="R1102" s="160">
        <v>45</v>
      </c>
      <c r="S1102" s="161"/>
      <c r="T1102" s="460"/>
      <c r="U1102" s="461"/>
      <c r="V1102" s="180" t="s">
        <v>3384</v>
      </c>
      <c r="W1102" s="181"/>
      <c r="X1102" s="227">
        <v>300</v>
      </c>
      <c r="Y1102" s="228"/>
      <c r="Z1102" s="229"/>
      <c r="AA1102" s="110" t="s">
        <v>1023</v>
      </c>
      <c r="AB1102" s="111"/>
      <c r="AC1102" s="162"/>
      <c r="AD1102" s="163"/>
      <c r="AE1102" s="43"/>
      <c r="AF1102" s="162"/>
      <c r="AG1102" s="170"/>
      <c r="AH1102" s="163"/>
      <c r="AI1102" s="167"/>
      <c r="AJ1102" s="48"/>
      <c r="AK1102" s="15"/>
      <c r="AL1102" s="15"/>
    </row>
    <row r="1103" spans="1:38" ht="105" x14ac:dyDescent="0.3">
      <c r="A1103" s="179"/>
      <c r="B1103" s="292"/>
      <c r="C1103" s="314"/>
      <c r="D1103" s="293"/>
      <c r="E1103" s="19" t="s">
        <v>3386</v>
      </c>
      <c r="F1103" s="162"/>
      <c r="G1103" s="170"/>
      <c r="H1103" s="163"/>
      <c r="I1103" s="126" t="s">
        <v>3372</v>
      </c>
      <c r="J1103" s="127"/>
      <c r="K1103" s="88" t="s">
        <v>3387</v>
      </c>
      <c r="L1103" s="89"/>
      <c r="M1103" s="511" t="s">
        <v>3388</v>
      </c>
      <c r="N1103" s="512"/>
      <c r="O1103" s="513"/>
      <c r="P1103" s="460"/>
      <c r="Q1103" s="461"/>
      <c r="R1103" s="112">
        <v>69</v>
      </c>
      <c r="S1103" s="113"/>
      <c r="T1103" s="460"/>
      <c r="U1103" s="461"/>
      <c r="V1103" s="353" t="s">
        <v>1288</v>
      </c>
      <c r="W1103" s="355"/>
      <c r="X1103" s="334">
        <v>480</v>
      </c>
      <c r="Y1103" s="335"/>
      <c r="Z1103" s="336"/>
      <c r="AA1103" s="337" t="s">
        <v>1038</v>
      </c>
      <c r="AB1103" s="338"/>
      <c r="AC1103" s="162"/>
      <c r="AD1103" s="163"/>
      <c r="AE1103" s="43"/>
      <c r="AF1103" s="162"/>
      <c r="AG1103" s="170"/>
      <c r="AH1103" s="163"/>
      <c r="AI1103" s="167"/>
      <c r="AJ1103" s="48"/>
      <c r="AK1103" s="15"/>
      <c r="AL1103" s="15"/>
    </row>
    <row r="1104" spans="1:38" ht="105" x14ac:dyDescent="0.3">
      <c r="A1104" s="179"/>
      <c r="B1104" s="292"/>
      <c r="C1104" s="314"/>
      <c r="D1104" s="293"/>
      <c r="E1104" s="19" t="s">
        <v>3389</v>
      </c>
      <c r="F1104" s="162"/>
      <c r="G1104" s="170"/>
      <c r="H1104" s="163"/>
      <c r="I1104" s="126" t="s">
        <v>3371</v>
      </c>
      <c r="J1104" s="127"/>
      <c r="K1104" s="126" t="s">
        <v>3387</v>
      </c>
      <c r="L1104" s="127"/>
      <c r="M1104" s="511" t="s">
        <v>3388</v>
      </c>
      <c r="N1104" s="512"/>
      <c r="O1104" s="513"/>
      <c r="P1104" s="460"/>
      <c r="Q1104" s="461"/>
      <c r="R1104" s="155">
        <v>69</v>
      </c>
      <c r="S1104" s="157"/>
      <c r="T1104" s="460"/>
      <c r="U1104" s="461"/>
      <c r="V1104" s="353" t="s">
        <v>1288</v>
      </c>
      <c r="W1104" s="355"/>
      <c r="X1104" s="334">
        <v>480</v>
      </c>
      <c r="Y1104" s="335"/>
      <c r="Z1104" s="336"/>
      <c r="AA1104" s="337" t="s">
        <v>1038</v>
      </c>
      <c r="AB1104" s="338"/>
      <c r="AC1104" s="162"/>
      <c r="AD1104" s="163"/>
      <c r="AE1104" s="43"/>
      <c r="AF1104" s="162"/>
      <c r="AG1104" s="170"/>
      <c r="AH1104" s="163"/>
      <c r="AI1104" s="167"/>
      <c r="AJ1104" s="48"/>
      <c r="AK1104" s="15"/>
      <c r="AL1104" s="15"/>
    </row>
    <row r="1105" spans="1:38" ht="105" x14ac:dyDescent="0.3">
      <c r="A1105" s="230"/>
      <c r="B1105" s="290"/>
      <c r="C1105" s="345"/>
      <c r="D1105" s="291"/>
      <c r="E1105" s="28" t="s">
        <v>3390</v>
      </c>
      <c r="F1105" s="212"/>
      <c r="G1105" s="408"/>
      <c r="H1105" s="213"/>
      <c r="I1105" s="117" t="s">
        <v>3372</v>
      </c>
      <c r="J1105" s="118"/>
      <c r="K1105" s="117" t="s">
        <v>3387</v>
      </c>
      <c r="L1105" s="118"/>
      <c r="M1105" s="384" t="s">
        <v>3388</v>
      </c>
      <c r="N1105" s="385"/>
      <c r="O1105" s="386"/>
      <c r="P1105" s="460"/>
      <c r="Q1105" s="461"/>
      <c r="R1105" s="160">
        <v>69</v>
      </c>
      <c r="S1105" s="161"/>
      <c r="T1105" s="460"/>
      <c r="U1105" s="461"/>
      <c r="V1105" s="180" t="s">
        <v>1288</v>
      </c>
      <c r="W1105" s="181"/>
      <c r="X1105" s="227">
        <v>480</v>
      </c>
      <c r="Y1105" s="228"/>
      <c r="Z1105" s="229"/>
      <c r="AA1105" s="110" t="s">
        <v>1038</v>
      </c>
      <c r="AB1105" s="111"/>
      <c r="AC1105" s="212"/>
      <c r="AD1105" s="213"/>
      <c r="AE1105" s="43"/>
      <c r="AF1105" s="212"/>
      <c r="AG1105" s="408"/>
      <c r="AH1105" s="213"/>
      <c r="AI1105" s="167"/>
      <c r="AJ1105" s="48"/>
      <c r="AK1105" s="15"/>
      <c r="AL1105" s="15"/>
    </row>
    <row r="1106" spans="1:38" ht="75" x14ac:dyDescent="0.25">
      <c r="A1106" s="178"/>
      <c r="B1106" s="303" t="s">
        <v>3391</v>
      </c>
      <c r="C1106" s="344"/>
      <c r="D1106" s="304"/>
      <c r="E1106" s="19" t="s">
        <v>3392</v>
      </c>
      <c r="F1106" s="233" t="s">
        <v>3393</v>
      </c>
      <c r="G1106" s="305"/>
      <c r="H1106" s="234"/>
      <c r="I1106" s="143" t="s">
        <v>1127</v>
      </c>
      <c r="J1106" s="145"/>
      <c r="K1106" s="143" t="s">
        <v>3394</v>
      </c>
      <c r="L1106" s="145"/>
      <c r="M1106" s="353" t="s">
        <v>3395</v>
      </c>
      <c r="N1106" s="354"/>
      <c r="O1106" s="355"/>
      <c r="P1106" s="332" t="s">
        <v>3396</v>
      </c>
      <c r="Q1106" s="333"/>
      <c r="R1106" s="112">
        <v>8</v>
      </c>
      <c r="S1106" s="113"/>
      <c r="T1106" s="349">
        <v>4</v>
      </c>
      <c r="U1106" s="350"/>
      <c r="V1106" s="332" t="s">
        <v>1511</v>
      </c>
      <c r="W1106" s="333"/>
      <c r="X1106" s="334">
        <v>68</v>
      </c>
      <c r="Y1106" s="335"/>
      <c r="Z1106" s="336"/>
      <c r="AA1106" s="337" t="s">
        <v>768</v>
      </c>
      <c r="AB1106" s="338"/>
      <c r="AC1106" s="171" t="s">
        <v>3194</v>
      </c>
      <c r="AD1106" s="172"/>
      <c r="AE1106" s="24" t="s">
        <v>3399</v>
      </c>
      <c r="AF1106" s="303" t="s">
        <v>734</v>
      </c>
      <c r="AG1106" s="344"/>
      <c r="AH1106" s="304"/>
      <c r="AI1106" s="167"/>
      <c r="AJ1106" s="48"/>
      <c r="AK1106" s="15"/>
      <c r="AL1106" s="15"/>
    </row>
    <row r="1107" spans="1:38" ht="75" x14ac:dyDescent="0.25">
      <c r="A1107" s="179"/>
      <c r="B1107" s="292"/>
      <c r="C1107" s="314"/>
      <c r="D1107" s="293"/>
      <c r="E1107" s="19" t="s">
        <v>3402</v>
      </c>
      <c r="F1107" s="235"/>
      <c r="G1107" s="270"/>
      <c r="H1107" s="236"/>
      <c r="I1107" s="104" t="s">
        <v>1127</v>
      </c>
      <c r="J1107" s="105"/>
      <c r="K1107" s="104" t="s">
        <v>3394</v>
      </c>
      <c r="L1107" s="105"/>
      <c r="M1107" s="551">
        <v>25</v>
      </c>
      <c r="N1107" s="552"/>
      <c r="O1107" s="553"/>
      <c r="P1107" s="332" t="s">
        <v>3396</v>
      </c>
      <c r="Q1107" s="333"/>
      <c r="R1107" s="155">
        <v>8</v>
      </c>
      <c r="S1107" s="157"/>
      <c r="T1107" s="349">
        <v>4</v>
      </c>
      <c r="U1107" s="350"/>
      <c r="V1107" s="332" t="s">
        <v>3403</v>
      </c>
      <c r="W1107" s="333"/>
      <c r="X1107" s="334">
        <v>68</v>
      </c>
      <c r="Y1107" s="335"/>
      <c r="Z1107" s="336"/>
      <c r="AA1107" s="337" t="s">
        <v>722</v>
      </c>
      <c r="AB1107" s="338"/>
      <c r="AC1107" s="162" t="s">
        <v>3397</v>
      </c>
      <c r="AD1107" s="163"/>
      <c r="AE1107" s="31" t="s">
        <v>848</v>
      </c>
      <c r="AF1107" s="292" t="s">
        <v>3401</v>
      </c>
      <c r="AG1107" s="314"/>
      <c r="AH1107" s="293"/>
      <c r="AI1107" s="167"/>
      <c r="AJ1107" s="48"/>
      <c r="AK1107" s="15"/>
      <c r="AL1107" s="15"/>
    </row>
    <row r="1108" spans="1:38" ht="90" x14ac:dyDescent="0.25">
      <c r="A1108" s="179"/>
      <c r="B1108" s="292"/>
      <c r="C1108" s="314"/>
      <c r="D1108" s="293"/>
      <c r="E1108" s="19" t="s">
        <v>3404</v>
      </c>
      <c r="F1108" s="235"/>
      <c r="G1108" s="270"/>
      <c r="H1108" s="236"/>
      <c r="I1108" s="104" t="s">
        <v>1127</v>
      </c>
      <c r="J1108" s="105"/>
      <c r="K1108" s="104" t="s">
        <v>3394</v>
      </c>
      <c r="L1108" s="105"/>
      <c r="M1108" s="551">
        <v>25</v>
      </c>
      <c r="N1108" s="552"/>
      <c r="O1108" s="553"/>
      <c r="P1108" s="332" t="s">
        <v>3396</v>
      </c>
      <c r="Q1108" s="333"/>
      <c r="R1108" s="155">
        <v>8</v>
      </c>
      <c r="S1108" s="157"/>
      <c r="T1108" s="349">
        <v>4</v>
      </c>
      <c r="U1108" s="350"/>
      <c r="V1108" s="332" t="s">
        <v>3403</v>
      </c>
      <c r="W1108" s="333"/>
      <c r="X1108" s="334">
        <v>68</v>
      </c>
      <c r="Y1108" s="335"/>
      <c r="Z1108" s="336"/>
      <c r="AA1108" s="337" t="s">
        <v>722</v>
      </c>
      <c r="AB1108" s="338"/>
      <c r="AC1108" s="162" t="s">
        <v>3398</v>
      </c>
      <c r="AD1108" s="163"/>
      <c r="AE1108" s="31" t="s">
        <v>1356</v>
      </c>
      <c r="AF1108" s="292"/>
      <c r="AG1108" s="314"/>
      <c r="AH1108" s="293"/>
      <c r="AI1108" s="167"/>
      <c r="AJ1108" s="48"/>
      <c r="AK1108" s="15"/>
      <c r="AL1108" s="15"/>
    </row>
    <row r="1109" spans="1:38" ht="75" x14ac:dyDescent="0.25">
      <c r="A1109" s="179"/>
      <c r="B1109" s="292"/>
      <c r="C1109" s="314"/>
      <c r="D1109" s="293"/>
      <c r="E1109" s="19" t="s">
        <v>3405</v>
      </c>
      <c r="F1109" s="235"/>
      <c r="G1109" s="270"/>
      <c r="H1109" s="236"/>
      <c r="I1109" s="104" t="s">
        <v>1127</v>
      </c>
      <c r="J1109" s="105"/>
      <c r="K1109" s="104" t="s">
        <v>3394</v>
      </c>
      <c r="L1109" s="105"/>
      <c r="M1109" s="551">
        <v>27</v>
      </c>
      <c r="N1109" s="552"/>
      <c r="O1109" s="553"/>
      <c r="P1109" s="332" t="s">
        <v>3396</v>
      </c>
      <c r="Q1109" s="333"/>
      <c r="R1109" s="155">
        <v>8</v>
      </c>
      <c r="S1109" s="157"/>
      <c r="T1109" s="349">
        <v>4</v>
      </c>
      <c r="U1109" s="350"/>
      <c r="V1109" s="332" t="s">
        <v>3406</v>
      </c>
      <c r="W1109" s="333"/>
      <c r="X1109" s="334">
        <v>71</v>
      </c>
      <c r="Y1109" s="335"/>
      <c r="Z1109" s="336"/>
      <c r="AA1109" s="337" t="s">
        <v>768</v>
      </c>
      <c r="AB1109" s="338"/>
      <c r="AC1109" s="162"/>
      <c r="AD1109" s="163"/>
      <c r="AE1109" s="31" t="s">
        <v>3400</v>
      </c>
      <c r="AF1109" s="292"/>
      <c r="AG1109" s="314"/>
      <c r="AH1109" s="293"/>
      <c r="AI1109" s="167"/>
      <c r="AJ1109" s="48"/>
      <c r="AK1109" s="15"/>
      <c r="AL1109" s="15"/>
    </row>
    <row r="1110" spans="1:38" ht="75" x14ac:dyDescent="0.3">
      <c r="A1110" s="50"/>
      <c r="B1110" s="151"/>
      <c r="C1110" s="159"/>
      <c r="D1110" s="152"/>
      <c r="E1110" s="19" t="s">
        <v>3407</v>
      </c>
      <c r="F1110" s="151"/>
      <c r="G1110" s="159"/>
      <c r="H1110" s="152"/>
      <c r="I1110" s="194" t="s">
        <v>1127</v>
      </c>
      <c r="J1110" s="195"/>
      <c r="K1110" s="194" t="s">
        <v>3394</v>
      </c>
      <c r="L1110" s="195"/>
      <c r="M1110" s="551">
        <v>27</v>
      </c>
      <c r="N1110" s="552"/>
      <c r="O1110" s="553"/>
      <c r="P1110" s="332" t="s">
        <v>3396</v>
      </c>
      <c r="Q1110" s="333"/>
      <c r="R1110" s="389">
        <v>8</v>
      </c>
      <c r="S1110" s="390"/>
      <c r="T1110" s="349">
        <v>4</v>
      </c>
      <c r="U1110" s="350"/>
      <c r="V1110" s="332" t="s">
        <v>3406</v>
      </c>
      <c r="W1110" s="333"/>
      <c r="X1110" s="334">
        <v>71</v>
      </c>
      <c r="Y1110" s="335"/>
      <c r="Z1110" s="336"/>
      <c r="AA1110" s="337" t="s">
        <v>768</v>
      </c>
      <c r="AB1110" s="338"/>
      <c r="AC1110" s="151"/>
      <c r="AD1110" s="152"/>
      <c r="AE1110" s="50"/>
      <c r="AF1110" s="151"/>
      <c r="AG1110" s="159"/>
      <c r="AH1110" s="152"/>
      <c r="AI1110" s="167"/>
      <c r="AJ1110" s="48"/>
      <c r="AK1110" s="15"/>
      <c r="AL1110" s="15"/>
    </row>
    <row r="1111" spans="1:38" ht="150" x14ac:dyDescent="0.3">
      <c r="A1111" s="178"/>
      <c r="B1111" s="303" t="s">
        <v>3408</v>
      </c>
      <c r="C1111" s="344"/>
      <c r="D1111" s="304"/>
      <c r="E1111" s="28" t="s">
        <v>3409</v>
      </c>
      <c r="F1111" s="233" t="s">
        <v>2950</v>
      </c>
      <c r="G1111" s="305"/>
      <c r="H1111" s="234"/>
      <c r="I1111" s="112">
        <v>11</v>
      </c>
      <c r="J1111" s="113"/>
      <c r="K1111" s="143" t="s">
        <v>3410</v>
      </c>
      <c r="L1111" s="145"/>
      <c r="M1111" s="173" t="s">
        <v>3411</v>
      </c>
      <c r="N1111" s="276"/>
      <c r="O1111" s="174"/>
      <c r="P1111" s="173" t="s">
        <v>3412</v>
      </c>
      <c r="Q1111" s="174"/>
      <c r="R1111" s="88" t="s">
        <v>977</v>
      </c>
      <c r="S1111" s="89"/>
      <c r="T1111" s="183">
        <v>8</v>
      </c>
      <c r="U1111" s="185"/>
      <c r="V1111" s="180" t="s">
        <v>3375</v>
      </c>
      <c r="W1111" s="181"/>
      <c r="X1111" s="294">
        <v>155</v>
      </c>
      <c r="Y1111" s="295"/>
      <c r="Z1111" s="296"/>
      <c r="AA1111" s="233" t="s">
        <v>1181</v>
      </c>
      <c r="AB1111" s="234"/>
      <c r="AC1111" s="171" t="s">
        <v>3194</v>
      </c>
      <c r="AD1111" s="172"/>
      <c r="AE1111" s="24" t="s">
        <v>3415</v>
      </c>
      <c r="AF1111" s="164"/>
      <c r="AG1111" s="165"/>
      <c r="AH1111" s="166"/>
      <c r="AI1111" s="167"/>
      <c r="AJ1111" s="48"/>
      <c r="AK1111" s="15"/>
      <c r="AL1111" s="15"/>
    </row>
    <row r="1112" spans="1:38" ht="150" x14ac:dyDescent="0.3">
      <c r="A1112" s="179"/>
      <c r="B1112" s="292"/>
      <c r="C1112" s="314"/>
      <c r="D1112" s="293"/>
      <c r="E1112" s="28" t="s">
        <v>3418</v>
      </c>
      <c r="F1112" s="235"/>
      <c r="G1112" s="270"/>
      <c r="H1112" s="236"/>
      <c r="I1112" s="155">
        <v>11</v>
      </c>
      <c r="J1112" s="157"/>
      <c r="K1112" s="104" t="s">
        <v>3410</v>
      </c>
      <c r="L1112" s="105"/>
      <c r="M1112" s="173" t="s">
        <v>3419</v>
      </c>
      <c r="N1112" s="276"/>
      <c r="O1112" s="174"/>
      <c r="P1112" s="173" t="s">
        <v>3412</v>
      </c>
      <c r="Q1112" s="174"/>
      <c r="R1112" s="126" t="s">
        <v>977</v>
      </c>
      <c r="S1112" s="127"/>
      <c r="T1112" s="183">
        <v>8</v>
      </c>
      <c r="U1112" s="185"/>
      <c r="V1112" s="180" t="s">
        <v>3420</v>
      </c>
      <c r="W1112" s="181"/>
      <c r="X1112" s="297"/>
      <c r="Y1112" s="298"/>
      <c r="Z1112" s="299"/>
      <c r="AA1112" s="235"/>
      <c r="AB1112" s="236"/>
      <c r="AC1112" s="162" t="s">
        <v>3413</v>
      </c>
      <c r="AD1112" s="163"/>
      <c r="AE1112" s="31" t="s">
        <v>3416</v>
      </c>
      <c r="AF1112" s="167"/>
      <c r="AG1112" s="168"/>
      <c r="AH1112" s="169"/>
      <c r="AI1112" s="167"/>
      <c r="AJ1112" s="48"/>
      <c r="AK1112" s="15"/>
      <c r="AL1112" s="15"/>
    </row>
    <row r="1113" spans="1:38" ht="150" x14ac:dyDescent="0.3">
      <c r="A1113" s="179"/>
      <c r="B1113" s="292"/>
      <c r="C1113" s="314"/>
      <c r="D1113" s="293"/>
      <c r="E1113" s="28" t="s">
        <v>3421</v>
      </c>
      <c r="F1113" s="235"/>
      <c r="G1113" s="270"/>
      <c r="H1113" s="236"/>
      <c r="I1113" s="155">
        <v>11</v>
      </c>
      <c r="J1113" s="157"/>
      <c r="K1113" s="104" t="s">
        <v>3410</v>
      </c>
      <c r="L1113" s="105"/>
      <c r="M1113" s="173" t="s">
        <v>3422</v>
      </c>
      <c r="N1113" s="276"/>
      <c r="O1113" s="174"/>
      <c r="P1113" s="173" t="s">
        <v>3412</v>
      </c>
      <c r="Q1113" s="174"/>
      <c r="R1113" s="126" t="s">
        <v>977</v>
      </c>
      <c r="S1113" s="127"/>
      <c r="T1113" s="183">
        <v>8</v>
      </c>
      <c r="U1113" s="185"/>
      <c r="V1113" s="180" t="s">
        <v>3423</v>
      </c>
      <c r="W1113" s="181"/>
      <c r="X1113" s="297"/>
      <c r="Y1113" s="298"/>
      <c r="Z1113" s="299"/>
      <c r="AA1113" s="235"/>
      <c r="AB1113" s="236"/>
      <c r="AC1113" s="162" t="s">
        <v>3414</v>
      </c>
      <c r="AD1113" s="163"/>
      <c r="AE1113" s="31" t="s">
        <v>3417</v>
      </c>
      <c r="AF1113" s="167"/>
      <c r="AG1113" s="168"/>
      <c r="AH1113" s="169"/>
      <c r="AI1113" s="167"/>
      <c r="AJ1113" s="48"/>
      <c r="AK1113" s="15"/>
      <c r="AL1113" s="15"/>
    </row>
    <row r="1114" spans="1:38" ht="150" x14ac:dyDescent="0.3">
      <c r="A1114" s="179"/>
      <c r="B1114" s="292"/>
      <c r="C1114" s="314"/>
      <c r="D1114" s="293"/>
      <c r="E1114" s="28" t="s">
        <v>3424</v>
      </c>
      <c r="F1114" s="237"/>
      <c r="G1114" s="306"/>
      <c r="H1114" s="238"/>
      <c r="I1114" s="160">
        <v>11</v>
      </c>
      <c r="J1114" s="161"/>
      <c r="K1114" s="146" t="s">
        <v>3410</v>
      </c>
      <c r="L1114" s="148"/>
      <c r="M1114" s="173" t="s">
        <v>3419</v>
      </c>
      <c r="N1114" s="276"/>
      <c r="O1114" s="174"/>
      <c r="P1114" s="173" t="s">
        <v>3412</v>
      </c>
      <c r="Q1114" s="174"/>
      <c r="R1114" s="117" t="s">
        <v>977</v>
      </c>
      <c r="S1114" s="118"/>
      <c r="T1114" s="183">
        <v>8</v>
      </c>
      <c r="U1114" s="185"/>
      <c r="V1114" s="180" t="s">
        <v>3420</v>
      </c>
      <c r="W1114" s="181"/>
      <c r="X1114" s="300"/>
      <c r="Y1114" s="301"/>
      <c r="Z1114" s="302"/>
      <c r="AA1114" s="237"/>
      <c r="AB1114" s="238"/>
      <c r="AC1114" s="162"/>
      <c r="AD1114" s="163"/>
      <c r="AE1114" s="31"/>
      <c r="AF1114" s="167"/>
      <c r="AG1114" s="168"/>
      <c r="AH1114" s="169"/>
      <c r="AI1114" s="167"/>
      <c r="AJ1114" s="48"/>
      <c r="AK1114" s="15"/>
      <c r="AL1114" s="15"/>
    </row>
    <row r="1115" spans="1:38" ht="150" x14ac:dyDescent="0.3">
      <c r="A1115" s="179"/>
      <c r="B1115" s="292"/>
      <c r="C1115" s="314"/>
      <c r="D1115" s="293"/>
      <c r="E1115" s="28" t="s">
        <v>3425</v>
      </c>
      <c r="F1115" s="233" t="s">
        <v>2967</v>
      </c>
      <c r="G1115" s="305"/>
      <c r="H1115" s="234"/>
      <c r="I1115" s="112">
        <v>25</v>
      </c>
      <c r="J1115" s="113"/>
      <c r="K1115" s="88" t="s">
        <v>3426</v>
      </c>
      <c r="L1115" s="89"/>
      <c r="M1115" s="173" t="s">
        <v>3427</v>
      </c>
      <c r="N1115" s="276"/>
      <c r="O1115" s="174"/>
      <c r="P1115" s="285">
        <v>8</v>
      </c>
      <c r="Q1115" s="286"/>
      <c r="R1115" s="112">
        <v>34</v>
      </c>
      <c r="S1115" s="113"/>
      <c r="T1115" s="183">
        <v>13</v>
      </c>
      <c r="U1115" s="185"/>
      <c r="V1115" s="180" t="s">
        <v>3428</v>
      </c>
      <c r="W1115" s="181"/>
      <c r="X1115" s="294">
        <v>255</v>
      </c>
      <c r="Y1115" s="295"/>
      <c r="Z1115" s="296"/>
      <c r="AA1115" s="233" t="s">
        <v>1222</v>
      </c>
      <c r="AB1115" s="234"/>
      <c r="AC1115" s="162"/>
      <c r="AD1115" s="163"/>
      <c r="AE1115" s="31"/>
      <c r="AF1115" s="167"/>
      <c r="AG1115" s="168"/>
      <c r="AH1115" s="169"/>
      <c r="AI1115" s="167"/>
      <c r="AJ1115" s="48"/>
      <c r="AK1115" s="15"/>
      <c r="AL1115" s="15"/>
    </row>
    <row r="1116" spans="1:38" ht="150" x14ac:dyDescent="0.3">
      <c r="A1116" s="179"/>
      <c r="B1116" s="292"/>
      <c r="C1116" s="314"/>
      <c r="D1116" s="293"/>
      <c r="E1116" s="28" t="s">
        <v>3429</v>
      </c>
      <c r="F1116" s="235"/>
      <c r="G1116" s="270"/>
      <c r="H1116" s="236"/>
      <c r="I1116" s="155">
        <v>25</v>
      </c>
      <c r="J1116" s="157"/>
      <c r="K1116" s="126" t="s">
        <v>3426</v>
      </c>
      <c r="L1116" s="127"/>
      <c r="M1116" s="173" t="s">
        <v>3430</v>
      </c>
      <c r="N1116" s="276"/>
      <c r="O1116" s="174"/>
      <c r="P1116" s="285">
        <v>8</v>
      </c>
      <c r="Q1116" s="286"/>
      <c r="R1116" s="155">
        <v>34</v>
      </c>
      <c r="S1116" s="157"/>
      <c r="T1116" s="183">
        <v>13</v>
      </c>
      <c r="U1116" s="185"/>
      <c r="V1116" s="180" t="s">
        <v>1633</v>
      </c>
      <c r="W1116" s="181"/>
      <c r="X1116" s="297"/>
      <c r="Y1116" s="298"/>
      <c r="Z1116" s="299"/>
      <c r="AA1116" s="235"/>
      <c r="AB1116" s="236"/>
      <c r="AC1116" s="162"/>
      <c r="AD1116" s="163"/>
      <c r="AE1116" s="31"/>
      <c r="AF1116" s="167"/>
      <c r="AG1116" s="168"/>
      <c r="AH1116" s="169"/>
      <c r="AI1116" s="167"/>
      <c r="AJ1116" s="48"/>
      <c r="AK1116" s="15"/>
      <c r="AL1116" s="15"/>
    </row>
    <row r="1117" spans="1:38" ht="150" x14ac:dyDescent="0.3">
      <c r="A1117" s="179"/>
      <c r="B1117" s="292"/>
      <c r="C1117" s="314"/>
      <c r="D1117" s="293"/>
      <c r="E1117" s="28" t="s">
        <v>3431</v>
      </c>
      <c r="F1117" s="235"/>
      <c r="G1117" s="270"/>
      <c r="H1117" s="236"/>
      <c r="I1117" s="155">
        <v>25</v>
      </c>
      <c r="J1117" s="157"/>
      <c r="K1117" s="126" t="s">
        <v>3426</v>
      </c>
      <c r="L1117" s="127"/>
      <c r="M1117" s="173" t="s">
        <v>3432</v>
      </c>
      <c r="N1117" s="276"/>
      <c r="O1117" s="174"/>
      <c r="P1117" s="285">
        <v>8</v>
      </c>
      <c r="Q1117" s="286"/>
      <c r="R1117" s="155">
        <v>34</v>
      </c>
      <c r="S1117" s="157"/>
      <c r="T1117" s="183">
        <v>13</v>
      </c>
      <c r="U1117" s="185"/>
      <c r="V1117" s="180" t="s">
        <v>3433</v>
      </c>
      <c r="W1117" s="181"/>
      <c r="X1117" s="297"/>
      <c r="Y1117" s="298"/>
      <c r="Z1117" s="299"/>
      <c r="AA1117" s="235"/>
      <c r="AB1117" s="236"/>
      <c r="AC1117" s="162"/>
      <c r="AD1117" s="163"/>
      <c r="AE1117" s="31"/>
      <c r="AF1117" s="167"/>
      <c r="AG1117" s="168"/>
      <c r="AH1117" s="169"/>
      <c r="AI1117" s="167"/>
      <c r="AJ1117" s="48"/>
      <c r="AK1117" s="15"/>
      <c r="AL1117" s="15"/>
    </row>
    <row r="1118" spans="1:38" ht="150" x14ac:dyDescent="0.3">
      <c r="A1118" s="230"/>
      <c r="B1118" s="290"/>
      <c r="C1118" s="345"/>
      <c r="D1118" s="291"/>
      <c r="E1118" s="28" t="s">
        <v>3434</v>
      </c>
      <c r="F1118" s="237"/>
      <c r="G1118" s="306"/>
      <c r="H1118" s="238"/>
      <c r="I1118" s="160">
        <v>25</v>
      </c>
      <c r="J1118" s="161"/>
      <c r="K1118" s="117" t="s">
        <v>3426</v>
      </c>
      <c r="L1118" s="118"/>
      <c r="M1118" s="173" t="s">
        <v>3430</v>
      </c>
      <c r="N1118" s="276"/>
      <c r="O1118" s="174"/>
      <c r="P1118" s="285">
        <v>8</v>
      </c>
      <c r="Q1118" s="286"/>
      <c r="R1118" s="160">
        <v>34</v>
      </c>
      <c r="S1118" s="161"/>
      <c r="T1118" s="183">
        <v>13</v>
      </c>
      <c r="U1118" s="185"/>
      <c r="V1118" s="180" t="s">
        <v>1633</v>
      </c>
      <c r="W1118" s="181"/>
      <c r="X1118" s="300"/>
      <c r="Y1118" s="301"/>
      <c r="Z1118" s="302"/>
      <c r="AA1118" s="237"/>
      <c r="AB1118" s="238"/>
      <c r="AC1118" s="212"/>
      <c r="AD1118" s="213"/>
      <c r="AE1118" s="31"/>
      <c r="AF1118" s="214"/>
      <c r="AG1118" s="215"/>
      <c r="AH1118" s="216"/>
      <c r="AI1118" s="214"/>
      <c r="AJ1118" s="48"/>
      <c r="AK1118" s="15"/>
      <c r="AL1118" s="15"/>
    </row>
    <row r="1119" spans="1:38" ht="75" x14ac:dyDescent="0.25">
      <c r="A1119" s="178"/>
      <c r="B1119" s="303" t="s">
        <v>3435</v>
      </c>
      <c r="C1119" s="344"/>
      <c r="D1119" s="304"/>
      <c r="E1119" s="28" t="s">
        <v>3436</v>
      </c>
      <c r="F1119" s="192" t="s">
        <v>3437</v>
      </c>
      <c r="G1119" s="196"/>
      <c r="H1119" s="193"/>
      <c r="I1119" s="112">
        <v>2</v>
      </c>
      <c r="J1119" s="113"/>
      <c r="K1119" s="143" t="s">
        <v>3438</v>
      </c>
      <c r="L1119" s="145"/>
      <c r="M1119" s="180" t="s">
        <v>3439</v>
      </c>
      <c r="N1119" s="450"/>
      <c r="O1119" s="181"/>
      <c r="P1119" s="114" t="s">
        <v>706</v>
      </c>
      <c r="Q1119" s="116"/>
      <c r="R1119" s="88" t="s">
        <v>1742</v>
      </c>
      <c r="S1119" s="89"/>
      <c r="T1119" s="114" t="s">
        <v>1038</v>
      </c>
      <c r="U1119" s="116"/>
      <c r="V1119" s="180" t="s">
        <v>3440</v>
      </c>
      <c r="W1119" s="181"/>
      <c r="X1119" s="227">
        <v>35</v>
      </c>
      <c r="Y1119" s="228"/>
      <c r="Z1119" s="229"/>
      <c r="AA1119" s="110" t="s">
        <v>1442</v>
      </c>
      <c r="AB1119" s="111"/>
      <c r="AC1119" s="303" t="s">
        <v>3194</v>
      </c>
      <c r="AD1119" s="304"/>
      <c r="AE1119" s="35" t="s">
        <v>3442</v>
      </c>
      <c r="AF1119" s="303" t="s">
        <v>2540</v>
      </c>
      <c r="AG1119" s="344"/>
      <c r="AH1119" s="304"/>
      <c r="AI1119" s="35" t="s">
        <v>3444</v>
      </c>
      <c r="AJ1119" s="48"/>
      <c r="AK1119" s="15"/>
      <c r="AL1119" s="15"/>
    </row>
    <row r="1120" spans="1:38" ht="120" x14ac:dyDescent="0.25">
      <c r="A1120" s="179"/>
      <c r="B1120" s="292"/>
      <c r="C1120" s="314"/>
      <c r="D1120" s="293"/>
      <c r="E1120" s="28" t="s">
        <v>3446</v>
      </c>
      <c r="F1120" s="272"/>
      <c r="G1120" s="282"/>
      <c r="H1120" s="273"/>
      <c r="I1120" s="155">
        <v>2</v>
      </c>
      <c r="J1120" s="157"/>
      <c r="K1120" s="104" t="s">
        <v>3438</v>
      </c>
      <c r="L1120" s="105"/>
      <c r="M1120" s="180" t="s">
        <v>3447</v>
      </c>
      <c r="N1120" s="450"/>
      <c r="O1120" s="181"/>
      <c r="P1120" s="114" t="s">
        <v>706</v>
      </c>
      <c r="Q1120" s="116"/>
      <c r="R1120" s="126" t="s">
        <v>1742</v>
      </c>
      <c r="S1120" s="127"/>
      <c r="T1120" s="114" t="s">
        <v>1038</v>
      </c>
      <c r="U1120" s="116"/>
      <c r="V1120" s="180" t="s">
        <v>946</v>
      </c>
      <c r="W1120" s="181"/>
      <c r="X1120" s="227">
        <v>31</v>
      </c>
      <c r="Y1120" s="228"/>
      <c r="Z1120" s="229"/>
      <c r="AA1120" s="110" t="s">
        <v>2711</v>
      </c>
      <c r="AB1120" s="111"/>
      <c r="AC1120" s="292" t="s">
        <v>3441</v>
      </c>
      <c r="AD1120" s="293"/>
      <c r="AE1120" s="36" t="s">
        <v>1356</v>
      </c>
      <c r="AF1120" s="292" t="s">
        <v>3401</v>
      </c>
      <c r="AG1120" s="314"/>
      <c r="AH1120" s="293"/>
      <c r="AI1120" s="36" t="s">
        <v>3445</v>
      </c>
      <c r="AJ1120" s="48"/>
      <c r="AK1120" s="15"/>
      <c r="AL1120" s="15"/>
    </row>
    <row r="1121" spans="1:38" ht="75" x14ac:dyDescent="0.25">
      <c r="A1121" s="179"/>
      <c r="B1121" s="292"/>
      <c r="C1121" s="314"/>
      <c r="D1121" s="293"/>
      <c r="E1121" s="28" t="s">
        <v>3448</v>
      </c>
      <c r="F1121" s="194"/>
      <c r="G1121" s="197"/>
      <c r="H1121" s="195"/>
      <c r="I1121" s="160">
        <v>2</v>
      </c>
      <c r="J1121" s="161"/>
      <c r="K1121" s="146" t="s">
        <v>3438</v>
      </c>
      <c r="L1121" s="148"/>
      <c r="M1121" s="180" t="s">
        <v>3449</v>
      </c>
      <c r="N1121" s="450"/>
      <c r="O1121" s="181"/>
      <c r="P1121" s="114" t="s">
        <v>706</v>
      </c>
      <c r="Q1121" s="116"/>
      <c r="R1121" s="117" t="s">
        <v>1742</v>
      </c>
      <c r="S1121" s="118"/>
      <c r="T1121" s="114" t="s">
        <v>1038</v>
      </c>
      <c r="U1121" s="116"/>
      <c r="V1121" s="180" t="s">
        <v>3450</v>
      </c>
      <c r="W1121" s="181"/>
      <c r="X1121" s="227">
        <v>29</v>
      </c>
      <c r="Y1121" s="228"/>
      <c r="Z1121" s="229"/>
      <c r="AA1121" s="124" t="s">
        <v>3451</v>
      </c>
      <c r="AB1121" s="125"/>
      <c r="AC1121" s="292"/>
      <c r="AD1121" s="293"/>
      <c r="AE1121" s="36" t="s">
        <v>3443</v>
      </c>
      <c r="AF1121" s="292"/>
      <c r="AG1121" s="314"/>
      <c r="AH1121" s="293"/>
      <c r="AI1121" s="36"/>
      <c r="AJ1121" s="48"/>
      <c r="AK1121" s="15"/>
      <c r="AL1121" s="15"/>
    </row>
    <row r="1122" spans="1:38" ht="60" x14ac:dyDescent="0.25">
      <c r="A1122" s="179"/>
      <c r="B1122" s="292"/>
      <c r="C1122" s="314"/>
      <c r="D1122" s="293"/>
      <c r="E1122" s="28" t="s">
        <v>3452</v>
      </c>
      <c r="F1122" s="192" t="s">
        <v>3453</v>
      </c>
      <c r="G1122" s="196"/>
      <c r="H1122" s="193"/>
      <c r="I1122" s="143" t="s">
        <v>674</v>
      </c>
      <c r="J1122" s="145"/>
      <c r="K1122" s="143" t="s">
        <v>3454</v>
      </c>
      <c r="L1122" s="145"/>
      <c r="M1122" s="114" t="s">
        <v>3455</v>
      </c>
      <c r="N1122" s="115"/>
      <c r="O1122" s="116"/>
      <c r="P1122" s="114" t="s">
        <v>879</v>
      </c>
      <c r="Q1122" s="116"/>
      <c r="R1122" s="88" t="s">
        <v>1764</v>
      </c>
      <c r="S1122" s="89"/>
      <c r="T1122" s="114" t="s">
        <v>1038</v>
      </c>
      <c r="U1122" s="116"/>
      <c r="V1122" s="180" t="s">
        <v>3456</v>
      </c>
      <c r="W1122" s="181"/>
      <c r="X1122" s="227">
        <v>53</v>
      </c>
      <c r="Y1122" s="228"/>
      <c r="Z1122" s="229"/>
      <c r="AA1122" s="110" t="s">
        <v>1685</v>
      </c>
      <c r="AB1122" s="111"/>
      <c r="AC1122" s="292"/>
      <c r="AD1122" s="293"/>
      <c r="AE1122" s="36"/>
      <c r="AF1122" s="292"/>
      <c r="AG1122" s="314"/>
      <c r="AH1122" s="293"/>
      <c r="AI1122" s="36"/>
      <c r="AJ1122" s="48"/>
      <c r="AK1122" s="15"/>
      <c r="AL1122" s="15"/>
    </row>
    <row r="1123" spans="1:38" ht="60" x14ac:dyDescent="0.25">
      <c r="A1123" s="179"/>
      <c r="B1123" s="292"/>
      <c r="C1123" s="314"/>
      <c r="D1123" s="293"/>
      <c r="E1123" s="28" t="s">
        <v>3457</v>
      </c>
      <c r="F1123" s="272"/>
      <c r="G1123" s="282"/>
      <c r="H1123" s="273"/>
      <c r="I1123" s="104" t="s">
        <v>674</v>
      </c>
      <c r="J1123" s="105"/>
      <c r="K1123" s="104" t="s">
        <v>3454</v>
      </c>
      <c r="L1123" s="105"/>
      <c r="M1123" s="114" t="s">
        <v>3458</v>
      </c>
      <c r="N1123" s="115"/>
      <c r="O1123" s="116"/>
      <c r="P1123" s="114" t="s">
        <v>879</v>
      </c>
      <c r="Q1123" s="116"/>
      <c r="R1123" s="126" t="s">
        <v>1764</v>
      </c>
      <c r="S1123" s="127"/>
      <c r="T1123" s="114" t="s">
        <v>1038</v>
      </c>
      <c r="U1123" s="116"/>
      <c r="V1123" s="180" t="s">
        <v>3459</v>
      </c>
      <c r="W1123" s="181"/>
      <c r="X1123" s="227">
        <v>49</v>
      </c>
      <c r="Y1123" s="228"/>
      <c r="Z1123" s="229"/>
      <c r="AA1123" s="110" t="s">
        <v>1140</v>
      </c>
      <c r="AB1123" s="111"/>
      <c r="AC1123" s="292"/>
      <c r="AD1123" s="293"/>
      <c r="AE1123" s="36"/>
      <c r="AF1123" s="292"/>
      <c r="AG1123" s="314"/>
      <c r="AH1123" s="293"/>
      <c r="AI1123" s="36"/>
      <c r="AJ1123" s="48"/>
      <c r="AK1123" s="15"/>
      <c r="AL1123" s="15"/>
    </row>
    <row r="1124" spans="1:38" ht="60" x14ac:dyDescent="0.25">
      <c r="A1124" s="179"/>
      <c r="B1124" s="292"/>
      <c r="C1124" s="314"/>
      <c r="D1124" s="293"/>
      <c r="E1124" s="28" t="s">
        <v>3460</v>
      </c>
      <c r="F1124" s="194"/>
      <c r="G1124" s="197"/>
      <c r="H1124" s="195"/>
      <c r="I1124" s="146" t="s">
        <v>674</v>
      </c>
      <c r="J1124" s="148"/>
      <c r="K1124" s="146" t="s">
        <v>3454</v>
      </c>
      <c r="L1124" s="148"/>
      <c r="M1124" s="114" t="s">
        <v>3461</v>
      </c>
      <c r="N1124" s="115"/>
      <c r="O1124" s="116"/>
      <c r="P1124" s="114" t="s">
        <v>879</v>
      </c>
      <c r="Q1124" s="116"/>
      <c r="R1124" s="117" t="s">
        <v>1764</v>
      </c>
      <c r="S1124" s="118"/>
      <c r="T1124" s="114" t="s">
        <v>1038</v>
      </c>
      <c r="U1124" s="116"/>
      <c r="V1124" s="180" t="s">
        <v>3462</v>
      </c>
      <c r="W1124" s="181"/>
      <c r="X1124" s="227">
        <v>49</v>
      </c>
      <c r="Y1124" s="228"/>
      <c r="Z1124" s="229"/>
      <c r="AA1124" s="110" t="s">
        <v>1114</v>
      </c>
      <c r="AB1124" s="111"/>
      <c r="AC1124" s="292"/>
      <c r="AD1124" s="293"/>
      <c r="AE1124" s="36"/>
      <c r="AF1124" s="292"/>
      <c r="AG1124" s="314"/>
      <c r="AH1124" s="293"/>
      <c r="AI1124" s="36"/>
      <c r="AJ1124" s="48"/>
      <c r="AK1124" s="15"/>
      <c r="AL1124" s="15"/>
    </row>
    <row r="1125" spans="1:38" ht="60" x14ac:dyDescent="0.25">
      <c r="A1125" s="179"/>
      <c r="B1125" s="292"/>
      <c r="C1125" s="314"/>
      <c r="D1125" s="293"/>
      <c r="E1125" s="28" t="s">
        <v>3463</v>
      </c>
      <c r="F1125" s="192" t="s">
        <v>3464</v>
      </c>
      <c r="G1125" s="196"/>
      <c r="H1125" s="193"/>
      <c r="I1125" s="143" t="s">
        <v>842</v>
      </c>
      <c r="J1125" s="145"/>
      <c r="K1125" s="143" t="s">
        <v>3465</v>
      </c>
      <c r="L1125" s="145"/>
      <c r="M1125" s="114" t="s">
        <v>3466</v>
      </c>
      <c r="N1125" s="115"/>
      <c r="O1125" s="116"/>
      <c r="P1125" s="114" t="s">
        <v>826</v>
      </c>
      <c r="Q1125" s="116"/>
      <c r="R1125" s="88" t="s">
        <v>1463</v>
      </c>
      <c r="S1125" s="89"/>
      <c r="T1125" s="114" t="s">
        <v>1038</v>
      </c>
      <c r="U1125" s="116"/>
      <c r="V1125" s="180" t="s">
        <v>3467</v>
      </c>
      <c r="W1125" s="181"/>
      <c r="X1125" s="227">
        <v>75</v>
      </c>
      <c r="Y1125" s="228"/>
      <c r="Z1125" s="229"/>
      <c r="AA1125" s="110" t="s">
        <v>1342</v>
      </c>
      <c r="AB1125" s="111"/>
      <c r="AC1125" s="292"/>
      <c r="AD1125" s="293"/>
      <c r="AE1125" s="36"/>
      <c r="AF1125" s="292"/>
      <c r="AG1125" s="314"/>
      <c r="AH1125" s="293"/>
      <c r="AI1125" s="36"/>
      <c r="AJ1125" s="48"/>
      <c r="AK1125" s="15"/>
      <c r="AL1125" s="15"/>
    </row>
    <row r="1126" spans="1:38" ht="60" x14ac:dyDescent="0.25">
      <c r="A1126" s="179"/>
      <c r="B1126" s="292"/>
      <c r="C1126" s="314"/>
      <c r="D1126" s="293"/>
      <c r="E1126" s="28" t="s">
        <v>3468</v>
      </c>
      <c r="F1126" s="272"/>
      <c r="G1126" s="282"/>
      <c r="H1126" s="273"/>
      <c r="I1126" s="104" t="s">
        <v>842</v>
      </c>
      <c r="J1126" s="105"/>
      <c r="K1126" s="104" t="s">
        <v>3465</v>
      </c>
      <c r="L1126" s="105"/>
      <c r="M1126" s="114" t="s">
        <v>3469</v>
      </c>
      <c r="N1126" s="115"/>
      <c r="O1126" s="116"/>
      <c r="P1126" s="114" t="s">
        <v>826</v>
      </c>
      <c r="Q1126" s="116"/>
      <c r="R1126" s="126" t="s">
        <v>1463</v>
      </c>
      <c r="S1126" s="127"/>
      <c r="T1126" s="114" t="s">
        <v>1038</v>
      </c>
      <c r="U1126" s="116"/>
      <c r="V1126" s="180" t="s">
        <v>3470</v>
      </c>
      <c r="W1126" s="181"/>
      <c r="X1126" s="227">
        <v>69</v>
      </c>
      <c r="Y1126" s="228"/>
      <c r="Z1126" s="229"/>
      <c r="AA1126" s="110" t="s">
        <v>1338</v>
      </c>
      <c r="AB1126" s="111"/>
      <c r="AC1126" s="292"/>
      <c r="AD1126" s="293"/>
      <c r="AE1126" s="36"/>
      <c r="AF1126" s="292"/>
      <c r="AG1126" s="314"/>
      <c r="AH1126" s="293"/>
      <c r="AI1126" s="36"/>
      <c r="AJ1126" s="48"/>
      <c r="AK1126" s="15"/>
      <c r="AL1126" s="15"/>
    </row>
    <row r="1127" spans="1:38" ht="60" x14ac:dyDescent="0.25">
      <c r="A1127" s="179"/>
      <c r="B1127" s="292"/>
      <c r="C1127" s="314"/>
      <c r="D1127" s="293"/>
      <c r="E1127" s="28" t="s">
        <v>3471</v>
      </c>
      <c r="F1127" s="194"/>
      <c r="G1127" s="197"/>
      <c r="H1127" s="195"/>
      <c r="I1127" s="146" t="s">
        <v>842</v>
      </c>
      <c r="J1127" s="148"/>
      <c r="K1127" s="146" t="s">
        <v>3465</v>
      </c>
      <c r="L1127" s="148"/>
      <c r="M1127" s="114" t="s">
        <v>3472</v>
      </c>
      <c r="N1127" s="115"/>
      <c r="O1127" s="116"/>
      <c r="P1127" s="114" t="s">
        <v>826</v>
      </c>
      <c r="Q1127" s="116"/>
      <c r="R1127" s="117" t="s">
        <v>1463</v>
      </c>
      <c r="S1127" s="118"/>
      <c r="T1127" s="114" t="s">
        <v>1038</v>
      </c>
      <c r="U1127" s="116"/>
      <c r="V1127" s="180" t="s">
        <v>3473</v>
      </c>
      <c r="W1127" s="181"/>
      <c r="X1127" s="227">
        <v>69</v>
      </c>
      <c r="Y1127" s="228"/>
      <c r="Z1127" s="229"/>
      <c r="AA1127" s="110" t="s">
        <v>989</v>
      </c>
      <c r="AB1127" s="111"/>
      <c r="AC1127" s="292"/>
      <c r="AD1127" s="293"/>
      <c r="AE1127" s="36"/>
      <c r="AF1127" s="292"/>
      <c r="AG1127" s="314"/>
      <c r="AH1127" s="293"/>
      <c r="AI1127" s="36"/>
      <c r="AJ1127" s="48"/>
      <c r="AK1127" s="15"/>
      <c r="AL1127" s="15"/>
    </row>
    <row r="1128" spans="1:38" ht="60" x14ac:dyDescent="0.25">
      <c r="A1128" s="179"/>
      <c r="B1128" s="292"/>
      <c r="C1128" s="314"/>
      <c r="D1128" s="293"/>
      <c r="E1128" s="28" t="s">
        <v>3474</v>
      </c>
      <c r="F1128" s="192" t="s">
        <v>3475</v>
      </c>
      <c r="G1128" s="196"/>
      <c r="H1128" s="193"/>
      <c r="I1128" s="143" t="s">
        <v>1159</v>
      </c>
      <c r="J1128" s="145"/>
      <c r="K1128" s="143" t="s">
        <v>3476</v>
      </c>
      <c r="L1128" s="145"/>
      <c r="M1128" s="114" t="s">
        <v>3477</v>
      </c>
      <c r="N1128" s="115"/>
      <c r="O1128" s="116"/>
      <c r="P1128" s="114" t="s">
        <v>989</v>
      </c>
      <c r="Q1128" s="116"/>
      <c r="R1128" s="88" t="s">
        <v>3478</v>
      </c>
      <c r="S1128" s="89"/>
      <c r="T1128" s="114" t="s">
        <v>1038</v>
      </c>
      <c r="U1128" s="116"/>
      <c r="V1128" s="180" t="s">
        <v>3479</v>
      </c>
      <c r="W1128" s="181"/>
      <c r="X1128" s="227">
        <v>89</v>
      </c>
      <c r="Y1128" s="228"/>
      <c r="Z1128" s="229"/>
      <c r="AA1128" s="110" t="s">
        <v>1342</v>
      </c>
      <c r="AB1128" s="111"/>
      <c r="AC1128" s="292"/>
      <c r="AD1128" s="293"/>
      <c r="AE1128" s="36"/>
      <c r="AF1128" s="292"/>
      <c r="AG1128" s="314"/>
      <c r="AH1128" s="293"/>
      <c r="AI1128" s="36"/>
      <c r="AJ1128" s="48"/>
      <c r="AK1128" s="15"/>
      <c r="AL1128" s="15"/>
    </row>
    <row r="1129" spans="1:38" ht="60" x14ac:dyDescent="0.25">
      <c r="A1129" s="179"/>
      <c r="B1129" s="292"/>
      <c r="C1129" s="314"/>
      <c r="D1129" s="293"/>
      <c r="E1129" s="28" t="s">
        <v>3480</v>
      </c>
      <c r="F1129" s="272"/>
      <c r="G1129" s="282"/>
      <c r="H1129" s="273"/>
      <c r="I1129" s="104" t="s">
        <v>1159</v>
      </c>
      <c r="J1129" s="105"/>
      <c r="K1129" s="104" t="s">
        <v>3476</v>
      </c>
      <c r="L1129" s="105"/>
      <c r="M1129" s="114" t="s">
        <v>3481</v>
      </c>
      <c r="N1129" s="115"/>
      <c r="O1129" s="116"/>
      <c r="P1129" s="114" t="s">
        <v>989</v>
      </c>
      <c r="Q1129" s="116"/>
      <c r="R1129" s="126" t="s">
        <v>3478</v>
      </c>
      <c r="S1129" s="127"/>
      <c r="T1129" s="114" t="s">
        <v>1038</v>
      </c>
      <c r="U1129" s="116"/>
      <c r="V1129" s="180" t="s">
        <v>2552</v>
      </c>
      <c r="W1129" s="181"/>
      <c r="X1129" s="227">
        <v>83</v>
      </c>
      <c r="Y1129" s="228"/>
      <c r="Z1129" s="229"/>
      <c r="AA1129" s="110" t="s">
        <v>989</v>
      </c>
      <c r="AB1129" s="111"/>
      <c r="AC1129" s="292"/>
      <c r="AD1129" s="293"/>
      <c r="AE1129" s="36"/>
      <c r="AF1129" s="292"/>
      <c r="AG1129" s="314"/>
      <c r="AH1129" s="293"/>
      <c r="AI1129" s="36"/>
      <c r="AJ1129" s="48"/>
      <c r="AK1129" s="15"/>
      <c r="AL1129" s="15"/>
    </row>
    <row r="1130" spans="1:38" ht="60" x14ac:dyDescent="0.25">
      <c r="A1130" s="179"/>
      <c r="B1130" s="292"/>
      <c r="C1130" s="314"/>
      <c r="D1130" s="293"/>
      <c r="E1130" s="28" t="s">
        <v>3482</v>
      </c>
      <c r="F1130" s="194"/>
      <c r="G1130" s="197"/>
      <c r="H1130" s="195"/>
      <c r="I1130" s="146" t="s">
        <v>1159</v>
      </c>
      <c r="J1130" s="148"/>
      <c r="K1130" s="146" t="s">
        <v>3476</v>
      </c>
      <c r="L1130" s="148"/>
      <c r="M1130" s="114" t="s">
        <v>3483</v>
      </c>
      <c r="N1130" s="115"/>
      <c r="O1130" s="116"/>
      <c r="P1130" s="114" t="s">
        <v>989</v>
      </c>
      <c r="Q1130" s="116"/>
      <c r="R1130" s="117" t="s">
        <v>3478</v>
      </c>
      <c r="S1130" s="118"/>
      <c r="T1130" s="114" t="s">
        <v>1038</v>
      </c>
      <c r="U1130" s="116"/>
      <c r="V1130" s="180" t="s">
        <v>3484</v>
      </c>
      <c r="W1130" s="181"/>
      <c r="X1130" s="227">
        <v>83</v>
      </c>
      <c r="Y1130" s="228"/>
      <c r="Z1130" s="229"/>
      <c r="AA1130" s="110" t="s">
        <v>1342</v>
      </c>
      <c r="AB1130" s="111"/>
      <c r="AC1130" s="292"/>
      <c r="AD1130" s="293"/>
      <c r="AE1130" s="36"/>
      <c r="AF1130" s="292"/>
      <c r="AG1130" s="314"/>
      <c r="AH1130" s="293"/>
      <c r="AI1130" s="36"/>
      <c r="AJ1130" s="48"/>
      <c r="AK1130" s="15"/>
      <c r="AL1130" s="15"/>
    </row>
    <row r="1131" spans="1:38" ht="60" x14ac:dyDescent="0.25">
      <c r="A1131" s="179"/>
      <c r="B1131" s="292"/>
      <c r="C1131" s="314"/>
      <c r="D1131" s="293"/>
      <c r="E1131" s="28" t="s">
        <v>3485</v>
      </c>
      <c r="F1131" s="192" t="s">
        <v>3486</v>
      </c>
      <c r="G1131" s="196"/>
      <c r="H1131" s="193"/>
      <c r="I1131" s="112">
        <v>4</v>
      </c>
      <c r="J1131" s="113"/>
      <c r="K1131" s="143" t="s">
        <v>3487</v>
      </c>
      <c r="L1131" s="145"/>
      <c r="M1131" s="114" t="s">
        <v>3488</v>
      </c>
      <c r="N1131" s="115"/>
      <c r="O1131" s="116"/>
      <c r="P1131" s="114" t="s">
        <v>1038</v>
      </c>
      <c r="Q1131" s="116"/>
      <c r="R1131" s="88" t="s">
        <v>3489</v>
      </c>
      <c r="S1131" s="89"/>
      <c r="T1131" s="114" t="s">
        <v>1742</v>
      </c>
      <c r="U1131" s="116"/>
      <c r="V1131" s="173" t="s">
        <v>3490</v>
      </c>
      <c r="W1131" s="174"/>
      <c r="X1131" s="227">
        <v>119</v>
      </c>
      <c r="Y1131" s="228"/>
      <c r="Z1131" s="229"/>
      <c r="AA1131" s="110" t="s">
        <v>717</v>
      </c>
      <c r="AB1131" s="111"/>
      <c r="AC1131" s="292"/>
      <c r="AD1131" s="293"/>
      <c r="AE1131" s="36"/>
      <c r="AF1131" s="292"/>
      <c r="AG1131" s="314"/>
      <c r="AH1131" s="293"/>
      <c r="AI1131" s="36"/>
      <c r="AJ1131" s="48"/>
      <c r="AK1131" s="15"/>
      <c r="AL1131" s="15"/>
    </row>
    <row r="1132" spans="1:38" ht="60" x14ac:dyDescent="0.25">
      <c r="A1132" s="179"/>
      <c r="B1132" s="292"/>
      <c r="C1132" s="314"/>
      <c r="D1132" s="293"/>
      <c r="E1132" s="28" t="s">
        <v>3491</v>
      </c>
      <c r="F1132" s="272"/>
      <c r="G1132" s="282"/>
      <c r="H1132" s="273"/>
      <c r="I1132" s="155">
        <v>4</v>
      </c>
      <c r="J1132" s="157"/>
      <c r="K1132" s="104" t="s">
        <v>3487</v>
      </c>
      <c r="L1132" s="105"/>
      <c r="M1132" s="114" t="s">
        <v>3492</v>
      </c>
      <c r="N1132" s="115"/>
      <c r="O1132" s="116"/>
      <c r="P1132" s="114" t="s">
        <v>1038</v>
      </c>
      <c r="Q1132" s="116"/>
      <c r="R1132" s="126" t="s">
        <v>3489</v>
      </c>
      <c r="S1132" s="127"/>
      <c r="T1132" s="114" t="s">
        <v>1742</v>
      </c>
      <c r="U1132" s="116"/>
      <c r="V1132" s="173" t="s">
        <v>3493</v>
      </c>
      <c r="W1132" s="174"/>
      <c r="X1132" s="227">
        <v>112</v>
      </c>
      <c r="Y1132" s="228"/>
      <c r="Z1132" s="229"/>
      <c r="AA1132" s="110" t="s">
        <v>717</v>
      </c>
      <c r="AB1132" s="111"/>
      <c r="AC1132" s="292"/>
      <c r="AD1132" s="293"/>
      <c r="AE1132" s="36"/>
      <c r="AF1132" s="292"/>
      <c r="AG1132" s="314"/>
      <c r="AH1132" s="293"/>
      <c r="AI1132" s="36"/>
      <c r="AJ1132" s="48"/>
      <c r="AK1132" s="15"/>
      <c r="AL1132" s="15"/>
    </row>
    <row r="1133" spans="1:38" ht="60" x14ac:dyDescent="0.25">
      <c r="A1133" s="179"/>
      <c r="B1133" s="292"/>
      <c r="C1133" s="314"/>
      <c r="D1133" s="293"/>
      <c r="E1133" s="28" t="s">
        <v>3494</v>
      </c>
      <c r="F1133" s="194"/>
      <c r="G1133" s="197"/>
      <c r="H1133" s="195"/>
      <c r="I1133" s="160">
        <v>4</v>
      </c>
      <c r="J1133" s="161"/>
      <c r="K1133" s="146" t="s">
        <v>3487</v>
      </c>
      <c r="L1133" s="148"/>
      <c r="M1133" s="114" t="s">
        <v>3495</v>
      </c>
      <c r="N1133" s="115"/>
      <c r="O1133" s="116"/>
      <c r="P1133" s="114" t="s">
        <v>1038</v>
      </c>
      <c r="Q1133" s="116"/>
      <c r="R1133" s="126" t="s">
        <v>3489</v>
      </c>
      <c r="S1133" s="127"/>
      <c r="T1133" s="114" t="s">
        <v>1742</v>
      </c>
      <c r="U1133" s="116"/>
      <c r="V1133" s="173" t="s">
        <v>3496</v>
      </c>
      <c r="W1133" s="174"/>
      <c r="X1133" s="227">
        <v>112</v>
      </c>
      <c r="Y1133" s="228"/>
      <c r="Z1133" s="229"/>
      <c r="AA1133" s="110" t="s">
        <v>879</v>
      </c>
      <c r="AB1133" s="111"/>
      <c r="AC1133" s="292"/>
      <c r="AD1133" s="293"/>
      <c r="AE1133" s="36"/>
      <c r="AF1133" s="292"/>
      <c r="AG1133" s="314"/>
      <c r="AH1133" s="293"/>
      <c r="AI1133" s="36"/>
      <c r="AJ1133" s="48"/>
      <c r="AK1133" s="15"/>
      <c r="AL1133" s="15"/>
    </row>
    <row r="1134" spans="1:38" ht="60" x14ac:dyDescent="0.25">
      <c r="A1134" s="179"/>
      <c r="B1134" s="292"/>
      <c r="C1134" s="314"/>
      <c r="D1134" s="293"/>
      <c r="E1134" s="28" t="s">
        <v>3497</v>
      </c>
      <c r="F1134" s="192" t="s">
        <v>3498</v>
      </c>
      <c r="G1134" s="196"/>
      <c r="H1134" s="193"/>
      <c r="I1134" s="143" t="s">
        <v>1751</v>
      </c>
      <c r="J1134" s="145"/>
      <c r="K1134" s="143" t="s">
        <v>3499</v>
      </c>
      <c r="L1134" s="145"/>
      <c r="M1134" s="114" t="s">
        <v>3500</v>
      </c>
      <c r="N1134" s="115"/>
      <c r="O1134" s="116"/>
      <c r="P1134" s="114" t="s">
        <v>1127</v>
      </c>
      <c r="Q1134" s="116"/>
      <c r="R1134" s="547" t="s">
        <v>2422</v>
      </c>
      <c r="S1134" s="548"/>
      <c r="T1134" s="114" t="s">
        <v>1742</v>
      </c>
      <c r="U1134" s="116"/>
      <c r="V1134" s="173" t="s">
        <v>1079</v>
      </c>
      <c r="W1134" s="174"/>
      <c r="X1134" s="227">
        <v>135</v>
      </c>
      <c r="Y1134" s="228"/>
      <c r="Z1134" s="229"/>
      <c r="AA1134" s="110" t="s">
        <v>717</v>
      </c>
      <c r="AB1134" s="111"/>
      <c r="AC1134" s="292"/>
      <c r="AD1134" s="293"/>
      <c r="AE1134" s="36"/>
      <c r="AF1134" s="292"/>
      <c r="AG1134" s="314"/>
      <c r="AH1134" s="293"/>
      <c r="AI1134" s="36"/>
      <c r="AJ1134" s="48"/>
      <c r="AK1134" s="15"/>
      <c r="AL1134" s="15"/>
    </row>
    <row r="1135" spans="1:38" ht="60" x14ac:dyDescent="0.25">
      <c r="A1135" s="179"/>
      <c r="B1135" s="292"/>
      <c r="C1135" s="314"/>
      <c r="D1135" s="293"/>
      <c r="E1135" s="28" t="s">
        <v>3501</v>
      </c>
      <c r="F1135" s="272"/>
      <c r="G1135" s="282"/>
      <c r="H1135" s="273"/>
      <c r="I1135" s="104" t="s">
        <v>1751</v>
      </c>
      <c r="J1135" s="105"/>
      <c r="K1135" s="104" t="s">
        <v>3499</v>
      </c>
      <c r="L1135" s="105"/>
      <c r="M1135" s="114" t="s">
        <v>3502</v>
      </c>
      <c r="N1135" s="115"/>
      <c r="O1135" s="116"/>
      <c r="P1135" s="114" t="s">
        <v>1127</v>
      </c>
      <c r="Q1135" s="116"/>
      <c r="R1135" s="547" t="s">
        <v>2422</v>
      </c>
      <c r="S1135" s="548"/>
      <c r="T1135" s="114" t="s">
        <v>1742</v>
      </c>
      <c r="U1135" s="116"/>
      <c r="V1135" s="173" t="s">
        <v>3503</v>
      </c>
      <c r="W1135" s="174"/>
      <c r="X1135" s="227">
        <v>125</v>
      </c>
      <c r="Y1135" s="228"/>
      <c r="Z1135" s="229"/>
      <c r="AA1135" s="110" t="s">
        <v>758</v>
      </c>
      <c r="AB1135" s="111"/>
      <c r="AC1135" s="292"/>
      <c r="AD1135" s="293"/>
      <c r="AE1135" s="36"/>
      <c r="AF1135" s="292"/>
      <c r="AG1135" s="314"/>
      <c r="AH1135" s="293"/>
      <c r="AI1135" s="36"/>
      <c r="AJ1135" s="48"/>
      <c r="AK1135" s="15"/>
      <c r="AL1135" s="15"/>
    </row>
    <row r="1136" spans="1:38" ht="60" x14ac:dyDescent="0.25">
      <c r="A1136" s="179"/>
      <c r="B1136" s="292"/>
      <c r="C1136" s="314"/>
      <c r="D1136" s="293"/>
      <c r="E1136" s="28" t="s">
        <v>3504</v>
      </c>
      <c r="F1136" s="194"/>
      <c r="G1136" s="197"/>
      <c r="H1136" s="195"/>
      <c r="I1136" s="146" t="s">
        <v>1751</v>
      </c>
      <c r="J1136" s="148"/>
      <c r="K1136" s="146" t="s">
        <v>3499</v>
      </c>
      <c r="L1136" s="148"/>
      <c r="M1136" s="183">
        <v>58</v>
      </c>
      <c r="N1136" s="184"/>
      <c r="O1136" s="185"/>
      <c r="P1136" s="114" t="s">
        <v>1127</v>
      </c>
      <c r="Q1136" s="116"/>
      <c r="R1136" s="200" t="s">
        <v>2422</v>
      </c>
      <c r="S1136" s="201"/>
      <c r="T1136" s="114" t="s">
        <v>1742</v>
      </c>
      <c r="U1136" s="116"/>
      <c r="V1136" s="173" t="s">
        <v>3505</v>
      </c>
      <c r="W1136" s="174"/>
      <c r="X1136" s="227">
        <v>125</v>
      </c>
      <c r="Y1136" s="228"/>
      <c r="Z1136" s="229"/>
      <c r="AA1136" s="110" t="s">
        <v>717</v>
      </c>
      <c r="AB1136" s="111"/>
      <c r="AC1136" s="292"/>
      <c r="AD1136" s="293"/>
      <c r="AE1136" s="36"/>
      <c r="AF1136" s="292"/>
      <c r="AG1136" s="314"/>
      <c r="AH1136" s="293"/>
      <c r="AI1136" s="36"/>
      <c r="AJ1136" s="48"/>
      <c r="AK1136" s="15"/>
      <c r="AL1136" s="15"/>
    </row>
    <row r="1137" spans="1:38" ht="60" x14ac:dyDescent="0.25">
      <c r="A1137" s="179"/>
      <c r="B1137" s="292"/>
      <c r="C1137" s="314"/>
      <c r="D1137" s="293"/>
      <c r="E1137" s="28" t="s">
        <v>3506</v>
      </c>
      <c r="F1137" s="192" t="s">
        <v>3507</v>
      </c>
      <c r="G1137" s="196"/>
      <c r="H1137" s="193"/>
      <c r="I1137" s="143" t="s">
        <v>1336</v>
      </c>
      <c r="J1137" s="145"/>
      <c r="K1137" s="143" t="s">
        <v>3508</v>
      </c>
      <c r="L1137" s="145"/>
      <c r="M1137" s="114" t="s">
        <v>3509</v>
      </c>
      <c r="N1137" s="115"/>
      <c r="O1137" s="116"/>
      <c r="P1137" s="114" t="s">
        <v>1742</v>
      </c>
      <c r="Q1137" s="116"/>
      <c r="R1137" s="180" t="s">
        <v>1472</v>
      </c>
      <c r="S1137" s="181"/>
      <c r="T1137" s="114" t="s">
        <v>1742</v>
      </c>
      <c r="U1137" s="116"/>
      <c r="V1137" s="173" t="s">
        <v>2739</v>
      </c>
      <c r="W1137" s="174"/>
      <c r="X1137" s="227">
        <v>150</v>
      </c>
      <c r="Y1137" s="228"/>
      <c r="Z1137" s="229"/>
      <c r="AA1137" s="110" t="s">
        <v>758</v>
      </c>
      <c r="AB1137" s="111"/>
      <c r="AC1137" s="292"/>
      <c r="AD1137" s="293"/>
      <c r="AE1137" s="36"/>
      <c r="AF1137" s="292"/>
      <c r="AG1137" s="314"/>
      <c r="AH1137" s="293"/>
      <c r="AI1137" s="36"/>
      <c r="AJ1137" s="48"/>
      <c r="AK1137" s="15"/>
      <c r="AL1137" s="15"/>
    </row>
    <row r="1138" spans="1:38" ht="60" x14ac:dyDescent="0.25">
      <c r="A1138" s="179"/>
      <c r="B1138" s="292"/>
      <c r="C1138" s="314"/>
      <c r="D1138" s="293"/>
      <c r="E1138" s="28" t="s">
        <v>3510</v>
      </c>
      <c r="F1138" s="272"/>
      <c r="G1138" s="282"/>
      <c r="H1138" s="273"/>
      <c r="I1138" s="104" t="s">
        <v>1336</v>
      </c>
      <c r="J1138" s="105"/>
      <c r="K1138" s="104" t="s">
        <v>3508</v>
      </c>
      <c r="L1138" s="105"/>
      <c r="M1138" s="114" t="s">
        <v>3511</v>
      </c>
      <c r="N1138" s="115"/>
      <c r="O1138" s="116"/>
      <c r="P1138" s="114" t="s">
        <v>1742</v>
      </c>
      <c r="Q1138" s="116"/>
      <c r="R1138" s="180" t="s">
        <v>1472</v>
      </c>
      <c r="S1138" s="181"/>
      <c r="T1138" s="114" t="s">
        <v>1742</v>
      </c>
      <c r="U1138" s="116"/>
      <c r="V1138" s="173" t="s">
        <v>3512</v>
      </c>
      <c r="W1138" s="174"/>
      <c r="X1138" s="227">
        <v>140</v>
      </c>
      <c r="Y1138" s="228"/>
      <c r="Z1138" s="229"/>
      <c r="AA1138" s="110" t="s">
        <v>758</v>
      </c>
      <c r="AB1138" s="111"/>
      <c r="AC1138" s="292"/>
      <c r="AD1138" s="293"/>
      <c r="AE1138" s="36"/>
      <c r="AF1138" s="292"/>
      <c r="AG1138" s="314"/>
      <c r="AH1138" s="293"/>
      <c r="AI1138" s="36"/>
      <c r="AJ1138" s="48"/>
      <c r="AK1138" s="15"/>
      <c r="AL1138" s="15"/>
    </row>
    <row r="1139" spans="1:38" ht="60" x14ac:dyDescent="0.25">
      <c r="A1139" s="179"/>
      <c r="B1139" s="292"/>
      <c r="C1139" s="314"/>
      <c r="D1139" s="293"/>
      <c r="E1139" s="28" t="s">
        <v>3513</v>
      </c>
      <c r="F1139" s="194"/>
      <c r="G1139" s="197"/>
      <c r="H1139" s="195"/>
      <c r="I1139" s="146" t="s">
        <v>1336</v>
      </c>
      <c r="J1139" s="148"/>
      <c r="K1139" s="146" t="s">
        <v>3508</v>
      </c>
      <c r="L1139" s="148"/>
      <c r="M1139" s="114" t="s">
        <v>3514</v>
      </c>
      <c r="N1139" s="115"/>
      <c r="O1139" s="116"/>
      <c r="P1139" s="114" t="s">
        <v>1742</v>
      </c>
      <c r="Q1139" s="116"/>
      <c r="R1139" s="180" t="s">
        <v>1472</v>
      </c>
      <c r="S1139" s="181"/>
      <c r="T1139" s="114" t="s">
        <v>1742</v>
      </c>
      <c r="U1139" s="116"/>
      <c r="V1139" s="173" t="s">
        <v>3515</v>
      </c>
      <c r="W1139" s="174"/>
      <c r="X1139" s="227">
        <v>140</v>
      </c>
      <c r="Y1139" s="228"/>
      <c r="Z1139" s="229"/>
      <c r="AA1139" s="110" t="s">
        <v>717</v>
      </c>
      <c r="AB1139" s="111"/>
      <c r="AC1139" s="292"/>
      <c r="AD1139" s="293"/>
      <c r="AE1139" s="36"/>
      <c r="AF1139" s="292"/>
      <c r="AG1139" s="314"/>
      <c r="AH1139" s="293"/>
      <c r="AI1139" s="36"/>
      <c r="AJ1139" s="48"/>
      <c r="AK1139" s="15"/>
      <c r="AL1139" s="15"/>
    </row>
    <row r="1140" spans="1:38" ht="60" x14ac:dyDescent="0.25">
      <c r="A1140" s="179"/>
      <c r="B1140" s="292"/>
      <c r="C1140" s="314"/>
      <c r="D1140" s="293"/>
      <c r="E1140" s="28" t="s">
        <v>3516</v>
      </c>
      <c r="F1140" s="192" t="s">
        <v>3517</v>
      </c>
      <c r="G1140" s="196"/>
      <c r="H1140" s="193"/>
      <c r="I1140" s="112">
        <v>7</v>
      </c>
      <c r="J1140" s="113"/>
      <c r="K1140" s="143" t="s">
        <v>3518</v>
      </c>
      <c r="L1140" s="145"/>
      <c r="M1140" s="114" t="s">
        <v>2107</v>
      </c>
      <c r="N1140" s="115"/>
      <c r="O1140" s="116"/>
      <c r="P1140" s="114" t="s">
        <v>1369</v>
      </c>
      <c r="Q1140" s="116"/>
      <c r="R1140" s="180" t="s">
        <v>3519</v>
      </c>
      <c r="S1140" s="181"/>
      <c r="T1140" s="114" t="s">
        <v>1742</v>
      </c>
      <c r="U1140" s="116"/>
      <c r="V1140" s="173" t="s">
        <v>3520</v>
      </c>
      <c r="W1140" s="174"/>
      <c r="X1140" s="227">
        <v>168</v>
      </c>
      <c r="Y1140" s="228"/>
      <c r="Z1140" s="229"/>
      <c r="AA1140" s="110" t="s">
        <v>717</v>
      </c>
      <c r="AB1140" s="111"/>
      <c r="AC1140" s="292"/>
      <c r="AD1140" s="293"/>
      <c r="AE1140" s="36"/>
      <c r="AF1140" s="292"/>
      <c r="AG1140" s="314"/>
      <c r="AH1140" s="293"/>
      <c r="AI1140" s="36"/>
      <c r="AJ1140" s="48"/>
      <c r="AK1140" s="15"/>
      <c r="AL1140" s="15"/>
    </row>
    <row r="1141" spans="1:38" ht="60" x14ac:dyDescent="0.25">
      <c r="A1141" s="179"/>
      <c r="B1141" s="292"/>
      <c r="C1141" s="314"/>
      <c r="D1141" s="293"/>
      <c r="E1141" s="28" t="s">
        <v>3521</v>
      </c>
      <c r="F1141" s="272"/>
      <c r="G1141" s="282"/>
      <c r="H1141" s="273"/>
      <c r="I1141" s="155">
        <v>7</v>
      </c>
      <c r="J1141" s="157"/>
      <c r="K1141" s="104" t="s">
        <v>3518</v>
      </c>
      <c r="L1141" s="105"/>
      <c r="M1141" s="114" t="s">
        <v>3522</v>
      </c>
      <c r="N1141" s="115"/>
      <c r="O1141" s="116"/>
      <c r="P1141" s="114" t="s">
        <v>1369</v>
      </c>
      <c r="Q1141" s="116"/>
      <c r="R1141" s="180" t="s">
        <v>3519</v>
      </c>
      <c r="S1141" s="181"/>
      <c r="T1141" s="114" t="s">
        <v>1742</v>
      </c>
      <c r="U1141" s="116"/>
      <c r="V1141" s="173" t="s">
        <v>3523</v>
      </c>
      <c r="W1141" s="174"/>
      <c r="X1141" s="227">
        <v>158</v>
      </c>
      <c r="Y1141" s="228"/>
      <c r="Z1141" s="229"/>
      <c r="AA1141" s="110" t="s">
        <v>717</v>
      </c>
      <c r="AB1141" s="111"/>
      <c r="AC1141" s="292"/>
      <c r="AD1141" s="293"/>
      <c r="AE1141" s="36"/>
      <c r="AF1141" s="292"/>
      <c r="AG1141" s="314"/>
      <c r="AH1141" s="293"/>
      <c r="AI1141" s="36"/>
      <c r="AJ1141" s="48"/>
      <c r="AK1141" s="15"/>
      <c r="AL1141" s="15"/>
    </row>
    <row r="1142" spans="1:38" ht="60" x14ac:dyDescent="0.25">
      <c r="A1142" s="230"/>
      <c r="B1142" s="290"/>
      <c r="C1142" s="345"/>
      <c r="D1142" s="291"/>
      <c r="E1142" s="28" t="s">
        <v>3524</v>
      </c>
      <c r="F1142" s="194"/>
      <c r="G1142" s="197"/>
      <c r="H1142" s="195"/>
      <c r="I1142" s="160">
        <v>7</v>
      </c>
      <c r="J1142" s="161"/>
      <c r="K1142" s="146" t="s">
        <v>3518</v>
      </c>
      <c r="L1142" s="148"/>
      <c r="M1142" s="114" t="s">
        <v>2548</v>
      </c>
      <c r="N1142" s="115"/>
      <c r="O1142" s="116"/>
      <c r="P1142" s="114" t="s">
        <v>1369</v>
      </c>
      <c r="Q1142" s="116"/>
      <c r="R1142" s="180" t="s">
        <v>3519</v>
      </c>
      <c r="S1142" s="181"/>
      <c r="T1142" s="114" t="s">
        <v>1742</v>
      </c>
      <c r="U1142" s="116"/>
      <c r="V1142" s="173" t="s">
        <v>3525</v>
      </c>
      <c r="W1142" s="174"/>
      <c r="X1142" s="227">
        <v>158</v>
      </c>
      <c r="Y1142" s="228"/>
      <c r="Z1142" s="229"/>
      <c r="AA1142" s="110" t="s">
        <v>879</v>
      </c>
      <c r="AB1142" s="111"/>
      <c r="AC1142" s="290"/>
      <c r="AD1142" s="291"/>
      <c r="AE1142" s="36"/>
      <c r="AF1142" s="290"/>
      <c r="AG1142" s="345"/>
      <c r="AH1142" s="291"/>
      <c r="AI1142" s="36"/>
      <c r="AJ1142" s="48"/>
      <c r="AK1142" s="15"/>
      <c r="AL1142" s="15"/>
    </row>
    <row r="1143" spans="1:38" ht="105" x14ac:dyDescent="0.25">
      <c r="A1143" s="178"/>
      <c r="B1143" s="303" t="s">
        <v>3526</v>
      </c>
      <c r="C1143" s="344"/>
      <c r="D1143" s="304"/>
      <c r="E1143" s="28" t="s">
        <v>3527</v>
      </c>
      <c r="F1143" s="233" t="s">
        <v>3528</v>
      </c>
      <c r="G1143" s="305"/>
      <c r="H1143" s="234"/>
      <c r="I1143" s="143" t="s">
        <v>1140</v>
      </c>
      <c r="J1143" s="145"/>
      <c r="K1143" s="143" t="s">
        <v>3529</v>
      </c>
      <c r="L1143" s="145"/>
      <c r="M1143" s="180" t="s">
        <v>3530</v>
      </c>
      <c r="N1143" s="450"/>
      <c r="O1143" s="181"/>
      <c r="P1143" s="198" t="s">
        <v>3531</v>
      </c>
      <c r="Q1143" s="199"/>
      <c r="R1143" s="88" t="s">
        <v>3532</v>
      </c>
      <c r="S1143" s="89"/>
      <c r="T1143" s="112">
        <v>6</v>
      </c>
      <c r="U1143" s="113"/>
      <c r="V1143" s="173" t="s">
        <v>3533</v>
      </c>
      <c r="W1143" s="174"/>
      <c r="X1143" s="252">
        <v>98</v>
      </c>
      <c r="Y1143" s="253"/>
      <c r="Z1143" s="254"/>
      <c r="AA1143" s="192" t="s">
        <v>1742</v>
      </c>
      <c r="AB1143" s="193"/>
      <c r="AC1143" s="88" t="s">
        <v>3194</v>
      </c>
      <c r="AD1143" s="89"/>
      <c r="AE1143" s="24" t="s">
        <v>3537</v>
      </c>
      <c r="AF1143" s="164"/>
      <c r="AG1143" s="165"/>
      <c r="AH1143" s="166"/>
      <c r="AI1143" s="164"/>
      <c r="AJ1143" s="48"/>
      <c r="AK1143" s="15"/>
      <c r="AL1143" s="15"/>
    </row>
    <row r="1144" spans="1:38" ht="105" x14ac:dyDescent="0.25">
      <c r="A1144" s="179"/>
      <c r="B1144" s="292" t="s">
        <v>2406</v>
      </c>
      <c r="C1144" s="314"/>
      <c r="D1144" s="293"/>
      <c r="E1144" s="28" t="s">
        <v>3539</v>
      </c>
      <c r="F1144" s="235"/>
      <c r="G1144" s="270"/>
      <c r="H1144" s="236"/>
      <c r="I1144" s="104" t="s">
        <v>1140</v>
      </c>
      <c r="J1144" s="105"/>
      <c r="K1144" s="104" t="s">
        <v>3529</v>
      </c>
      <c r="L1144" s="105"/>
      <c r="M1144" s="180" t="s">
        <v>3530</v>
      </c>
      <c r="N1144" s="450"/>
      <c r="O1144" s="181"/>
      <c r="P1144" s="200" t="s">
        <v>3531</v>
      </c>
      <c r="Q1144" s="201"/>
      <c r="R1144" s="126" t="s">
        <v>3532</v>
      </c>
      <c r="S1144" s="127"/>
      <c r="T1144" s="160">
        <v>6</v>
      </c>
      <c r="U1144" s="161"/>
      <c r="V1144" s="173" t="s">
        <v>3533</v>
      </c>
      <c r="W1144" s="174"/>
      <c r="X1144" s="255"/>
      <c r="Y1144" s="256"/>
      <c r="Z1144" s="257"/>
      <c r="AA1144" s="194"/>
      <c r="AB1144" s="195"/>
      <c r="AC1144" s="126" t="s">
        <v>3534</v>
      </c>
      <c r="AD1144" s="127"/>
      <c r="AE1144" s="31" t="s">
        <v>1356</v>
      </c>
      <c r="AF1144" s="167"/>
      <c r="AG1144" s="168"/>
      <c r="AH1144" s="169"/>
      <c r="AI1144" s="167"/>
      <c r="AJ1144" s="48"/>
      <c r="AK1144" s="15"/>
      <c r="AL1144" s="15"/>
    </row>
    <row r="1145" spans="1:38" ht="105" x14ac:dyDescent="0.25">
      <c r="A1145" s="179"/>
      <c r="B1145" s="292"/>
      <c r="C1145" s="314"/>
      <c r="D1145" s="293"/>
      <c r="E1145" s="28" t="s">
        <v>3540</v>
      </c>
      <c r="F1145" s="235"/>
      <c r="G1145" s="270"/>
      <c r="H1145" s="236"/>
      <c r="I1145" s="104" t="s">
        <v>1140</v>
      </c>
      <c r="J1145" s="105"/>
      <c r="K1145" s="104" t="s">
        <v>3529</v>
      </c>
      <c r="L1145" s="105"/>
      <c r="M1145" s="180" t="s">
        <v>3541</v>
      </c>
      <c r="N1145" s="450"/>
      <c r="O1145" s="181"/>
      <c r="P1145" s="198" t="s">
        <v>3531</v>
      </c>
      <c r="Q1145" s="199"/>
      <c r="R1145" s="126" t="s">
        <v>3532</v>
      </c>
      <c r="S1145" s="127"/>
      <c r="T1145" s="112">
        <v>6</v>
      </c>
      <c r="U1145" s="113"/>
      <c r="V1145" s="173" t="s">
        <v>3542</v>
      </c>
      <c r="W1145" s="174"/>
      <c r="X1145" s="252">
        <v>105</v>
      </c>
      <c r="Y1145" s="253"/>
      <c r="Z1145" s="254"/>
      <c r="AA1145" s="192" t="s">
        <v>1045</v>
      </c>
      <c r="AB1145" s="193"/>
      <c r="AC1145" s="126" t="s">
        <v>3535</v>
      </c>
      <c r="AD1145" s="127"/>
      <c r="AE1145" s="31" t="s">
        <v>3538</v>
      </c>
      <c r="AF1145" s="167"/>
      <c r="AG1145" s="168"/>
      <c r="AH1145" s="169"/>
      <c r="AI1145" s="167"/>
      <c r="AJ1145" s="48"/>
      <c r="AK1145" s="15"/>
      <c r="AL1145" s="15"/>
    </row>
    <row r="1146" spans="1:38" ht="105" x14ac:dyDescent="0.25">
      <c r="A1146" s="179"/>
      <c r="B1146" s="292"/>
      <c r="C1146" s="314"/>
      <c r="D1146" s="293"/>
      <c r="E1146" s="19" t="s">
        <v>3543</v>
      </c>
      <c r="F1146" s="235"/>
      <c r="G1146" s="270"/>
      <c r="H1146" s="236"/>
      <c r="I1146" s="104" t="s">
        <v>1140</v>
      </c>
      <c r="J1146" s="105"/>
      <c r="K1146" s="104" t="s">
        <v>3529</v>
      </c>
      <c r="L1146" s="105"/>
      <c r="M1146" s="353" t="s">
        <v>3541</v>
      </c>
      <c r="N1146" s="354"/>
      <c r="O1146" s="355"/>
      <c r="P1146" s="200" t="s">
        <v>3531</v>
      </c>
      <c r="Q1146" s="201"/>
      <c r="R1146" s="126" t="s">
        <v>3532</v>
      </c>
      <c r="S1146" s="127"/>
      <c r="T1146" s="160">
        <v>6</v>
      </c>
      <c r="U1146" s="161"/>
      <c r="V1146" s="332" t="s">
        <v>3542</v>
      </c>
      <c r="W1146" s="333"/>
      <c r="X1146" s="255"/>
      <c r="Y1146" s="256"/>
      <c r="Z1146" s="257"/>
      <c r="AA1146" s="194"/>
      <c r="AB1146" s="195"/>
      <c r="AC1146" s="126" t="s">
        <v>3536</v>
      </c>
      <c r="AD1146" s="127"/>
      <c r="AE1146" s="31"/>
      <c r="AF1146" s="167"/>
      <c r="AG1146" s="168"/>
      <c r="AH1146" s="169"/>
      <c r="AI1146" s="167"/>
      <c r="AJ1146" s="48"/>
      <c r="AK1146" s="15"/>
      <c r="AL1146" s="15"/>
    </row>
    <row r="1147" spans="1:38" ht="105" x14ac:dyDescent="0.25">
      <c r="A1147" s="179"/>
      <c r="B1147" s="292"/>
      <c r="C1147" s="314"/>
      <c r="D1147" s="293"/>
      <c r="E1147" s="28" t="s">
        <v>3544</v>
      </c>
      <c r="F1147" s="235"/>
      <c r="G1147" s="270"/>
      <c r="H1147" s="236"/>
      <c r="I1147" s="104" t="s">
        <v>1140</v>
      </c>
      <c r="J1147" s="105"/>
      <c r="K1147" s="104" t="s">
        <v>3529</v>
      </c>
      <c r="L1147" s="105"/>
      <c r="M1147" s="180" t="s">
        <v>3353</v>
      </c>
      <c r="N1147" s="450"/>
      <c r="O1147" s="181"/>
      <c r="P1147" s="198" t="s">
        <v>3531</v>
      </c>
      <c r="Q1147" s="199"/>
      <c r="R1147" s="126" t="s">
        <v>3532</v>
      </c>
      <c r="S1147" s="127"/>
      <c r="T1147" s="112">
        <v>6</v>
      </c>
      <c r="U1147" s="113"/>
      <c r="V1147" s="173" t="s">
        <v>3545</v>
      </c>
      <c r="W1147" s="174"/>
      <c r="X1147" s="252">
        <v>98</v>
      </c>
      <c r="Y1147" s="253"/>
      <c r="Z1147" s="254"/>
      <c r="AA1147" s="192" t="s">
        <v>901</v>
      </c>
      <c r="AB1147" s="193"/>
      <c r="AC1147" s="126"/>
      <c r="AD1147" s="127"/>
      <c r="AE1147" s="31"/>
      <c r="AF1147" s="167"/>
      <c r="AG1147" s="168"/>
      <c r="AH1147" s="169"/>
      <c r="AI1147" s="167"/>
      <c r="AJ1147" s="48"/>
      <c r="AK1147" s="15"/>
      <c r="AL1147" s="15"/>
    </row>
    <row r="1148" spans="1:38" ht="105" x14ac:dyDescent="0.25">
      <c r="A1148" s="230"/>
      <c r="B1148" s="290"/>
      <c r="C1148" s="345"/>
      <c r="D1148" s="291"/>
      <c r="E1148" s="28" t="s">
        <v>3546</v>
      </c>
      <c r="F1148" s="237"/>
      <c r="G1148" s="306"/>
      <c r="H1148" s="238"/>
      <c r="I1148" s="146" t="s">
        <v>1140</v>
      </c>
      <c r="J1148" s="148"/>
      <c r="K1148" s="146" t="s">
        <v>3529</v>
      </c>
      <c r="L1148" s="148"/>
      <c r="M1148" s="180" t="s">
        <v>3353</v>
      </c>
      <c r="N1148" s="450"/>
      <c r="O1148" s="181"/>
      <c r="P1148" s="200" t="s">
        <v>3531</v>
      </c>
      <c r="Q1148" s="201"/>
      <c r="R1148" s="117" t="s">
        <v>3532</v>
      </c>
      <c r="S1148" s="118"/>
      <c r="T1148" s="160">
        <v>6</v>
      </c>
      <c r="U1148" s="161"/>
      <c r="V1148" s="173" t="s">
        <v>3545</v>
      </c>
      <c r="W1148" s="174"/>
      <c r="X1148" s="255"/>
      <c r="Y1148" s="256"/>
      <c r="Z1148" s="257"/>
      <c r="AA1148" s="194"/>
      <c r="AB1148" s="195"/>
      <c r="AC1148" s="117"/>
      <c r="AD1148" s="118"/>
      <c r="AE1148" s="31"/>
      <c r="AF1148" s="214"/>
      <c r="AG1148" s="215"/>
      <c r="AH1148" s="216"/>
      <c r="AI1148" s="167"/>
      <c r="AJ1148" s="48"/>
      <c r="AK1148" s="15"/>
      <c r="AL1148" s="15"/>
    </row>
    <row r="1149" spans="1:38" ht="75" x14ac:dyDescent="0.25">
      <c r="A1149" s="178"/>
      <c r="B1149" s="303" t="s">
        <v>3547</v>
      </c>
      <c r="C1149" s="344"/>
      <c r="D1149" s="304"/>
      <c r="E1149" s="28" t="s">
        <v>3548</v>
      </c>
      <c r="F1149" s="192" t="s">
        <v>3549</v>
      </c>
      <c r="G1149" s="196"/>
      <c r="H1149" s="193"/>
      <c r="I1149" s="112">
        <v>2</v>
      </c>
      <c r="J1149" s="113"/>
      <c r="K1149" s="143" t="s">
        <v>3550</v>
      </c>
      <c r="L1149" s="145"/>
      <c r="M1149" s="173" t="s">
        <v>3551</v>
      </c>
      <c r="N1149" s="276"/>
      <c r="O1149" s="174"/>
      <c r="P1149" s="285">
        <v>2</v>
      </c>
      <c r="Q1149" s="286"/>
      <c r="R1149" s="88" t="s">
        <v>1742</v>
      </c>
      <c r="S1149" s="89"/>
      <c r="T1149" s="183">
        <v>3</v>
      </c>
      <c r="U1149" s="185"/>
      <c r="V1149" s="173" t="s">
        <v>3552</v>
      </c>
      <c r="W1149" s="174"/>
      <c r="X1149" s="252">
        <v>28</v>
      </c>
      <c r="Y1149" s="253"/>
      <c r="Z1149" s="254"/>
      <c r="AA1149" s="192" t="s">
        <v>3553</v>
      </c>
      <c r="AB1149" s="193"/>
      <c r="AC1149" s="303" t="s">
        <v>3194</v>
      </c>
      <c r="AD1149" s="304"/>
      <c r="AE1149" s="35" t="s">
        <v>3555</v>
      </c>
      <c r="AF1149" s="303" t="s">
        <v>2566</v>
      </c>
      <c r="AG1149" s="344"/>
      <c r="AH1149" s="304"/>
      <c r="AI1149" s="167"/>
      <c r="AJ1149" s="48"/>
      <c r="AK1149" s="15"/>
      <c r="AL1149" s="15"/>
    </row>
    <row r="1150" spans="1:38" ht="75" x14ac:dyDescent="0.25">
      <c r="A1150" s="179"/>
      <c r="B1150" s="292"/>
      <c r="C1150" s="314"/>
      <c r="D1150" s="293"/>
      <c r="E1150" s="28" t="s">
        <v>3557</v>
      </c>
      <c r="F1150" s="272"/>
      <c r="G1150" s="282"/>
      <c r="H1150" s="273"/>
      <c r="I1150" s="155">
        <v>2</v>
      </c>
      <c r="J1150" s="157"/>
      <c r="K1150" s="104" t="s">
        <v>3550</v>
      </c>
      <c r="L1150" s="105"/>
      <c r="M1150" s="173" t="s">
        <v>3558</v>
      </c>
      <c r="N1150" s="276"/>
      <c r="O1150" s="174"/>
      <c r="P1150" s="285">
        <v>2</v>
      </c>
      <c r="Q1150" s="286"/>
      <c r="R1150" s="126" t="s">
        <v>1742</v>
      </c>
      <c r="S1150" s="127"/>
      <c r="T1150" s="183">
        <v>3</v>
      </c>
      <c r="U1150" s="185"/>
      <c r="V1150" s="173" t="s">
        <v>3559</v>
      </c>
      <c r="W1150" s="174"/>
      <c r="X1150" s="255"/>
      <c r="Y1150" s="256"/>
      <c r="Z1150" s="257"/>
      <c r="AA1150" s="194"/>
      <c r="AB1150" s="195"/>
      <c r="AC1150" s="292" t="s">
        <v>3554</v>
      </c>
      <c r="AD1150" s="293"/>
      <c r="AE1150" s="36" t="s">
        <v>1356</v>
      </c>
      <c r="AF1150" s="292" t="s">
        <v>3401</v>
      </c>
      <c r="AG1150" s="314"/>
      <c r="AH1150" s="293"/>
      <c r="AI1150" s="167"/>
      <c r="AJ1150" s="48"/>
      <c r="AK1150" s="15"/>
      <c r="AL1150" s="15"/>
    </row>
    <row r="1151" spans="1:38" ht="60" x14ac:dyDescent="0.25">
      <c r="A1151" s="179"/>
      <c r="B1151" s="292"/>
      <c r="C1151" s="314"/>
      <c r="D1151" s="293"/>
      <c r="E1151" s="28" t="s">
        <v>3560</v>
      </c>
      <c r="F1151" s="194"/>
      <c r="G1151" s="197"/>
      <c r="H1151" s="195"/>
      <c r="I1151" s="160">
        <v>2</v>
      </c>
      <c r="J1151" s="161"/>
      <c r="K1151" s="146" t="s">
        <v>3550</v>
      </c>
      <c r="L1151" s="148"/>
      <c r="M1151" s="173" t="s">
        <v>3561</v>
      </c>
      <c r="N1151" s="276"/>
      <c r="O1151" s="174"/>
      <c r="P1151" s="285">
        <v>2</v>
      </c>
      <c r="Q1151" s="286"/>
      <c r="R1151" s="126" t="s">
        <v>1742</v>
      </c>
      <c r="S1151" s="127"/>
      <c r="T1151" s="183">
        <v>3</v>
      </c>
      <c r="U1151" s="185"/>
      <c r="V1151" s="173" t="s">
        <v>3562</v>
      </c>
      <c r="W1151" s="174"/>
      <c r="X1151" s="227">
        <v>31</v>
      </c>
      <c r="Y1151" s="228"/>
      <c r="Z1151" s="229"/>
      <c r="AA1151" s="110" t="s">
        <v>1985</v>
      </c>
      <c r="AB1151" s="111"/>
      <c r="AC1151" s="292"/>
      <c r="AD1151" s="293"/>
      <c r="AE1151" s="36" t="s">
        <v>3556</v>
      </c>
      <c r="AF1151" s="292"/>
      <c r="AG1151" s="314"/>
      <c r="AH1151" s="293"/>
      <c r="AI1151" s="167"/>
      <c r="AJ1151" s="48"/>
      <c r="AK1151" s="15"/>
      <c r="AL1151" s="15"/>
    </row>
    <row r="1152" spans="1:38" ht="75" x14ac:dyDescent="0.25">
      <c r="A1152" s="179"/>
      <c r="B1152" s="292"/>
      <c r="C1152" s="314"/>
      <c r="D1152" s="293"/>
      <c r="E1152" s="28" t="s">
        <v>3563</v>
      </c>
      <c r="F1152" s="192" t="s">
        <v>3564</v>
      </c>
      <c r="G1152" s="196"/>
      <c r="H1152" s="193"/>
      <c r="I1152" s="143" t="s">
        <v>688</v>
      </c>
      <c r="J1152" s="145"/>
      <c r="K1152" s="143" t="s">
        <v>3565</v>
      </c>
      <c r="L1152" s="145"/>
      <c r="M1152" s="114" t="s">
        <v>3566</v>
      </c>
      <c r="N1152" s="115"/>
      <c r="O1152" s="116"/>
      <c r="P1152" s="114" t="s">
        <v>688</v>
      </c>
      <c r="Q1152" s="116"/>
      <c r="R1152" s="126" t="s">
        <v>1742</v>
      </c>
      <c r="S1152" s="127"/>
      <c r="T1152" s="183">
        <v>3</v>
      </c>
      <c r="U1152" s="185"/>
      <c r="V1152" s="114" t="s">
        <v>3567</v>
      </c>
      <c r="W1152" s="116"/>
      <c r="X1152" s="252">
        <v>40</v>
      </c>
      <c r="Y1152" s="253"/>
      <c r="Z1152" s="254"/>
      <c r="AA1152" s="192" t="s">
        <v>1062</v>
      </c>
      <c r="AB1152" s="193"/>
      <c r="AC1152" s="292"/>
      <c r="AD1152" s="293"/>
      <c r="AE1152" s="36"/>
      <c r="AF1152" s="292"/>
      <c r="AG1152" s="314"/>
      <c r="AH1152" s="293"/>
      <c r="AI1152" s="167"/>
      <c r="AJ1152" s="48"/>
      <c r="AK1152" s="15"/>
      <c r="AL1152" s="15"/>
    </row>
    <row r="1153" spans="1:38" ht="60" x14ac:dyDescent="0.25">
      <c r="A1153" s="179"/>
      <c r="B1153" s="292"/>
      <c r="C1153" s="314"/>
      <c r="D1153" s="293"/>
      <c r="E1153" s="28" t="s">
        <v>3568</v>
      </c>
      <c r="F1153" s="272"/>
      <c r="G1153" s="282"/>
      <c r="H1153" s="273"/>
      <c r="I1153" s="104" t="s">
        <v>688</v>
      </c>
      <c r="J1153" s="105"/>
      <c r="K1153" s="104" t="s">
        <v>3565</v>
      </c>
      <c r="L1153" s="105"/>
      <c r="M1153" s="173" t="s">
        <v>3230</v>
      </c>
      <c r="N1153" s="276"/>
      <c r="O1153" s="174"/>
      <c r="P1153" s="114" t="s">
        <v>688</v>
      </c>
      <c r="Q1153" s="116"/>
      <c r="R1153" s="126" t="s">
        <v>1742</v>
      </c>
      <c r="S1153" s="127"/>
      <c r="T1153" s="183">
        <v>3</v>
      </c>
      <c r="U1153" s="185"/>
      <c r="V1153" s="173" t="s">
        <v>2712</v>
      </c>
      <c r="W1153" s="174"/>
      <c r="X1153" s="255"/>
      <c r="Y1153" s="256"/>
      <c r="Z1153" s="257"/>
      <c r="AA1153" s="194"/>
      <c r="AB1153" s="195"/>
      <c r="AC1153" s="292"/>
      <c r="AD1153" s="293"/>
      <c r="AE1153" s="36"/>
      <c r="AF1153" s="292"/>
      <c r="AG1153" s="314"/>
      <c r="AH1153" s="293"/>
      <c r="AI1153" s="167"/>
      <c r="AJ1153" s="48"/>
      <c r="AK1153" s="15"/>
      <c r="AL1153" s="15"/>
    </row>
    <row r="1154" spans="1:38" ht="75" x14ac:dyDescent="0.25">
      <c r="A1154" s="179"/>
      <c r="B1154" s="292"/>
      <c r="C1154" s="314"/>
      <c r="D1154" s="293"/>
      <c r="E1154" s="28" t="s">
        <v>3569</v>
      </c>
      <c r="F1154" s="194"/>
      <c r="G1154" s="197"/>
      <c r="H1154" s="195"/>
      <c r="I1154" s="146" t="s">
        <v>688</v>
      </c>
      <c r="J1154" s="148"/>
      <c r="K1154" s="146" t="s">
        <v>3565</v>
      </c>
      <c r="L1154" s="148"/>
      <c r="M1154" s="114" t="s">
        <v>3559</v>
      </c>
      <c r="N1154" s="115"/>
      <c r="O1154" s="116"/>
      <c r="P1154" s="114" t="s">
        <v>688</v>
      </c>
      <c r="Q1154" s="116"/>
      <c r="R1154" s="117" t="s">
        <v>1742</v>
      </c>
      <c r="S1154" s="118"/>
      <c r="T1154" s="183">
        <v>3</v>
      </c>
      <c r="U1154" s="185"/>
      <c r="V1154" s="114" t="s">
        <v>2556</v>
      </c>
      <c r="W1154" s="116"/>
      <c r="X1154" s="227">
        <v>43</v>
      </c>
      <c r="Y1154" s="228"/>
      <c r="Z1154" s="229"/>
      <c r="AA1154" s="110" t="s">
        <v>1364</v>
      </c>
      <c r="AB1154" s="111"/>
      <c r="AC1154" s="292"/>
      <c r="AD1154" s="293"/>
      <c r="AE1154" s="36"/>
      <c r="AF1154" s="292"/>
      <c r="AG1154" s="314"/>
      <c r="AH1154" s="293"/>
      <c r="AI1154" s="167"/>
      <c r="AJ1154" s="48"/>
      <c r="AK1154" s="15"/>
      <c r="AL1154" s="15"/>
    </row>
    <row r="1155" spans="1:38" ht="60" x14ac:dyDescent="0.25">
      <c r="A1155" s="179"/>
      <c r="B1155" s="292"/>
      <c r="C1155" s="314"/>
      <c r="D1155" s="293"/>
      <c r="E1155" s="28" t="s">
        <v>3570</v>
      </c>
      <c r="F1155" s="192" t="s">
        <v>3571</v>
      </c>
      <c r="G1155" s="196"/>
      <c r="H1155" s="193"/>
      <c r="I1155" s="143" t="s">
        <v>842</v>
      </c>
      <c r="J1155" s="145"/>
      <c r="K1155" s="143" t="s">
        <v>3572</v>
      </c>
      <c r="L1155" s="145"/>
      <c r="M1155" s="173" t="s">
        <v>3573</v>
      </c>
      <c r="N1155" s="276"/>
      <c r="O1155" s="174"/>
      <c r="P1155" s="180" t="s">
        <v>3574</v>
      </c>
      <c r="Q1155" s="181"/>
      <c r="R1155" s="88" t="s">
        <v>1764</v>
      </c>
      <c r="S1155" s="89"/>
      <c r="T1155" s="183">
        <v>3</v>
      </c>
      <c r="U1155" s="185"/>
      <c r="V1155" s="180" t="s">
        <v>3575</v>
      </c>
      <c r="W1155" s="181"/>
      <c r="X1155" s="252">
        <v>50</v>
      </c>
      <c r="Y1155" s="253"/>
      <c r="Z1155" s="254"/>
      <c r="AA1155" s="192" t="s">
        <v>1062</v>
      </c>
      <c r="AB1155" s="193"/>
      <c r="AC1155" s="292"/>
      <c r="AD1155" s="293"/>
      <c r="AE1155" s="36"/>
      <c r="AF1155" s="292"/>
      <c r="AG1155" s="314"/>
      <c r="AH1155" s="293"/>
      <c r="AI1155" s="167"/>
      <c r="AJ1155" s="48"/>
      <c r="AK1155" s="15"/>
      <c r="AL1155" s="15"/>
    </row>
    <row r="1156" spans="1:38" ht="60" x14ac:dyDescent="0.25">
      <c r="A1156" s="179"/>
      <c r="B1156" s="292"/>
      <c r="C1156" s="314"/>
      <c r="D1156" s="293"/>
      <c r="E1156" s="28" t="s">
        <v>3576</v>
      </c>
      <c r="F1156" s="272"/>
      <c r="G1156" s="282"/>
      <c r="H1156" s="273"/>
      <c r="I1156" s="104" t="s">
        <v>842</v>
      </c>
      <c r="J1156" s="105"/>
      <c r="K1156" s="104" t="s">
        <v>3572</v>
      </c>
      <c r="L1156" s="105"/>
      <c r="M1156" s="173" t="s">
        <v>3577</v>
      </c>
      <c r="N1156" s="276"/>
      <c r="O1156" s="174"/>
      <c r="P1156" s="180" t="s">
        <v>3574</v>
      </c>
      <c r="Q1156" s="181"/>
      <c r="R1156" s="126" t="s">
        <v>1764</v>
      </c>
      <c r="S1156" s="127"/>
      <c r="T1156" s="183">
        <v>3</v>
      </c>
      <c r="U1156" s="185"/>
      <c r="V1156" s="173" t="s">
        <v>3578</v>
      </c>
      <c r="W1156" s="174"/>
      <c r="X1156" s="255"/>
      <c r="Y1156" s="256"/>
      <c r="Z1156" s="257"/>
      <c r="AA1156" s="194"/>
      <c r="AB1156" s="195"/>
      <c r="AC1156" s="292"/>
      <c r="AD1156" s="293"/>
      <c r="AE1156" s="36"/>
      <c r="AF1156" s="292"/>
      <c r="AG1156" s="314"/>
      <c r="AH1156" s="293"/>
      <c r="AI1156" s="167"/>
      <c r="AJ1156" s="48"/>
      <c r="AK1156" s="15"/>
      <c r="AL1156" s="15"/>
    </row>
    <row r="1157" spans="1:38" ht="75" x14ac:dyDescent="0.25">
      <c r="A1157" s="179"/>
      <c r="B1157" s="292"/>
      <c r="C1157" s="314"/>
      <c r="D1157" s="293"/>
      <c r="E1157" s="28" t="s">
        <v>3579</v>
      </c>
      <c r="F1157" s="194"/>
      <c r="G1157" s="197"/>
      <c r="H1157" s="195"/>
      <c r="I1157" s="146" t="s">
        <v>842</v>
      </c>
      <c r="J1157" s="148"/>
      <c r="K1157" s="146" t="s">
        <v>3572</v>
      </c>
      <c r="L1157" s="148"/>
      <c r="M1157" s="173" t="s">
        <v>2702</v>
      </c>
      <c r="N1157" s="276"/>
      <c r="O1157" s="174"/>
      <c r="P1157" s="180" t="s">
        <v>3574</v>
      </c>
      <c r="Q1157" s="181"/>
      <c r="R1157" s="117" t="s">
        <v>1764</v>
      </c>
      <c r="S1157" s="118"/>
      <c r="T1157" s="183">
        <v>3</v>
      </c>
      <c r="U1157" s="185"/>
      <c r="V1157" s="180" t="s">
        <v>3580</v>
      </c>
      <c r="W1157" s="181"/>
      <c r="X1157" s="227">
        <v>53</v>
      </c>
      <c r="Y1157" s="228"/>
      <c r="Z1157" s="229"/>
      <c r="AA1157" s="110" t="s">
        <v>1062</v>
      </c>
      <c r="AB1157" s="111"/>
      <c r="AC1157" s="292"/>
      <c r="AD1157" s="293"/>
      <c r="AE1157" s="36"/>
      <c r="AF1157" s="292"/>
      <c r="AG1157" s="314"/>
      <c r="AH1157" s="293"/>
      <c r="AI1157" s="167"/>
      <c r="AJ1157" s="48"/>
      <c r="AK1157" s="15"/>
      <c r="AL1157" s="15"/>
    </row>
    <row r="1158" spans="1:38" ht="75" x14ac:dyDescent="0.25">
      <c r="A1158" s="179"/>
      <c r="B1158" s="292"/>
      <c r="C1158" s="314"/>
      <c r="D1158" s="293"/>
      <c r="E1158" s="28" t="s">
        <v>3581</v>
      </c>
      <c r="F1158" s="192" t="s">
        <v>3582</v>
      </c>
      <c r="G1158" s="196"/>
      <c r="H1158" s="193"/>
      <c r="I1158" s="143" t="s">
        <v>1159</v>
      </c>
      <c r="J1158" s="145"/>
      <c r="K1158" s="143" t="s">
        <v>3583</v>
      </c>
      <c r="L1158" s="145"/>
      <c r="M1158" s="173" t="s">
        <v>3584</v>
      </c>
      <c r="N1158" s="276"/>
      <c r="O1158" s="174"/>
      <c r="P1158" s="173" t="s">
        <v>3585</v>
      </c>
      <c r="Q1158" s="174"/>
      <c r="R1158" s="88" t="s">
        <v>1463</v>
      </c>
      <c r="S1158" s="89"/>
      <c r="T1158" s="183">
        <v>3</v>
      </c>
      <c r="U1158" s="185"/>
      <c r="V1158" s="173" t="s">
        <v>3586</v>
      </c>
      <c r="W1158" s="174"/>
      <c r="X1158" s="252">
        <v>59</v>
      </c>
      <c r="Y1158" s="253"/>
      <c r="Z1158" s="254"/>
      <c r="AA1158" s="192" t="s">
        <v>1181</v>
      </c>
      <c r="AB1158" s="193"/>
      <c r="AC1158" s="292"/>
      <c r="AD1158" s="293"/>
      <c r="AE1158" s="36"/>
      <c r="AF1158" s="292"/>
      <c r="AG1158" s="314"/>
      <c r="AH1158" s="293"/>
      <c r="AI1158" s="167"/>
      <c r="AJ1158" s="48"/>
      <c r="AK1158" s="15"/>
      <c r="AL1158" s="15"/>
    </row>
    <row r="1159" spans="1:38" ht="60" x14ac:dyDescent="0.25">
      <c r="A1159" s="179"/>
      <c r="B1159" s="292"/>
      <c r="C1159" s="314"/>
      <c r="D1159" s="293"/>
      <c r="E1159" s="28" t="s">
        <v>3587</v>
      </c>
      <c r="F1159" s="272"/>
      <c r="G1159" s="282"/>
      <c r="H1159" s="273"/>
      <c r="I1159" s="104" t="s">
        <v>1159</v>
      </c>
      <c r="J1159" s="105"/>
      <c r="K1159" s="104" t="s">
        <v>3583</v>
      </c>
      <c r="L1159" s="105"/>
      <c r="M1159" s="173" t="s">
        <v>3588</v>
      </c>
      <c r="N1159" s="276"/>
      <c r="O1159" s="174"/>
      <c r="P1159" s="173" t="s">
        <v>3585</v>
      </c>
      <c r="Q1159" s="174"/>
      <c r="R1159" s="126" t="s">
        <v>1463</v>
      </c>
      <c r="S1159" s="127"/>
      <c r="T1159" s="183">
        <v>3</v>
      </c>
      <c r="U1159" s="185"/>
      <c r="V1159" s="173" t="s">
        <v>3589</v>
      </c>
      <c r="W1159" s="174"/>
      <c r="X1159" s="255"/>
      <c r="Y1159" s="256"/>
      <c r="Z1159" s="257"/>
      <c r="AA1159" s="194"/>
      <c r="AB1159" s="195"/>
      <c r="AC1159" s="292"/>
      <c r="AD1159" s="293"/>
      <c r="AE1159" s="36"/>
      <c r="AF1159" s="292"/>
      <c r="AG1159" s="314"/>
      <c r="AH1159" s="293"/>
      <c r="AI1159" s="167"/>
      <c r="AJ1159" s="48"/>
      <c r="AK1159" s="15"/>
      <c r="AL1159" s="15"/>
    </row>
    <row r="1160" spans="1:38" ht="75" x14ac:dyDescent="0.25">
      <c r="A1160" s="179"/>
      <c r="B1160" s="292"/>
      <c r="C1160" s="314"/>
      <c r="D1160" s="293"/>
      <c r="E1160" s="28" t="s">
        <v>3590</v>
      </c>
      <c r="F1160" s="194"/>
      <c r="G1160" s="197"/>
      <c r="H1160" s="195"/>
      <c r="I1160" s="146" t="s">
        <v>1159</v>
      </c>
      <c r="J1160" s="148"/>
      <c r="K1160" s="146" t="s">
        <v>3583</v>
      </c>
      <c r="L1160" s="148"/>
      <c r="M1160" s="173" t="s">
        <v>3469</v>
      </c>
      <c r="N1160" s="276"/>
      <c r="O1160" s="174"/>
      <c r="P1160" s="173" t="s">
        <v>3585</v>
      </c>
      <c r="Q1160" s="174"/>
      <c r="R1160" s="117" t="s">
        <v>1463</v>
      </c>
      <c r="S1160" s="118"/>
      <c r="T1160" s="183">
        <v>3</v>
      </c>
      <c r="U1160" s="185"/>
      <c r="V1160" s="173" t="s">
        <v>3018</v>
      </c>
      <c r="W1160" s="174"/>
      <c r="X1160" s="227">
        <v>62</v>
      </c>
      <c r="Y1160" s="228"/>
      <c r="Z1160" s="229"/>
      <c r="AA1160" s="110" t="s">
        <v>1174</v>
      </c>
      <c r="AB1160" s="111"/>
      <c r="AC1160" s="292"/>
      <c r="AD1160" s="293"/>
      <c r="AE1160" s="36"/>
      <c r="AF1160" s="292"/>
      <c r="AG1160" s="314"/>
      <c r="AH1160" s="293"/>
      <c r="AI1160" s="167"/>
      <c r="AJ1160" s="48"/>
      <c r="AK1160" s="15"/>
      <c r="AL1160" s="15"/>
    </row>
    <row r="1161" spans="1:38" ht="60" x14ac:dyDescent="0.25">
      <c r="A1161" s="179"/>
      <c r="B1161" s="292"/>
      <c r="C1161" s="314"/>
      <c r="D1161" s="293"/>
      <c r="E1161" s="28" t="s">
        <v>3591</v>
      </c>
      <c r="F1161" s="192" t="s">
        <v>3592</v>
      </c>
      <c r="G1161" s="196"/>
      <c r="H1161" s="193"/>
      <c r="I1161" s="143" t="s">
        <v>1127</v>
      </c>
      <c r="J1161" s="145"/>
      <c r="K1161" s="143" t="s">
        <v>3593</v>
      </c>
      <c r="L1161" s="145"/>
      <c r="M1161" s="173" t="s">
        <v>3594</v>
      </c>
      <c r="N1161" s="276"/>
      <c r="O1161" s="174"/>
      <c r="P1161" s="114" t="s">
        <v>1127</v>
      </c>
      <c r="Q1161" s="116"/>
      <c r="R1161" s="180" t="s">
        <v>3595</v>
      </c>
      <c r="S1161" s="181"/>
      <c r="T1161" s="183">
        <v>3</v>
      </c>
      <c r="U1161" s="185"/>
      <c r="V1161" s="180" t="s">
        <v>3596</v>
      </c>
      <c r="W1161" s="181"/>
      <c r="X1161" s="252">
        <v>75</v>
      </c>
      <c r="Y1161" s="253"/>
      <c r="Z1161" s="254"/>
      <c r="AA1161" s="192" t="s">
        <v>1038</v>
      </c>
      <c r="AB1161" s="193"/>
      <c r="AC1161" s="292"/>
      <c r="AD1161" s="293"/>
      <c r="AE1161" s="36"/>
      <c r="AF1161" s="292"/>
      <c r="AG1161" s="314"/>
      <c r="AH1161" s="293"/>
      <c r="AI1161" s="167"/>
      <c r="AJ1161" s="48"/>
      <c r="AK1161" s="15"/>
      <c r="AL1161" s="15"/>
    </row>
    <row r="1162" spans="1:38" ht="60" x14ac:dyDescent="0.25">
      <c r="A1162" s="179"/>
      <c r="B1162" s="292"/>
      <c r="C1162" s="314"/>
      <c r="D1162" s="293"/>
      <c r="E1162" s="28" t="s">
        <v>3597</v>
      </c>
      <c r="F1162" s="272"/>
      <c r="G1162" s="282"/>
      <c r="H1162" s="273"/>
      <c r="I1162" s="104" t="s">
        <v>1127</v>
      </c>
      <c r="J1162" s="105"/>
      <c r="K1162" s="104" t="s">
        <v>3593</v>
      </c>
      <c r="L1162" s="105"/>
      <c r="M1162" s="173" t="s">
        <v>3240</v>
      </c>
      <c r="N1162" s="276"/>
      <c r="O1162" s="174"/>
      <c r="P1162" s="114" t="s">
        <v>1127</v>
      </c>
      <c r="Q1162" s="116"/>
      <c r="R1162" s="180" t="s">
        <v>3595</v>
      </c>
      <c r="S1162" s="181"/>
      <c r="T1162" s="183">
        <v>3</v>
      </c>
      <c r="U1162" s="185"/>
      <c r="V1162" s="180" t="s">
        <v>3598</v>
      </c>
      <c r="W1162" s="181"/>
      <c r="X1162" s="255"/>
      <c r="Y1162" s="256"/>
      <c r="Z1162" s="257"/>
      <c r="AA1162" s="194"/>
      <c r="AB1162" s="195"/>
      <c r="AC1162" s="292"/>
      <c r="AD1162" s="293"/>
      <c r="AE1162" s="36"/>
      <c r="AF1162" s="292"/>
      <c r="AG1162" s="314"/>
      <c r="AH1162" s="293"/>
      <c r="AI1162" s="167"/>
      <c r="AJ1162" s="48"/>
      <c r="AK1162" s="15"/>
      <c r="AL1162" s="15"/>
    </row>
    <row r="1163" spans="1:38" ht="60" x14ac:dyDescent="0.25">
      <c r="A1163" s="179"/>
      <c r="B1163" s="292"/>
      <c r="C1163" s="314"/>
      <c r="D1163" s="293"/>
      <c r="E1163" s="28" t="s">
        <v>3599</v>
      </c>
      <c r="F1163" s="194"/>
      <c r="G1163" s="197"/>
      <c r="H1163" s="195"/>
      <c r="I1163" s="146" t="s">
        <v>1127</v>
      </c>
      <c r="J1163" s="148"/>
      <c r="K1163" s="146" t="s">
        <v>3593</v>
      </c>
      <c r="L1163" s="148"/>
      <c r="M1163" s="173" t="s">
        <v>3600</v>
      </c>
      <c r="N1163" s="276"/>
      <c r="O1163" s="174"/>
      <c r="P1163" s="114" t="s">
        <v>1127</v>
      </c>
      <c r="Q1163" s="116"/>
      <c r="R1163" s="180" t="s">
        <v>3595</v>
      </c>
      <c r="S1163" s="181"/>
      <c r="T1163" s="183">
        <v>3</v>
      </c>
      <c r="U1163" s="185"/>
      <c r="V1163" s="180" t="s">
        <v>3601</v>
      </c>
      <c r="W1163" s="181"/>
      <c r="X1163" s="227">
        <v>78</v>
      </c>
      <c r="Y1163" s="228"/>
      <c r="Z1163" s="229"/>
      <c r="AA1163" s="110" t="s">
        <v>1854</v>
      </c>
      <c r="AB1163" s="111"/>
      <c r="AC1163" s="292"/>
      <c r="AD1163" s="293"/>
      <c r="AE1163" s="36"/>
      <c r="AF1163" s="292"/>
      <c r="AG1163" s="314"/>
      <c r="AH1163" s="293"/>
      <c r="AI1163" s="167"/>
      <c r="AJ1163" s="48"/>
      <c r="AK1163" s="15"/>
      <c r="AL1163" s="15"/>
    </row>
    <row r="1164" spans="1:38" ht="60" x14ac:dyDescent="0.25">
      <c r="A1164" s="179"/>
      <c r="B1164" s="292"/>
      <c r="C1164" s="314"/>
      <c r="D1164" s="293"/>
      <c r="E1164" s="28" t="s">
        <v>3602</v>
      </c>
      <c r="F1164" s="192" t="s">
        <v>3603</v>
      </c>
      <c r="G1164" s="196"/>
      <c r="H1164" s="193"/>
      <c r="I1164" s="112">
        <v>5</v>
      </c>
      <c r="J1164" s="113"/>
      <c r="K1164" s="143" t="s">
        <v>3604</v>
      </c>
      <c r="L1164" s="145"/>
      <c r="M1164" s="173" t="s">
        <v>3605</v>
      </c>
      <c r="N1164" s="276"/>
      <c r="O1164" s="174"/>
      <c r="P1164" s="180" t="s">
        <v>3606</v>
      </c>
      <c r="Q1164" s="181"/>
      <c r="R1164" s="180" t="s">
        <v>3489</v>
      </c>
      <c r="S1164" s="181"/>
      <c r="T1164" s="183">
        <v>3</v>
      </c>
      <c r="U1164" s="185"/>
      <c r="V1164" s="180" t="s">
        <v>3607</v>
      </c>
      <c r="W1164" s="181"/>
      <c r="X1164" s="252">
        <v>85</v>
      </c>
      <c r="Y1164" s="253"/>
      <c r="Z1164" s="254"/>
      <c r="AA1164" s="192" t="s">
        <v>1261</v>
      </c>
      <c r="AB1164" s="193"/>
      <c r="AC1164" s="292"/>
      <c r="AD1164" s="293"/>
      <c r="AE1164" s="36"/>
      <c r="AF1164" s="292"/>
      <c r="AG1164" s="314"/>
      <c r="AH1164" s="293"/>
      <c r="AI1164" s="167"/>
      <c r="AJ1164" s="48"/>
      <c r="AK1164" s="15"/>
      <c r="AL1164" s="15"/>
    </row>
    <row r="1165" spans="1:38" ht="60" x14ac:dyDescent="0.25">
      <c r="A1165" s="179"/>
      <c r="B1165" s="292"/>
      <c r="C1165" s="314"/>
      <c r="D1165" s="293"/>
      <c r="E1165" s="28" t="s">
        <v>3608</v>
      </c>
      <c r="F1165" s="272"/>
      <c r="G1165" s="282"/>
      <c r="H1165" s="273"/>
      <c r="I1165" s="155">
        <v>5</v>
      </c>
      <c r="J1165" s="157"/>
      <c r="K1165" s="104" t="s">
        <v>3604</v>
      </c>
      <c r="L1165" s="105"/>
      <c r="M1165" s="173" t="s">
        <v>3609</v>
      </c>
      <c r="N1165" s="276"/>
      <c r="O1165" s="174"/>
      <c r="P1165" s="180" t="s">
        <v>3606</v>
      </c>
      <c r="Q1165" s="181"/>
      <c r="R1165" s="180" t="s">
        <v>3489</v>
      </c>
      <c r="S1165" s="181"/>
      <c r="T1165" s="183">
        <v>3</v>
      </c>
      <c r="U1165" s="185"/>
      <c r="V1165" s="180" t="s">
        <v>3610</v>
      </c>
      <c r="W1165" s="181"/>
      <c r="X1165" s="255"/>
      <c r="Y1165" s="256"/>
      <c r="Z1165" s="257"/>
      <c r="AA1165" s="194"/>
      <c r="AB1165" s="195"/>
      <c r="AC1165" s="292"/>
      <c r="AD1165" s="293"/>
      <c r="AE1165" s="36"/>
      <c r="AF1165" s="292"/>
      <c r="AG1165" s="314"/>
      <c r="AH1165" s="293"/>
      <c r="AI1165" s="167"/>
      <c r="AJ1165" s="48"/>
      <c r="AK1165" s="15"/>
      <c r="AL1165" s="15"/>
    </row>
    <row r="1166" spans="1:38" ht="60" x14ac:dyDescent="0.25">
      <c r="A1166" s="230"/>
      <c r="B1166" s="290"/>
      <c r="C1166" s="345"/>
      <c r="D1166" s="291"/>
      <c r="E1166" s="28" t="s">
        <v>3611</v>
      </c>
      <c r="F1166" s="194"/>
      <c r="G1166" s="197"/>
      <c r="H1166" s="195"/>
      <c r="I1166" s="160">
        <v>5</v>
      </c>
      <c r="J1166" s="161"/>
      <c r="K1166" s="146" t="s">
        <v>3604</v>
      </c>
      <c r="L1166" s="148"/>
      <c r="M1166" s="173" t="s">
        <v>3612</v>
      </c>
      <c r="N1166" s="276"/>
      <c r="O1166" s="174"/>
      <c r="P1166" s="180" t="s">
        <v>3606</v>
      </c>
      <c r="Q1166" s="181"/>
      <c r="R1166" s="180" t="s">
        <v>3489</v>
      </c>
      <c r="S1166" s="181"/>
      <c r="T1166" s="183">
        <v>3</v>
      </c>
      <c r="U1166" s="185"/>
      <c r="V1166" s="180" t="s">
        <v>3613</v>
      </c>
      <c r="W1166" s="181"/>
      <c r="X1166" s="227">
        <v>88</v>
      </c>
      <c r="Y1166" s="228"/>
      <c r="Z1166" s="229"/>
      <c r="AA1166" s="110" t="s">
        <v>1739</v>
      </c>
      <c r="AB1166" s="111"/>
      <c r="AC1166" s="290"/>
      <c r="AD1166" s="291"/>
      <c r="AE1166" s="36"/>
      <c r="AF1166" s="290"/>
      <c r="AG1166" s="345"/>
      <c r="AH1166" s="291"/>
      <c r="AI1166" s="214"/>
      <c r="AJ1166" s="48"/>
      <c r="AK1166" s="15"/>
      <c r="AL1166" s="15"/>
    </row>
    <row r="1167" spans="1:38" ht="135" x14ac:dyDescent="0.3">
      <c r="A1167" s="178"/>
      <c r="B1167" s="303" t="s">
        <v>3614</v>
      </c>
      <c r="C1167" s="344"/>
      <c r="D1167" s="304"/>
      <c r="E1167" s="28" t="s">
        <v>3615</v>
      </c>
      <c r="F1167" s="192" t="s">
        <v>3616</v>
      </c>
      <c r="G1167" s="196"/>
      <c r="H1167" s="193"/>
      <c r="I1167" s="143" t="s">
        <v>842</v>
      </c>
      <c r="J1167" s="145"/>
      <c r="K1167" s="143" t="s">
        <v>3617</v>
      </c>
      <c r="L1167" s="145"/>
      <c r="M1167" s="183">
        <v>41</v>
      </c>
      <c r="N1167" s="184"/>
      <c r="O1167" s="185"/>
      <c r="P1167" s="173" t="s">
        <v>3618</v>
      </c>
      <c r="Q1167" s="174"/>
      <c r="R1167" s="112">
        <v>7</v>
      </c>
      <c r="S1167" s="113"/>
      <c r="T1167" s="183">
        <v>6</v>
      </c>
      <c r="U1167" s="185"/>
      <c r="V1167" s="173" t="s">
        <v>3596</v>
      </c>
      <c r="W1167" s="174"/>
      <c r="X1167" s="252">
        <v>69</v>
      </c>
      <c r="Y1167" s="253"/>
      <c r="Z1167" s="254"/>
      <c r="AA1167" s="192" t="s">
        <v>1369</v>
      </c>
      <c r="AB1167" s="193"/>
      <c r="AC1167" s="171" t="s">
        <v>3194</v>
      </c>
      <c r="AD1167" s="172"/>
      <c r="AE1167" s="24" t="s">
        <v>3621</v>
      </c>
      <c r="AF1167" s="164"/>
      <c r="AG1167" s="165"/>
      <c r="AH1167" s="166"/>
      <c r="AI1167" s="549" t="s">
        <v>3624</v>
      </c>
      <c r="AJ1167" s="48"/>
      <c r="AK1167" s="15"/>
      <c r="AL1167" s="15"/>
    </row>
    <row r="1168" spans="1:38" ht="90" x14ac:dyDescent="0.3">
      <c r="A1168" s="179"/>
      <c r="B1168" s="292"/>
      <c r="C1168" s="314"/>
      <c r="D1168" s="293"/>
      <c r="E1168" s="28" t="s">
        <v>3625</v>
      </c>
      <c r="F1168" s="272"/>
      <c r="G1168" s="282"/>
      <c r="H1168" s="273"/>
      <c r="I1168" s="104" t="s">
        <v>842</v>
      </c>
      <c r="J1168" s="105"/>
      <c r="K1168" s="104" t="s">
        <v>3617</v>
      </c>
      <c r="L1168" s="105"/>
      <c r="M1168" s="183">
        <v>41</v>
      </c>
      <c r="N1168" s="184"/>
      <c r="O1168" s="185"/>
      <c r="P1168" s="173" t="s">
        <v>3618</v>
      </c>
      <c r="Q1168" s="174"/>
      <c r="R1168" s="155">
        <v>7</v>
      </c>
      <c r="S1168" s="157"/>
      <c r="T1168" s="183">
        <v>6</v>
      </c>
      <c r="U1168" s="185"/>
      <c r="V1168" s="173" t="s">
        <v>3596</v>
      </c>
      <c r="W1168" s="174"/>
      <c r="X1168" s="311"/>
      <c r="Y1168" s="312"/>
      <c r="Z1168" s="313"/>
      <c r="AA1168" s="272"/>
      <c r="AB1168" s="273"/>
      <c r="AC1168" s="162" t="s">
        <v>3619</v>
      </c>
      <c r="AD1168" s="163"/>
      <c r="AE1168" s="31" t="s">
        <v>3622</v>
      </c>
      <c r="AF1168" s="167"/>
      <c r="AG1168" s="168"/>
      <c r="AH1168" s="169"/>
      <c r="AI1168" s="274"/>
      <c r="AJ1168" s="48"/>
      <c r="AK1168" s="15"/>
      <c r="AL1168" s="15"/>
    </row>
    <row r="1169" spans="1:38" ht="90" x14ac:dyDescent="0.3">
      <c r="A1169" s="179"/>
      <c r="B1169" s="292"/>
      <c r="C1169" s="314"/>
      <c r="D1169" s="293"/>
      <c r="E1169" s="28" t="s">
        <v>3626</v>
      </c>
      <c r="F1169" s="272"/>
      <c r="G1169" s="282"/>
      <c r="H1169" s="273"/>
      <c r="I1169" s="104" t="s">
        <v>842</v>
      </c>
      <c r="J1169" s="105"/>
      <c r="K1169" s="104" t="s">
        <v>3617</v>
      </c>
      <c r="L1169" s="105"/>
      <c r="M1169" s="173" t="s">
        <v>3627</v>
      </c>
      <c r="N1169" s="276"/>
      <c r="O1169" s="174"/>
      <c r="P1169" s="173" t="s">
        <v>3618</v>
      </c>
      <c r="Q1169" s="174"/>
      <c r="R1169" s="155">
        <v>7</v>
      </c>
      <c r="S1169" s="157"/>
      <c r="T1169" s="183">
        <v>6</v>
      </c>
      <c r="U1169" s="185"/>
      <c r="V1169" s="173" t="s">
        <v>3628</v>
      </c>
      <c r="W1169" s="174"/>
      <c r="X1169" s="311"/>
      <c r="Y1169" s="312"/>
      <c r="Z1169" s="313"/>
      <c r="AA1169" s="272"/>
      <c r="AB1169" s="273"/>
      <c r="AC1169" s="162" t="s">
        <v>3620</v>
      </c>
      <c r="AD1169" s="163"/>
      <c r="AE1169" s="31" t="s">
        <v>3623</v>
      </c>
      <c r="AF1169" s="167"/>
      <c r="AG1169" s="168"/>
      <c r="AH1169" s="169"/>
      <c r="AI1169" s="274"/>
      <c r="AJ1169" s="48"/>
      <c r="AK1169" s="15"/>
      <c r="AL1169" s="15"/>
    </row>
    <row r="1170" spans="1:38" ht="90" x14ac:dyDescent="0.3">
      <c r="A1170" s="179"/>
      <c r="B1170" s="292"/>
      <c r="C1170" s="314"/>
      <c r="D1170" s="293"/>
      <c r="E1170" s="28" t="s">
        <v>3629</v>
      </c>
      <c r="F1170" s="194"/>
      <c r="G1170" s="197"/>
      <c r="H1170" s="195"/>
      <c r="I1170" s="146" t="s">
        <v>842</v>
      </c>
      <c r="J1170" s="148"/>
      <c r="K1170" s="146" t="s">
        <v>3617</v>
      </c>
      <c r="L1170" s="148"/>
      <c r="M1170" s="180" t="s">
        <v>3630</v>
      </c>
      <c r="N1170" s="450"/>
      <c r="O1170" s="181"/>
      <c r="P1170" s="173" t="s">
        <v>3618</v>
      </c>
      <c r="Q1170" s="174"/>
      <c r="R1170" s="155">
        <v>7</v>
      </c>
      <c r="S1170" s="157"/>
      <c r="T1170" s="183">
        <v>6</v>
      </c>
      <c r="U1170" s="185"/>
      <c r="V1170" s="180" t="s">
        <v>3631</v>
      </c>
      <c r="W1170" s="181"/>
      <c r="X1170" s="255"/>
      <c r="Y1170" s="256"/>
      <c r="Z1170" s="257"/>
      <c r="AA1170" s="194"/>
      <c r="AB1170" s="195"/>
      <c r="AC1170" s="162"/>
      <c r="AD1170" s="163"/>
      <c r="AE1170" s="31"/>
      <c r="AF1170" s="167"/>
      <c r="AG1170" s="168"/>
      <c r="AH1170" s="169"/>
      <c r="AI1170" s="274"/>
      <c r="AJ1170" s="48"/>
      <c r="AK1170" s="15"/>
      <c r="AL1170" s="15"/>
    </row>
    <row r="1171" spans="1:38" ht="90" x14ac:dyDescent="0.3">
      <c r="A1171" s="179"/>
      <c r="B1171" s="292"/>
      <c r="C1171" s="314"/>
      <c r="D1171" s="293"/>
      <c r="E1171" s="28" t="s">
        <v>3632</v>
      </c>
      <c r="F1171" s="192" t="s">
        <v>3633</v>
      </c>
      <c r="G1171" s="196"/>
      <c r="H1171" s="193"/>
      <c r="I1171" s="143" t="s">
        <v>989</v>
      </c>
      <c r="J1171" s="145"/>
      <c r="K1171" s="143" t="s">
        <v>3634</v>
      </c>
      <c r="L1171" s="145"/>
      <c r="M1171" s="173" t="s">
        <v>3635</v>
      </c>
      <c r="N1171" s="276"/>
      <c r="O1171" s="174"/>
      <c r="P1171" s="173" t="s">
        <v>3636</v>
      </c>
      <c r="Q1171" s="174"/>
      <c r="R1171" s="155">
        <v>7</v>
      </c>
      <c r="S1171" s="157"/>
      <c r="T1171" s="183">
        <v>6</v>
      </c>
      <c r="U1171" s="185"/>
      <c r="V1171" s="173" t="s">
        <v>3637</v>
      </c>
      <c r="W1171" s="174"/>
      <c r="X1171" s="252">
        <v>75</v>
      </c>
      <c r="Y1171" s="253"/>
      <c r="Z1171" s="254"/>
      <c r="AA1171" s="192" t="s">
        <v>975</v>
      </c>
      <c r="AB1171" s="193"/>
      <c r="AC1171" s="162"/>
      <c r="AD1171" s="163"/>
      <c r="AE1171" s="31"/>
      <c r="AF1171" s="167"/>
      <c r="AG1171" s="168"/>
      <c r="AH1171" s="169"/>
      <c r="AI1171" s="274"/>
      <c r="AJ1171" s="48"/>
      <c r="AK1171" s="15"/>
      <c r="AL1171" s="15"/>
    </row>
    <row r="1172" spans="1:38" ht="90" x14ac:dyDescent="0.3">
      <c r="A1172" s="179"/>
      <c r="B1172" s="292"/>
      <c r="C1172" s="314"/>
      <c r="D1172" s="293"/>
      <c r="E1172" s="28" t="s">
        <v>3638</v>
      </c>
      <c r="F1172" s="272"/>
      <c r="G1172" s="282"/>
      <c r="H1172" s="273"/>
      <c r="I1172" s="104" t="s">
        <v>989</v>
      </c>
      <c r="J1172" s="105"/>
      <c r="K1172" s="104" t="s">
        <v>3634</v>
      </c>
      <c r="L1172" s="105"/>
      <c r="M1172" s="173" t="s">
        <v>3635</v>
      </c>
      <c r="N1172" s="276"/>
      <c r="O1172" s="174"/>
      <c r="P1172" s="173" t="s">
        <v>3636</v>
      </c>
      <c r="Q1172" s="174"/>
      <c r="R1172" s="155">
        <v>7</v>
      </c>
      <c r="S1172" s="157"/>
      <c r="T1172" s="183">
        <v>6</v>
      </c>
      <c r="U1172" s="185"/>
      <c r="V1172" s="173" t="s">
        <v>3637</v>
      </c>
      <c r="W1172" s="174"/>
      <c r="X1172" s="311"/>
      <c r="Y1172" s="312"/>
      <c r="Z1172" s="313"/>
      <c r="AA1172" s="272"/>
      <c r="AB1172" s="273"/>
      <c r="AC1172" s="162"/>
      <c r="AD1172" s="163"/>
      <c r="AE1172" s="31"/>
      <c r="AF1172" s="167"/>
      <c r="AG1172" s="168"/>
      <c r="AH1172" s="169"/>
      <c r="AI1172" s="274"/>
      <c r="AJ1172" s="48"/>
      <c r="AK1172" s="15"/>
      <c r="AL1172" s="15"/>
    </row>
    <row r="1173" spans="1:38" ht="90" x14ac:dyDescent="0.3">
      <c r="A1173" s="179"/>
      <c r="B1173" s="292"/>
      <c r="C1173" s="314"/>
      <c r="D1173" s="293"/>
      <c r="E1173" s="28" t="s">
        <v>3639</v>
      </c>
      <c r="F1173" s="272"/>
      <c r="G1173" s="282"/>
      <c r="H1173" s="273"/>
      <c r="I1173" s="104" t="s">
        <v>989</v>
      </c>
      <c r="J1173" s="105"/>
      <c r="K1173" s="104" t="s">
        <v>3634</v>
      </c>
      <c r="L1173" s="105"/>
      <c r="M1173" s="173" t="s">
        <v>3640</v>
      </c>
      <c r="N1173" s="276"/>
      <c r="O1173" s="174"/>
      <c r="P1173" s="173" t="s">
        <v>3636</v>
      </c>
      <c r="Q1173" s="174"/>
      <c r="R1173" s="155">
        <v>7</v>
      </c>
      <c r="S1173" s="157"/>
      <c r="T1173" s="183">
        <v>6</v>
      </c>
      <c r="U1173" s="185"/>
      <c r="V1173" s="173" t="s">
        <v>3641</v>
      </c>
      <c r="W1173" s="174"/>
      <c r="X1173" s="311"/>
      <c r="Y1173" s="312"/>
      <c r="Z1173" s="313"/>
      <c r="AA1173" s="272"/>
      <c r="AB1173" s="273"/>
      <c r="AC1173" s="162"/>
      <c r="AD1173" s="163"/>
      <c r="AE1173" s="31"/>
      <c r="AF1173" s="167"/>
      <c r="AG1173" s="168"/>
      <c r="AH1173" s="169"/>
      <c r="AI1173" s="274"/>
      <c r="AJ1173" s="48"/>
      <c r="AK1173" s="15"/>
      <c r="AL1173" s="15"/>
    </row>
    <row r="1174" spans="1:38" ht="90" x14ac:dyDescent="0.3">
      <c r="A1174" s="179"/>
      <c r="B1174" s="292"/>
      <c r="C1174" s="314"/>
      <c r="D1174" s="293"/>
      <c r="E1174" s="28" t="s">
        <v>3642</v>
      </c>
      <c r="F1174" s="194"/>
      <c r="G1174" s="197"/>
      <c r="H1174" s="195"/>
      <c r="I1174" s="146" t="s">
        <v>989</v>
      </c>
      <c r="J1174" s="148"/>
      <c r="K1174" s="146" t="s">
        <v>3634</v>
      </c>
      <c r="L1174" s="148"/>
      <c r="M1174" s="477">
        <v>47</v>
      </c>
      <c r="N1174" s="543"/>
      <c r="O1174" s="478"/>
      <c r="P1174" s="173" t="s">
        <v>3636</v>
      </c>
      <c r="Q1174" s="174"/>
      <c r="R1174" s="160">
        <v>7</v>
      </c>
      <c r="S1174" s="161"/>
      <c r="T1174" s="183">
        <v>6</v>
      </c>
      <c r="U1174" s="185"/>
      <c r="V1174" s="173" t="s">
        <v>3643</v>
      </c>
      <c r="W1174" s="174"/>
      <c r="X1174" s="255"/>
      <c r="Y1174" s="256"/>
      <c r="Z1174" s="257"/>
      <c r="AA1174" s="194"/>
      <c r="AB1174" s="195"/>
      <c r="AC1174" s="162"/>
      <c r="AD1174" s="163"/>
      <c r="AE1174" s="31"/>
      <c r="AF1174" s="167"/>
      <c r="AG1174" s="168"/>
      <c r="AH1174" s="169"/>
      <c r="AI1174" s="274"/>
      <c r="AJ1174" s="48"/>
      <c r="AK1174" s="15"/>
      <c r="AL1174" s="15"/>
    </row>
    <row r="1175" spans="1:38" ht="90" x14ac:dyDescent="0.3">
      <c r="A1175" s="179"/>
      <c r="B1175" s="292"/>
      <c r="C1175" s="314"/>
      <c r="D1175" s="293"/>
      <c r="E1175" s="28" t="s">
        <v>3644</v>
      </c>
      <c r="F1175" s="233" t="s">
        <v>3645</v>
      </c>
      <c r="G1175" s="305"/>
      <c r="H1175" s="234"/>
      <c r="I1175" s="143" t="s">
        <v>1854</v>
      </c>
      <c r="J1175" s="145"/>
      <c r="K1175" s="143" t="s">
        <v>3646</v>
      </c>
      <c r="L1175" s="145"/>
      <c r="M1175" s="173" t="s">
        <v>3647</v>
      </c>
      <c r="N1175" s="276"/>
      <c r="O1175" s="174"/>
      <c r="P1175" s="173" t="s">
        <v>1090</v>
      </c>
      <c r="Q1175" s="174"/>
      <c r="R1175" s="88" t="s">
        <v>1463</v>
      </c>
      <c r="S1175" s="89"/>
      <c r="T1175" s="183">
        <v>6</v>
      </c>
      <c r="U1175" s="185"/>
      <c r="V1175" s="173" t="s">
        <v>3648</v>
      </c>
      <c r="W1175" s="174"/>
      <c r="X1175" s="294">
        <v>82</v>
      </c>
      <c r="Y1175" s="295"/>
      <c r="Z1175" s="296"/>
      <c r="AA1175" s="233" t="s">
        <v>901</v>
      </c>
      <c r="AB1175" s="234"/>
      <c r="AC1175" s="162"/>
      <c r="AD1175" s="163"/>
      <c r="AE1175" s="31"/>
      <c r="AF1175" s="167"/>
      <c r="AG1175" s="168"/>
      <c r="AH1175" s="169"/>
      <c r="AI1175" s="274"/>
      <c r="AJ1175" s="48"/>
      <c r="AK1175" s="15"/>
      <c r="AL1175" s="15"/>
    </row>
    <row r="1176" spans="1:38" ht="90" x14ac:dyDescent="0.3">
      <c r="A1176" s="179"/>
      <c r="B1176" s="292"/>
      <c r="C1176" s="314"/>
      <c r="D1176" s="293"/>
      <c r="E1176" s="28" t="s">
        <v>3649</v>
      </c>
      <c r="F1176" s="235"/>
      <c r="G1176" s="270"/>
      <c r="H1176" s="236"/>
      <c r="I1176" s="104" t="s">
        <v>1854</v>
      </c>
      <c r="J1176" s="105"/>
      <c r="K1176" s="104" t="s">
        <v>3646</v>
      </c>
      <c r="L1176" s="105"/>
      <c r="M1176" s="173" t="s">
        <v>3647</v>
      </c>
      <c r="N1176" s="276"/>
      <c r="O1176" s="174"/>
      <c r="P1176" s="173" t="s">
        <v>1090</v>
      </c>
      <c r="Q1176" s="174"/>
      <c r="R1176" s="126" t="s">
        <v>1463</v>
      </c>
      <c r="S1176" s="127"/>
      <c r="T1176" s="183">
        <v>6</v>
      </c>
      <c r="U1176" s="185"/>
      <c r="V1176" s="173" t="s">
        <v>3648</v>
      </c>
      <c r="W1176" s="174"/>
      <c r="X1176" s="297"/>
      <c r="Y1176" s="298"/>
      <c r="Z1176" s="299"/>
      <c r="AA1176" s="235"/>
      <c r="AB1176" s="236"/>
      <c r="AC1176" s="162"/>
      <c r="AD1176" s="163"/>
      <c r="AE1176" s="31"/>
      <c r="AF1176" s="167"/>
      <c r="AG1176" s="168"/>
      <c r="AH1176" s="169"/>
      <c r="AI1176" s="274"/>
      <c r="AJ1176" s="48"/>
      <c r="AK1176" s="15"/>
      <c r="AL1176" s="15"/>
    </row>
    <row r="1177" spans="1:38" ht="90" x14ac:dyDescent="0.3">
      <c r="A1177" s="179"/>
      <c r="B1177" s="292"/>
      <c r="C1177" s="314"/>
      <c r="D1177" s="293"/>
      <c r="E1177" s="28" t="s">
        <v>3650</v>
      </c>
      <c r="F1177" s="235"/>
      <c r="G1177" s="270"/>
      <c r="H1177" s="236"/>
      <c r="I1177" s="104" t="s">
        <v>1854</v>
      </c>
      <c r="J1177" s="105"/>
      <c r="K1177" s="104" t="s">
        <v>3646</v>
      </c>
      <c r="L1177" s="105"/>
      <c r="M1177" s="173" t="s">
        <v>3651</v>
      </c>
      <c r="N1177" s="276"/>
      <c r="O1177" s="174"/>
      <c r="P1177" s="173" t="s">
        <v>1090</v>
      </c>
      <c r="Q1177" s="174"/>
      <c r="R1177" s="126" t="s">
        <v>1463</v>
      </c>
      <c r="S1177" s="127"/>
      <c r="T1177" s="183">
        <v>6</v>
      </c>
      <c r="U1177" s="185"/>
      <c r="V1177" s="173" t="s">
        <v>3652</v>
      </c>
      <c r="W1177" s="174"/>
      <c r="X1177" s="297"/>
      <c r="Y1177" s="298"/>
      <c r="Z1177" s="299"/>
      <c r="AA1177" s="235"/>
      <c r="AB1177" s="236"/>
      <c r="AC1177" s="162"/>
      <c r="AD1177" s="163"/>
      <c r="AE1177" s="31"/>
      <c r="AF1177" s="167"/>
      <c r="AG1177" s="168"/>
      <c r="AH1177" s="169"/>
      <c r="AI1177" s="274"/>
      <c r="AJ1177" s="48"/>
      <c r="AK1177" s="15"/>
      <c r="AL1177" s="15"/>
    </row>
    <row r="1178" spans="1:38" ht="90" x14ac:dyDescent="0.3">
      <c r="A1178" s="230"/>
      <c r="B1178" s="290"/>
      <c r="C1178" s="345"/>
      <c r="D1178" s="291"/>
      <c r="E1178" s="28" t="s">
        <v>3653</v>
      </c>
      <c r="F1178" s="237"/>
      <c r="G1178" s="306"/>
      <c r="H1178" s="238"/>
      <c r="I1178" s="146" t="s">
        <v>1854</v>
      </c>
      <c r="J1178" s="148"/>
      <c r="K1178" s="146" t="s">
        <v>3646</v>
      </c>
      <c r="L1178" s="148"/>
      <c r="M1178" s="180" t="s">
        <v>3654</v>
      </c>
      <c r="N1178" s="450"/>
      <c r="O1178" s="181"/>
      <c r="P1178" s="173" t="s">
        <v>1090</v>
      </c>
      <c r="Q1178" s="174"/>
      <c r="R1178" s="117" t="s">
        <v>1463</v>
      </c>
      <c r="S1178" s="118"/>
      <c r="T1178" s="183">
        <v>6</v>
      </c>
      <c r="U1178" s="185"/>
      <c r="V1178" s="173" t="s">
        <v>1065</v>
      </c>
      <c r="W1178" s="174"/>
      <c r="X1178" s="300"/>
      <c r="Y1178" s="301"/>
      <c r="Z1178" s="302"/>
      <c r="AA1178" s="237"/>
      <c r="AB1178" s="238"/>
      <c r="AC1178" s="212"/>
      <c r="AD1178" s="213"/>
      <c r="AE1178" s="31"/>
      <c r="AF1178" s="214"/>
      <c r="AG1178" s="215"/>
      <c r="AH1178" s="216"/>
      <c r="AI1178" s="550"/>
      <c r="AJ1178" s="48"/>
      <c r="AK1178" s="15"/>
      <c r="AL1178" s="15"/>
    </row>
    <row r="1179" spans="1:38" ht="75" x14ac:dyDescent="0.3">
      <c r="A1179" s="178"/>
      <c r="B1179" s="233" t="s">
        <v>3655</v>
      </c>
      <c r="C1179" s="305"/>
      <c r="D1179" s="234"/>
      <c r="E1179" s="28" t="s">
        <v>3242</v>
      </c>
      <c r="F1179" s="192" t="s">
        <v>3243</v>
      </c>
      <c r="G1179" s="196"/>
      <c r="H1179" s="193"/>
      <c r="I1179" s="112">
        <v>5</v>
      </c>
      <c r="J1179" s="113"/>
      <c r="K1179" s="143" t="s">
        <v>1520</v>
      </c>
      <c r="L1179" s="145"/>
      <c r="M1179" s="285">
        <v>55</v>
      </c>
      <c r="N1179" s="400"/>
      <c r="O1179" s="286"/>
      <c r="P1179" s="180" t="s">
        <v>3163</v>
      </c>
      <c r="Q1179" s="181"/>
      <c r="R1179" s="112">
        <v>8</v>
      </c>
      <c r="S1179" s="113"/>
      <c r="T1179" s="183">
        <v>6</v>
      </c>
      <c r="U1179" s="185"/>
      <c r="V1179" s="173" t="s">
        <v>3245</v>
      </c>
      <c r="W1179" s="174"/>
      <c r="X1179" s="252">
        <v>99</v>
      </c>
      <c r="Y1179" s="253"/>
      <c r="Z1179" s="254"/>
      <c r="AA1179" s="192" t="s">
        <v>1338</v>
      </c>
      <c r="AB1179" s="193"/>
      <c r="AC1179" s="171" t="s">
        <v>675</v>
      </c>
      <c r="AD1179" s="172"/>
      <c r="AE1179" s="24" t="s">
        <v>3658</v>
      </c>
      <c r="AF1179" s="164"/>
      <c r="AG1179" s="165"/>
      <c r="AH1179" s="166"/>
      <c r="AI1179" s="164"/>
      <c r="AJ1179" s="48"/>
      <c r="AK1179" s="15"/>
      <c r="AL1179" s="15"/>
    </row>
    <row r="1180" spans="1:38" ht="60" x14ac:dyDescent="0.3">
      <c r="A1180" s="179"/>
      <c r="B1180" s="235"/>
      <c r="C1180" s="270"/>
      <c r="D1180" s="236"/>
      <c r="E1180" s="28" t="s">
        <v>3660</v>
      </c>
      <c r="F1180" s="272"/>
      <c r="G1180" s="282"/>
      <c r="H1180" s="273"/>
      <c r="I1180" s="155">
        <v>5</v>
      </c>
      <c r="J1180" s="157"/>
      <c r="K1180" s="104" t="s">
        <v>1520</v>
      </c>
      <c r="L1180" s="105"/>
      <c r="M1180" s="173" t="s">
        <v>3661</v>
      </c>
      <c r="N1180" s="276"/>
      <c r="O1180" s="174"/>
      <c r="P1180" s="180" t="s">
        <v>3163</v>
      </c>
      <c r="Q1180" s="181"/>
      <c r="R1180" s="155">
        <v>8</v>
      </c>
      <c r="S1180" s="157"/>
      <c r="T1180" s="183">
        <v>6</v>
      </c>
      <c r="U1180" s="185"/>
      <c r="V1180" s="173" t="s">
        <v>3662</v>
      </c>
      <c r="W1180" s="174"/>
      <c r="X1180" s="311"/>
      <c r="Y1180" s="312"/>
      <c r="Z1180" s="313"/>
      <c r="AA1180" s="272"/>
      <c r="AB1180" s="273"/>
      <c r="AC1180" s="162" t="s">
        <v>3656</v>
      </c>
      <c r="AD1180" s="163"/>
      <c r="AE1180" s="31" t="s">
        <v>1356</v>
      </c>
      <c r="AF1180" s="167"/>
      <c r="AG1180" s="168"/>
      <c r="AH1180" s="169"/>
      <c r="AI1180" s="167"/>
      <c r="AJ1180" s="48"/>
      <c r="AK1180" s="15"/>
      <c r="AL1180" s="15"/>
    </row>
    <row r="1181" spans="1:38" ht="60" x14ac:dyDescent="0.3">
      <c r="A1181" s="179"/>
      <c r="B1181" s="235"/>
      <c r="C1181" s="270"/>
      <c r="D1181" s="236"/>
      <c r="E1181" s="28" t="s">
        <v>3248</v>
      </c>
      <c r="F1181" s="194"/>
      <c r="G1181" s="197"/>
      <c r="H1181" s="195"/>
      <c r="I1181" s="160">
        <v>5</v>
      </c>
      <c r="J1181" s="161"/>
      <c r="K1181" s="146" t="s">
        <v>1520</v>
      </c>
      <c r="L1181" s="148"/>
      <c r="M1181" s="477">
        <v>60</v>
      </c>
      <c r="N1181" s="543"/>
      <c r="O1181" s="478"/>
      <c r="P1181" s="180" t="s">
        <v>3163</v>
      </c>
      <c r="Q1181" s="181"/>
      <c r="R1181" s="160">
        <v>8</v>
      </c>
      <c r="S1181" s="161"/>
      <c r="T1181" s="183">
        <v>6</v>
      </c>
      <c r="U1181" s="185"/>
      <c r="V1181" s="173" t="s">
        <v>3249</v>
      </c>
      <c r="W1181" s="174"/>
      <c r="X1181" s="255"/>
      <c r="Y1181" s="256"/>
      <c r="Z1181" s="257"/>
      <c r="AA1181" s="194"/>
      <c r="AB1181" s="195"/>
      <c r="AC1181" s="162" t="s">
        <v>3657</v>
      </c>
      <c r="AD1181" s="163"/>
      <c r="AE1181" s="31" t="s">
        <v>3659</v>
      </c>
      <c r="AF1181" s="167"/>
      <c r="AG1181" s="168"/>
      <c r="AH1181" s="169"/>
      <c r="AI1181" s="167"/>
      <c r="AJ1181" s="48"/>
      <c r="AK1181" s="15"/>
      <c r="AL1181" s="15"/>
    </row>
    <row r="1182" spans="1:38" ht="75" x14ac:dyDescent="0.3">
      <c r="A1182" s="179"/>
      <c r="B1182" s="235"/>
      <c r="C1182" s="270"/>
      <c r="D1182" s="236"/>
      <c r="E1182" s="28" t="s">
        <v>3663</v>
      </c>
      <c r="F1182" s="192" t="s">
        <v>3664</v>
      </c>
      <c r="G1182" s="196"/>
      <c r="H1182" s="193"/>
      <c r="I1182" s="143" t="s">
        <v>1690</v>
      </c>
      <c r="J1182" s="145"/>
      <c r="K1182" s="143" t="s">
        <v>3665</v>
      </c>
      <c r="L1182" s="145"/>
      <c r="M1182" s="285">
        <v>72</v>
      </c>
      <c r="N1182" s="400"/>
      <c r="O1182" s="286"/>
      <c r="P1182" s="180" t="s">
        <v>989</v>
      </c>
      <c r="Q1182" s="181"/>
      <c r="R1182" s="88" t="s">
        <v>3532</v>
      </c>
      <c r="S1182" s="89"/>
      <c r="T1182" s="183">
        <v>6</v>
      </c>
      <c r="U1182" s="185"/>
      <c r="V1182" s="173" t="s">
        <v>1092</v>
      </c>
      <c r="W1182" s="174"/>
      <c r="X1182" s="252">
        <v>119</v>
      </c>
      <c r="Y1182" s="253"/>
      <c r="Z1182" s="254"/>
      <c r="AA1182" s="192" t="s">
        <v>975</v>
      </c>
      <c r="AB1182" s="193"/>
      <c r="AC1182" s="162"/>
      <c r="AD1182" s="163"/>
      <c r="AE1182" s="31"/>
      <c r="AF1182" s="167"/>
      <c r="AG1182" s="168"/>
      <c r="AH1182" s="169"/>
      <c r="AI1182" s="167"/>
      <c r="AJ1182" s="48"/>
      <c r="AK1182" s="15"/>
      <c r="AL1182" s="15"/>
    </row>
    <row r="1183" spans="1:38" ht="75" x14ac:dyDescent="0.3">
      <c r="A1183" s="179"/>
      <c r="B1183" s="235"/>
      <c r="C1183" s="270"/>
      <c r="D1183" s="236"/>
      <c r="E1183" s="19" t="s">
        <v>3666</v>
      </c>
      <c r="F1183" s="272"/>
      <c r="G1183" s="282"/>
      <c r="H1183" s="273"/>
      <c r="I1183" s="104" t="s">
        <v>1690</v>
      </c>
      <c r="J1183" s="105"/>
      <c r="K1183" s="104" t="s">
        <v>3665</v>
      </c>
      <c r="L1183" s="105"/>
      <c r="M1183" s="332" t="s">
        <v>3667</v>
      </c>
      <c r="N1183" s="374"/>
      <c r="O1183" s="333"/>
      <c r="P1183" s="353" t="s">
        <v>989</v>
      </c>
      <c r="Q1183" s="355"/>
      <c r="R1183" s="126" t="s">
        <v>3532</v>
      </c>
      <c r="S1183" s="127"/>
      <c r="T1183" s="349">
        <v>6</v>
      </c>
      <c r="U1183" s="350"/>
      <c r="V1183" s="332" t="s">
        <v>3668</v>
      </c>
      <c r="W1183" s="333"/>
      <c r="X1183" s="311"/>
      <c r="Y1183" s="312"/>
      <c r="Z1183" s="313"/>
      <c r="AA1183" s="272"/>
      <c r="AB1183" s="273"/>
      <c r="AC1183" s="162"/>
      <c r="AD1183" s="163"/>
      <c r="AE1183" s="31"/>
      <c r="AF1183" s="167"/>
      <c r="AG1183" s="168"/>
      <c r="AH1183" s="169"/>
      <c r="AI1183" s="167"/>
      <c r="AJ1183" s="48"/>
      <c r="AK1183" s="15"/>
      <c r="AL1183" s="15"/>
    </row>
    <row r="1184" spans="1:38" ht="75" x14ac:dyDescent="0.3">
      <c r="A1184" s="230"/>
      <c r="B1184" s="237"/>
      <c r="C1184" s="306"/>
      <c r="D1184" s="238"/>
      <c r="E1184" s="28" t="s">
        <v>3669</v>
      </c>
      <c r="F1184" s="194"/>
      <c r="G1184" s="197"/>
      <c r="H1184" s="195"/>
      <c r="I1184" s="146" t="s">
        <v>1690</v>
      </c>
      <c r="J1184" s="148"/>
      <c r="K1184" s="146" t="s">
        <v>3665</v>
      </c>
      <c r="L1184" s="148"/>
      <c r="M1184" s="477">
        <v>78</v>
      </c>
      <c r="N1184" s="543"/>
      <c r="O1184" s="478"/>
      <c r="P1184" s="180" t="s">
        <v>989</v>
      </c>
      <c r="Q1184" s="181"/>
      <c r="R1184" s="117" t="s">
        <v>3532</v>
      </c>
      <c r="S1184" s="118"/>
      <c r="T1184" s="183">
        <v>6</v>
      </c>
      <c r="U1184" s="185"/>
      <c r="V1184" s="173" t="s">
        <v>3670</v>
      </c>
      <c r="W1184" s="174"/>
      <c r="X1184" s="255"/>
      <c r="Y1184" s="256"/>
      <c r="Z1184" s="257"/>
      <c r="AA1184" s="194"/>
      <c r="AB1184" s="195"/>
      <c r="AC1184" s="212"/>
      <c r="AD1184" s="213"/>
      <c r="AE1184" s="31"/>
      <c r="AF1184" s="214"/>
      <c r="AG1184" s="215"/>
      <c r="AH1184" s="216"/>
      <c r="AI1184" s="167"/>
      <c r="AJ1184" s="48"/>
      <c r="AK1184" s="15"/>
      <c r="AL1184" s="15"/>
    </row>
    <row r="1185" spans="1:38" ht="120" x14ac:dyDescent="0.3">
      <c r="A1185" s="178"/>
      <c r="B1185" s="303" t="s">
        <v>3671</v>
      </c>
      <c r="C1185" s="344"/>
      <c r="D1185" s="304"/>
      <c r="E1185" s="28" t="s">
        <v>3672</v>
      </c>
      <c r="F1185" s="192" t="s">
        <v>3673</v>
      </c>
      <c r="G1185" s="196"/>
      <c r="H1185" s="193"/>
      <c r="I1185" s="112">
        <v>20</v>
      </c>
      <c r="J1185" s="113"/>
      <c r="K1185" s="88" t="s">
        <v>3674</v>
      </c>
      <c r="L1185" s="89"/>
      <c r="M1185" s="180" t="s">
        <v>3675</v>
      </c>
      <c r="N1185" s="450"/>
      <c r="O1185" s="181"/>
      <c r="P1185" s="173" t="s">
        <v>2101</v>
      </c>
      <c r="Q1185" s="174"/>
      <c r="R1185" s="88" t="s">
        <v>3676</v>
      </c>
      <c r="S1185" s="89"/>
      <c r="T1185" s="183">
        <v>10</v>
      </c>
      <c r="U1185" s="185"/>
      <c r="V1185" s="180" t="s">
        <v>3677</v>
      </c>
      <c r="W1185" s="181"/>
      <c r="X1185" s="252">
        <v>250</v>
      </c>
      <c r="Y1185" s="253"/>
      <c r="Z1185" s="254"/>
      <c r="AA1185" s="192" t="s">
        <v>989</v>
      </c>
      <c r="AB1185" s="193"/>
      <c r="AC1185" s="88" t="s">
        <v>3194</v>
      </c>
      <c r="AD1185" s="89"/>
      <c r="AE1185" s="24" t="s">
        <v>3680</v>
      </c>
      <c r="AF1185" s="164"/>
      <c r="AG1185" s="165"/>
      <c r="AH1185" s="166"/>
      <c r="AI1185" s="167"/>
      <c r="AJ1185" s="48"/>
      <c r="AK1185" s="15"/>
      <c r="AL1185" s="15"/>
    </row>
    <row r="1186" spans="1:38" ht="120" x14ac:dyDescent="0.3">
      <c r="A1186" s="179"/>
      <c r="B1186" s="292"/>
      <c r="C1186" s="314"/>
      <c r="D1186" s="293"/>
      <c r="E1186" s="28" t="s">
        <v>3683</v>
      </c>
      <c r="F1186" s="272"/>
      <c r="G1186" s="282"/>
      <c r="H1186" s="273"/>
      <c r="I1186" s="155">
        <v>20</v>
      </c>
      <c r="J1186" s="157"/>
      <c r="K1186" s="126" t="s">
        <v>3674</v>
      </c>
      <c r="L1186" s="127"/>
      <c r="M1186" s="477">
        <v>132</v>
      </c>
      <c r="N1186" s="543"/>
      <c r="O1186" s="478"/>
      <c r="P1186" s="173" t="s">
        <v>2101</v>
      </c>
      <c r="Q1186" s="174"/>
      <c r="R1186" s="126" t="s">
        <v>3676</v>
      </c>
      <c r="S1186" s="127"/>
      <c r="T1186" s="183">
        <v>10</v>
      </c>
      <c r="U1186" s="185"/>
      <c r="V1186" s="180" t="s">
        <v>3684</v>
      </c>
      <c r="W1186" s="181"/>
      <c r="X1186" s="311"/>
      <c r="Y1186" s="312"/>
      <c r="Z1186" s="313"/>
      <c r="AA1186" s="272"/>
      <c r="AB1186" s="273"/>
      <c r="AC1186" s="126" t="s">
        <v>3678</v>
      </c>
      <c r="AD1186" s="127"/>
      <c r="AE1186" s="31" t="s">
        <v>3681</v>
      </c>
      <c r="AF1186" s="167"/>
      <c r="AG1186" s="168"/>
      <c r="AH1186" s="169"/>
      <c r="AI1186" s="167"/>
      <c r="AJ1186" s="48"/>
      <c r="AK1186" s="15"/>
      <c r="AL1186" s="15"/>
    </row>
    <row r="1187" spans="1:38" ht="120" x14ac:dyDescent="0.3">
      <c r="A1187" s="179"/>
      <c r="B1187" s="292"/>
      <c r="C1187" s="314"/>
      <c r="D1187" s="293"/>
      <c r="E1187" s="28" t="s">
        <v>3685</v>
      </c>
      <c r="F1187" s="194"/>
      <c r="G1187" s="197"/>
      <c r="H1187" s="195"/>
      <c r="I1187" s="160">
        <v>20</v>
      </c>
      <c r="J1187" s="161"/>
      <c r="K1187" s="117" t="s">
        <v>3674</v>
      </c>
      <c r="L1187" s="118"/>
      <c r="M1187" s="180" t="s">
        <v>3686</v>
      </c>
      <c r="N1187" s="450"/>
      <c r="O1187" s="181"/>
      <c r="P1187" s="173" t="s">
        <v>2101</v>
      </c>
      <c r="Q1187" s="174"/>
      <c r="R1187" s="117" t="s">
        <v>3676</v>
      </c>
      <c r="S1187" s="118"/>
      <c r="T1187" s="183">
        <v>10</v>
      </c>
      <c r="U1187" s="185"/>
      <c r="V1187" s="180" t="s">
        <v>3687</v>
      </c>
      <c r="W1187" s="181"/>
      <c r="X1187" s="255"/>
      <c r="Y1187" s="256"/>
      <c r="Z1187" s="257"/>
      <c r="AA1187" s="194"/>
      <c r="AB1187" s="195"/>
      <c r="AC1187" s="126" t="s">
        <v>3679</v>
      </c>
      <c r="AD1187" s="127"/>
      <c r="AE1187" s="31" t="s">
        <v>3682</v>
      </c>
      <c r="AF1187" s="167"/>
      <c r="AG1187" s="168"/>
      <c r="AH1187" s="169"/>
      <c r="AI1187" s="167"/>
      <c r="AJ1187" s="48"/>
      <c r="AK1187" s="15"/>
      <c r="AL1187" s="15"/>
    </row>
    <row r="1188" spans="1:38" ht="120" x14ac:dyDescent="0.3">
      <c r="A1188" s="179"/>
      <c r="B1188" s="292"/>
      <c r="C1188" s="314"/>
      <c r="D1188" s="293"/>
      <c r="E1188" s="28" t="s">
        <v>3688</v>
      </c>
      <c r="F1188" s="192" t="s">
        <v>3689</v>
      </c>
      <c r="G1188" s="196"/>
      <c r="H1188" s="193"/>
      <c r="I1188" s="540" t="s">
        <v>1515</v>
      </c>
      <c r="J1188" s="542"/>
      <c r="K1188" s="88" t="s">
        <v>3690</v>
      </c>
      <c r="L1188" s="89"/>
      <c r="M1188" s="114" t="s">
        <v>3691</v>
      </c>
      <c r="N1188" s="115"/>
      <c r="O1188" s="116"/>
      <c r="P1188" s="173" t="s">
        <v>3692</v>
      </c>
      <c r="Q1188" s="174"/>
      <c r="R1188" s="486">
        <v>36</v>
      </c>
      <c r="S1188" s="487"/>
      <c r="T1188" s="183">
        <v>15</v>
      </c>
      <c r="U1188" s="185"/>
      <c r="V1188" s="173" t="s">
        <v>3693</v>
      </c>
      <c r="W1188" s="174"/>
      <c r="X1188" s="252">
        <v>350</v>
      </c>
      <c r="Y1188" s="253"/>
      <c r="Z1188" s="254"/>
      <c r="AA1188" s="192" t="s">
        <v>989</v>
      </c>
      <c r="AB1188" s="193"/>
      <c r="AC1188" s="126"/>
      <c r="AD1188" s="127"/>
      <c r="AE1188" s="31"/>
      <c r="AF1188" s="167"/>
      <c r="AG1188" s="168"/>
      <c r="AH1188" s="169"/>
      <c r="AI1188" s="167"/>
      <c r="AJ1188" s="48"/>
      <c r="AK1188" s="15"/>
      <c r="AL1188" s="15"/>
    </row>
    <row r="1189" spans="1:38" ht="120" x14ac:dyDescent="0.3">
      <c r="A1189" s="179"/>
      <c r="B1189" s="292"/>
      <c r="C1189" s="314"/>
      <c r="D1189" s="293"/>
      <c r="E1189" s="28" t="s">
        <v>3694</v>
      </c>
      <c r="F1189" s="272"/>
      <c r="G1189" s="282"/>
      <c r="H1189" s="273"/>
      <c r="I1189" s="540" t="s">
        <v>1515</v>
      </c>
      <c r="J1189" s="542"/>
      <c r="K1189" s="126" t="s">
        <v>3690</v>
      </c>
      <c r="L1189" s="127"/>
      <c r="M1189" s="114" t="s">
        <v>3695</v>
      </c>
      <c r="N1189" s="115"/>
      <c r="O1189" s="116"/>
      <c r="P1189" s="173" t="s">
        <v>3692</v>
      </c>
      <c r="Q1189" s="174"/>
      <c r="R1189" s="486">
        <v>36</v>
      </c>
      <c r="S1189" s="487"/>
      <c r="T1189" s="183">
        <v>15</v>
      </c>
      <c r="U1189" s="185"/>
      <c r="V1189" s="173" t="s">
        <v>3696</v>
      </c>
      <c r="W1189" s="174"/>
      <c r="X1189" s="311"/>
      <c r="Y1189" s="312"/>
      <c r="Z1189" s="313"/>
      <c r="AA1189" s="272"/>
      <c r="AB1189" s="273"/>
      <c r="AC1189" s="126"/>
      <c r="AD1189" s="127"/>
      <c r="AE1189" s="31"/>
      <c r="AF1189" s="167"/>
      <c r="AG1189" s="168"/>
      <c r="AH1189" s="169"/>
      <c r="AI1189" s="167"/>
      <c r="AJ1189" s="48"/>
      <c r="AK1189" s="15"/>
      <c r="AL1189" s="15"/>
    </row>
    <row r="1190" spans="1:38" ht="120" x14ac:dyDescent="0.3">
      <c r="A1190" s="230"/>
      <c r="B1190" s="290"/>
      <c r="C1190" s="345"/>
      <c r="D1190" s="291"/>
      <c r="E1190" s="28" t="s">
        <v>3697</v>
      </c>
      <c r="F1190" s="194"/>
      <c r="G1190" s="197"/>
      <c r="H1190" s="195"/>
      <c r="I1190" s="540" t="s">
        <v>1515</v>
      </c>
      <c r="J1190" s="542"/>
      <c r="K1190" s="117" t="s">
        <v>3690</v>
      </c>
      <c r="L1190" s="118"/>
      <c r="M1190" s="114" t="s">
        <v>3698</v>
      </c>
      <c r="N1190" s="115"/>
      <c r="O1190" s="116"/>
      <c r="P1190" s="173" t="s">
        <v>3692</v>
      </c>
      <c r="Q1190" s="174"/>
      <c r="R1190" s="486">
        <v>36</v>
      </c>
      <c r="S1190" s="487"/>
      <c r="T1190" s="183">
        <v>15</v>
      </c>
      <c r="U1190" s="185"/>
      <c r="V1190" s="173" t="s">
        <v>3699</v>
      </c>
      <c r="W1190" s="174"/>
      <c r="X1190" s="255"/>
      <c r="Y1190" s="256"/>
      <c r="Z1190" s="257"/>
      <c r="AA1190" s="194"/>
      <c r="AB1190" s="195"/>
      <c r="AC1190" s="117"/>
      <c r="AD1190" s="118"/>
      <c r="AE1190" s="31"/>
      <c r="AF1190" s="214"/>
      <c r="AG1190" s="215"/>
      <c r="AH1190" s="216"/>
      <c r="AI1190" s="167"/>
      <c r="AJ1190" s="48"/>
      <c r="AK1190" s="15"/>
      <c r="AL1190" s="15"/>
    </row>
    <row r="1191" spans="1:38" ht="90" x14ac:dyDescent="0.3">
      <c r="A1191" s="178"/>
      <c r="B1191" s="303" t="s">
        <v>3700</v>
      </c>
      <c r="C1191" s="344"/>
      <c r="D1191" s="304"/>
      <c r="E1191" s="66" t="s">
        <v>3701</v>
      </c>
      <c r="F1191" s="233" t="s">
        <v>3702</v>
      </c>
      <c r="G1191" s="305"/>
      <c r="H1191" s="234"/>
      <c r="I1191" s="143" t="s">
        <v>3489</v>
      </c>
      <c r="J1191" s="145"/>
      <c r="K1191" s="143" t="s">
        <v>3703</v>
      </c>
      <c r="L1191" s="145"/>
      <c r="M1191" s="387">
        <v>240</v>
      </c>
      <c r="N1191" s="495"/>
      <c r="O1191" s="388"/>
      <c r="P1191" s="112">
        <v>10</v>
      </c>
      <c r="Q1191" s="113"/>
      <c r="R1191" s="88" t="s">
        <v>977</v>
      </c>
      <c r="S1191" s="89"/>
      <c r="T1191" s="112">
        <v>12</v>
      </c>
      <c r="U1191" s="113"/>
      <c r="V1191" s="491" t="s">
        <v>3704</v>
      </c>
      <c r="W1191" s="492"/>
      <c r="X1191" s="294">
        <v>290</v>
      </c>
      <c r="Y1191" s="295"/>
      <c r="Z1191" s="296"/>
      <c r="AA1191" s="233" t="s">
        <v>3705</v>
      </c>
      <c r="AB1191" s="234"/>
      <c r="AC1191" s="171" t="s">
        <v>3194</v>
      </c>
      <c r="AD1191" s="172"/>
      <c r="AE1191" s="16" t="s">
        <v>3708</v>
      </c>
      <c r="AF1191" s="164"/>
      <c r="AG1191" s="165"/>
      <c r="AH1191" s="166"/>
      <c r="AI1191" s="167"/>
      <c r="AJ1191" s="271"/>
      <c r="AK1191" s="15"/>
      <c r="AL1191" s="15"/>
    </row>
    <row r="1192" spans="1:38" ht="45" x14ac:dyDescent="0.3">
      <c r="A1192" s="179"/>
      <c r="B1192" s="292"/>
      <c r="C1192" s="314"/>
      <c r="D1192" s="293"/>
      <c r="E1192" s="67"/>
      <c r="F1192" s="235"/>
      <c r="G1192" s="270"/>
      <c r="H1192" s="236"/>
      <c r="I1192" s="104" t="s">
        <v>3489</v>
      </c>
      <c r="J1192" s="105"/>
      <c r="K1192" s="104" t="s">
        <v>3703</v>
      </c>
      <c r="L1192" s="105"/>
      <c r="M1192" s="389"/>
      <c r="N1192" s="496"/>
      <c r="O1192" s="390"/>
      <c r="P1192" s="155">
        <v>10</v>
      </c>
      <c r="Q1192" s="157"/>
      <c r="R1192" s="126" t="s">
        <v>977</v>
      </c>
      <c r="S1192" s="127"/>
      <c r="T1192" s="155">
        <v>12</v>
      </c>
      <c r="U1192" s="157"/>
      <c r="V1192" s="493"/>
      <c r="W1192" s="494"/>
      <c r="X1192" s="297"/>
      <c r="Y1192" s="298"/>
      <c r="Z1192" s="299"/>
      <c r="AA1192" s="235"/>
      <c r="AB1192" s="236"/>
      <c r="AC1192" s="162" t="s">
        <v>3706</v>
      </c>
      <c r="AD1192" s="163"/>
      <c r="AE1192" s="43" t="s">
        <v>1356</v>
      </c>
      <c r="AF1192" s="167"/>
      <c r="AG1192" s="168"/>
      <c r="AH1192" s="169"/>
      <c r="AI1192" s="167"/>
      <c r="AJ1192" s="271"/>
      <c r="AK1192" s="15"/>
      <c r="AL1192" s="15"/>
    </row>
    <row r="1193" spans="1:38" ht="60" x14ac:dyDescent="0.3">
      <c r="A1193" s="230"/>
      <c r="B1193" s="290"/>
      <c r="C1193" s="345"/>
      <c r="D1193" s="291"/>
      <c r="E1193" s="19" t="s">
        <v>3710</v>
      </c>
      <c r="F1193" s="237"/>
      <c r="G1193" s="306"/>
      <c r="H1193" s="238"/>
      <c r="I1193" s="146"/>
      <c r="J1193" s="148"/>
      <c r="K1193" s="146"/>
      <c r="L1193" s="148"/>
      <c r="M1193" s="349">
        <v>240</v>
      </c>
      <c r="N1193" s="423"/>
      <c r="O1193" s="350"/>
      <c r="P1193" s="160"/>
      <c r="Q1193" s="161"/>
      <c r="R1193" s="117"/>
      <c r="S1193" s="118"/>
      <c r="T1193" s="160"/>
      <c r="U1193" s="161"/>
      <c r="V1193" s="332" t="s">
        <v>3704</v>
      </c>
      <c r="W1193" s="333"/>
      <c r="X1193" s="300"/>
      <c r="Y1193" s="301"/>
      <c r="Z1193" s="302"/>
      <c r="AA1193" s="237"/>
      <c r="AB1193" s="238"/>
      <c r="AC1193" s="212" t="s">
        <v>3707</v>
      </c>
      <c r="AD1193" s="213"/>
      <c r="AE1193" s="43" t="s">
        <v>3709</v>
      </c>
      <c r="AF1193" s="214"/>
      <c r="AG1193" s="215"/>
      <c r="AH1193" s="216"/>
      <c r="AI1193" s="167"/>
      <c r="AJ1193" s="48"/>
      <c r="AK1193" s="15"/>
      <c r="AL1193" s="15"/>
    </row>
    <row r="1194" spans="1:38" ht="105" x14ac:dyDescent="0.3">
      <c r="A1194" s="178"/>
      <c r="B1194" s="303" t="s">
        <v>3711</v>
      </c>
      <c r="C1194" s="344"/>
      <c r="D1194" s="304"/>
      <c r="E1194" s="19" t="s">
        <v>3712</v>
      </c>
      <c r="F1194" s="233" t="s">
        <v>3713</v>
      </c>
      <c r="G1194" s="305"/>
      <c r="H1194" s="234"/>
      <c r="I1194" s="143" t="s">
        <v>1289</v>
      </c>
      <c r="J1194" s="145"/>
      <c r="K1194" s="88" t="s">
        <v>3714</v>
      </c>
      <c r="L1194" s="89"/>
      <c r="M1194" s="332" t="s">
        <v>3715</v>
      </c>
      <c r="N1194" s="374"/>
      <c r="O1194" s="333"/>
      <c r="P1194" s="332" t="s">
        <v>3716</v>
      </c>
      <c r="Q1194" s="333"/>
      <c r="R1194" s="112">
        <v>23</v>
      </c>
      <c r="S1194" s="113"/>
      <c r="T1194" s="349">
        <v>10</v>
      </c>
      <c r="U1194" s="350"/>
      <c r="V1194" s="332" t="s">
        <v>3717</v>
      </c>
      <c r="W1194" s="333"/>
      <c r="X1194" s="294">
        <v>289</v>
      </c>
      <c r="Y1194" s="295"/>
      <c r="Z1194" s="296"/>
      <c r="AA1194" s="233" t="s">
        <v>1338</v>
      </c>
      <c r="AB1194" s="234"/>
      <c r="AC1194" s="171" t="s">
        <v>3194</v>
      </c>
      <c r="AD1194" s="172"/>
      <c r="AE1194" s="24" t="s">
        <v>3720</v>
      </c>
      <c r="AF1194" s="164"/>
      <c r="AG1194" s="165"/>
      <c r="AH1194" s="166"/>
      <c r="AI1194" s="167"/>
      <c r="AJ1194" s="48"/>
      <c r="AK1194" s="15"/>
      <c r="AL1194" s="15"/>
    </row>
    <row r="1195" spans="1:38" ht="75" x14ac:dyDescent="0.3">
      <c r="A1195" s="179"/>
      <c r="B1195" s="292"/>
      <c r="C1195" s="314"/>
      <c r="D1195" s="293"/>
      <c r="E1195" s="19" t="s">
        <v>3722</v>
      </c>
      <c r="F1195" s="235"/>
      <c r="G1195" s="270"/>
      <c r="H1195" s="236"/>
      <c r="I1195" s="104" t="s">
        <v>1289</v>
      </c>
      <c r="J1195" s="105"/>
      <c r="K1195" s="126" t="s">
        <v>3714</v>
      </c>
      <c r="L1195" s="127"/>
      <c r="M1195" s="332" t="s">
        <v>3723</v>
      </c>
      <c r="N1195" s="374"/>
      <c r="O1195" s="333"/>
      <c r="P1195" s="332" t="s">
        <v>3716</v>
      </c>
      <c r="Q1195" s="333"/>
      <c r="R1195" s="155">
        <v>23</v>
      </c>
      <c r="S1195" s="157"/>
      <c r="T1195" s="349">
        <v>10</v>
      </c>
      <c r="U1195" s="350"/>
      <c r="V1195" s="332" t="s">
        <v>3724</v>
      </c>
      <c r="W1195" s="333"/>
      <c r="X1195" s="297"/>
      <c r="Y1195" s="298"/>
      <c r="Z1195" s="299"/>
      <c r="AA1195" s="235"/>
      <c r="AB1195" s="236"/>
      <c r="AC1195" s="162" t="s">
        <v>3718</v>
      </c>
      <c r="AD1195" s="163"/>
      <c r="AE1195" s="31" t="s">
        <v>1356</v>
      </c>
      <c r="AF1195" s="167"/>
      <c r="AG1195" s="168"/>
      <c r="AH1195" s="169"/>
      <c r="AI1195" s="167"/>
      <c r="AJ1195" s="48"/>
      <c r="AK1195" s="15"/>
      <c r="AL1195" s="15"/>
    </row>
    <row r="1196" spans="1:38" ht="90" x14ac:dyDescent="0.3">
      <c r="A1196" s="179"/>
      <c r="B1196" s="292"/>
      <c r="C1196" s="314"/>
      <c r="D1196" s="293"/>
      <c r="E1196" s="19" t="s">
        <v>3725</v>
      </c>
      <c r="F1196" s="235"/>
      <c r="G1196" s="270"/>
      <c r="H1196" s="236"/>
      <c r="I1196" s="104" t="s">
        <v>1289</v>
      </c>
      <c r="J1196" s="105"/>
      <c r="K1196" s="126" t="s">
        <v>3714</v>
      </c>
      <c r="L1196" s="127"/>
      <c r="M1196" s="332" t="s">
        <v>3715</v>
      </c>
      <c r="N1196" s="374"/>
      <c r="O1196" s="333"/>
      <c r="P1196" s="332" t="s">
        <v>3716</v>
      </c>
      <c r="Q1196" s="333"/>
      <c r="R1196" s="155">
        <v>23</v>
      </c>
      <c r="S1196" s="157"/>
      <c r="T1196" s="349">
        <v>10</v>
      </c>
      <c r="U1196" s="350"/>
      <c r="V1196" s="332" t="s">
        <v>3717</v>
      </c>
      <c r="W1196" s="333"/>
      <c r="X1196" s="297"/>
      <c r="Y1196" s="298"/>
      <c r="Z1196" s="299"/>
      <c r="AA1196" s="235"/>
      <c r="AB1196" s="236"/>
      <c r="AC1196" s="162" t="s">
        <v>3719</v>
      </c>
      <c r="AD1196" s="163"/>
      <c r="AE1196" s="31" t="s">
        <v>3721</v>
      </c>
      <c r="AF1196" s="167"/>
      <c r="AG1196" s="168"/>
      <c r="AH1196" s="169"/>
      <c r="AI1196" s="167"/>
      <c r="AJ1196" s="48"/>
      <c r="AK1196" s="15"/>
      <c r="AL1196" s="15"/>
    </row>
    <row r="1197" spans="1:38" ht="90" x14ac:dyDescent="0.3">
      <c r="A1197" s="230"/>
      <c r="B1197" s="290"/>
      <c r="C1197" s="345"/>
      <c r="D1197" s="291"/>
      <c r="E1197" s="19" t="s">
        <v>3726</v>
      </c>
      <c r="F1197" s="237"/>
      <c r="G1197" s="306"/>
      <c r="H1197" s="238"/>
      <c r="I1197" s="146" t="s">
        <v>1289</v>
      </c>
      <c r="J1197" s="148"/>
      <c r="K1197" s="117" t="s">
        <v>3714</v>
      </c>
      <c r="L1197" s="118"/>
      <c r="M1197" s="332" t="s">
        <v>3723</v>
      </c>
      <c r="N1197" s="374"/>
      <c r="O1197" s="333"/>
      <c r="P1197" s="332" t="s">
        <v>3716</v>
      </c>
      <c r="Q1197" s="333"/>
      <c r="R1197" s="160">
        <v>23</v>
      </c>
      <c r="S1197" s="161"/>
      <c r="T1197" s="349">
        <v>10</v>
      </c>
      <c r="U1197" s="350"/>
      <c r="V1197" s="332" t="s">
        <v>3724</v>
      </c>
      <c r="W1197" s="333"/>
      <c r="X1197" s="300"/>
      <c r="Y1197" s="301"/>
      <c r="Z1197" s="302"/>
      <c r="AA1197" s="237"/>
      <c r="AB1197" s="238"/>
      <c r="AC1197" s="212"/>
      <c r="AD1197" s="213"/>
      <c r="AE1197" s="31"/>
      <c r="AF1197" s="214"/>
      <c r="AG1197" s="215"/>
      <c r="AH1197" s="216"/>
      <c r="AI1197" s="167"/>
      <c r="AJ1197" s="48"/>
      <c r="AK1197" s="15"/>
      <c r="AL1197" s="15"/>
    </row>
    <row r="1198" spans="1:38" ht="135" x14ac:dyDescent="0.25">
      <c r="A1198" s="178"/>
      <c r="B1198" s="303" t="s">
        <v>3727</v>
      </c>
      <c r="C1198" s="344"/>
      <c r="D1198" s="304"/>
      <c r="E1198" s="28" t="s">
        <v>3728</v>
      </c>
      <c r="F1198" s="233" t="s">
        <v>3729</v>
      </c>
      <c r="G1198" s="305"/>
      <c r="H1198" s="234"/>
      <c r="I1198" s="143" t="s">
        <v>688</v>
      </c>
      <c r="J1198" s="145"/>
      <c r="K1198" s="143" t="s">
        <v>3730</v>
      </c>
      <c r="L1198" s="145"/>
      <c r="M1198" s="173" t="s">
        <v>3731</v>
      </c>
      <c r="N1198" s="276"/>
      <c r="O1198" s="174"/>
      <c r="P1198" s="173" t="s">
        <v>889</v>
      </c>
      <c r="Q1198" s="174"/>
      <c r="R1198" s="88" t="s">
        <v>1742</v>
      </c>
      <c r="S1198" s="89"/>
      <c r="T1198" s="183">
        <v>5</v>
      </c>
      <c r="U1198" s="185"/>
      <c r="V1198" s="173" t="s">
        <v>3732</v>
      </c>
      <c r="W1198" s="174"/>
      <c r="X1198" s="294">
        <v>39</v>
      </c>
      <c r="Y1198" s="295"/>
      <c r="Z1198" s="296"/>
      <c r="AA1198" s="233" t="s">
        <v>3733</v>
      </c>
      <c r="AB1198" s="234"/>
      <c r="AC1198" s="171" t="s">
        <v>3194</v>
      </c>
      <c r="AD1198" s="172"/>
      <c r="AE1198" s="25" t="s">
        <v>3736</v>
      </c>
      <c r="AF1198" s="164"/>
      <c r="AG1198" s="165"/>
      <c r="AH1198" s="166"/>
      <c r="AI1198" s="167"/>
      <c r="AJ1198" s="48"/>
      <c r="AK1198" s="15"/>
      <c r="AL1198" s="15"/>
    </row>
    <row r="1199" spans="1:38" ht="75" x14ac:dyDescent="0.25">
      <c r="A1199" s="179"/>
      <c r="B1199" s="292"/>
      <c r="C1199" s="314"/>
      <c r="D1199" s="293"/>
      <c r="E1199" s="28" t="s">
        <v>3739</v>
      </c>
      <c r="F1199" s="235"/>
      <c r="G1199" s="270"/>
      <c r="H1199" s="236"/>
      <c r="I1199" s="104" t="s">
        <v>688</v>
      </c>
      <c r="J1199" s="105"/>
      <c r="K1199" s="104" t="s">
        <v>3730</v>
      </c>
      <c r="L1199" s="105"/>
      <c r="M1199" s="173" t="s">
        <v>3740</v>
      </c>
      <c r="N1199" s="276"/>
      <c r="O1199" s="174"/>
      <c r="P1199" s="173" t="s">
        <v>889</v>
      </c>
      <c r="Q1199" s="174"/>
      <c r="R1199" s="126" t="s">
        <v>1742</v>
      </c>
      <c r="S1199" s="127"/>
      <c r="T1199" s="183">
        <v>5</v>
      </c>
      <c r="U1199" s="185"/>
      <c r="V1199" s="173" t="s">
        <v>3469</v>
      </c>
      <c r="W1199" s="174"/>
      <c r="X1199" s="297"/>
      <c r="Y1199" s="298"/>
      <c r="Z1199" s="299"/>
      <c r="AA1199" s="235"/>
      <c r="AB1199" s="236"/>
      <c r="AC1199" s="162" t="s">
        <v>3734</v>
      </c>
      <c r="AD1199" s="163"/>
      <c r="AE1199" s="32" t="s">
        <v>3737</v>
      </c>
      <c r="AF1199" s="167"/>
      <c r="AG1199" s="168"/>
      <c r="AH1199" s="169"/>
      <c r="AI1199" s="167"/>
      <c r="AJ1199" s="48"/>
      <c r="AK1199" s="15"/>
      <c r="AL1199" s="15"/>
    </row>
    <row r="1200" spans="1:38" ht="75" x14ac:dyDescent="0.25">
      <c r="A1200" s="179"/>
      <c r="B1200" s="292"/>
      <c r="C1200" s="314"/>
      <c r="D1200" s="293"/>
      <c r="E1200" s="28" t="s">
        <v>3741</v>
      </c>
      <c r="F1200" s="237"/>
      <c r="G1200" s="306"/>
      <c r="H1200" s="238"/>
      <c r="I1200" s="146" t="s">
        <v>688</v>
      </c>
      <c r="J1200" s="148"/>
      <c r="K1200" s="146" t="s">
        <v>3730</v>
      </c>
      <c r="L1200" s="148"/>
      <c r="M1200" s="180" t="s">
        <v>3742</v>
      </c>
      <c r="N1200" s="450"/>
      <c r="O1200" s="181"/>
      <c r="P1200" s="173" t="s">
        <v>889</v>
      </c>
      <c r="Q1200" s="174"/>
      <c r="R1200" s="117" t="s">
        <v>1742</v>
      </c>
      <c r="S1200" s="118"/>
      <c r="T1200" s="183">
        <v>5</v>
      </c>
      <c r="U1200" s="185"/>
      <c r="V1200" s="180" t="s">
        <v>3743</v>
      </c>
      <c r="W1200" s="181"/>
      <c r="X1200" s="300"/>
      <c r="Y1200" s="301"/>
      <c r="Z1200" s="302"/>
      <c r="AA1200" s="237"/>
      <c r="AB1200" s="238"/>
      <c r="AC1200" s="162" t="s">
        <v>2211</v>
      </c>
      <c r="AD1200" s="163"/>
      <c r="AE1200" s="32" t="s">
        <v>3738</v>
      </c>
      <c r="AF1200" s="167"/>
      <c r="AG1200" s="168"/>
      <c r="AH1200" s="169"/>
      <c r="AI1200" s="167"/>
      <c r="AJ1200" s="48"/>
      <c r="AK1200" s="15"/>
      <c r="AL1200" s="15"/>
    </row>
    <row r="1201" spans="1:38" ht="75" x14ac:dyDescent="0.25">
      <c r="A1201" s="179"/>
      <c r="B1201" s="292"/>
      <c r="C1201" s="314"/>
      <c r="D1201" s="293"/>
      <c r="E1201" s="28" t="s">
        <v>3744</v>
      </c>
      <c r="F1201" s="233" t="s">
        <v>3745</v>
      </c>
      <c r="G1201" s="305"/>
      <c r="H1201" s="234"/>
      <c r="I1201" s="143" t="s">
        <v>879</v>
      </c>
      <c r="J1201" s="145"/>
      <c r="K1201" s="143" t="s">
        <v>3746</v>
      </c>
      <c r="L1201" s="145"/>
      <c r="M1201" s="173" t="s">
        <v>3747</v>
      </c>
      <c r="N1201" s="276"/>
      <c r="O1201" s="174"/>
      <c r="P1201" s="173" t="s">
        <v>3748</v>
      </c>
      <c r="Q1201" s="174"/>
      <c r="R1201" s="88" t="s">
        <v>1764</v>
      </c>
      <c r="S1201" s="89"/>
      <c r="T1201" s="183">
        <v>5</v>
      </c>
      <c r="U1201" s="185"/>
      <c r="V1201" s="173" t="s">
        <v>3749</v>
      </c>
      <c r="W1201" s="174"/>
      <c r="X1201" s="294">
        <v>49</v>
      </c>
      <c r="Y1201" s="295"/>
      <c r="Z1201" s="296"/>
      <c r="AA1201" s="233" t="s">
        <v>1537</v>
      </c>
      <c r="AB1201" s="234"/>
      <c r="AC1201" s="162" t="s">
        <v>3735</v>
      </c>
      <c r="AD1201" s="163"/>
      <c r="AE1201" s="32"/>
      <c r="AF1201" s="167"/>
      <c r="AG1201" s="168"/>
      <c r="AH1201" s="169"/>
      <c r="AI1201" s="167"/>
      <c r="AJ1201" s="48"/>
      <c r="AK1201" s="15"/>
      <c r="AL1201" s="15"/>
    </row>
    <row r="1202" spans="1:38" ht="75" x14ac:dyDescent="0.25">
      <c r="A1202" s="179"/>
      <c r="B1202" s="292"/>
      <c r="C1202" s="314"/>
      <c r="D1202" s="293"/>
      <c r="E1202" s="28" t="s">
        <v>3750</v>
      </c>
      <c r="F1202" s="235"/>
      <c r="G1202" s="270"/>
      <c r="H1202" s="236"/>
      <c r="I1202" s="104" t="s">
        <v>879</v>
      </c>
      <c r="J1202" s="105"/>
      <c r="K1202" s="104" t="s">
        <v>3746</v>
      </c>
      <c r="L1202" s="105"/>
      <c r="M1202" s="173" t="s">
        <v>2497</v>
      </c>
      <c r="N1202" s="276"/>
      <c r="O1202" s="174"/>
      <c r="P1202" s="173" t="s">
        <v>3748</v>
      </c>
      <c r="Q1202" s="174"/>
      <c r="R1202" s="126" t="s">
        <v>1764</v>
      </c>
      <c r="S1202" s="127"/>
      <c r="T1202" s="183">
        <v>5</v>
      </c>
      <c r="U1202" s="185"/>
      <c r="V1202" s="173" t="s">
        <v>1479</v>
      </c>
      <c r="W1202" s="174"/>
      <c r="X1202" s="297"/>
      <c r="Y1202" s="298"/>
      <c r="Z1202" s="299"/>
      <c r="AA1202" s="235"/>
      <c r="AB1202" s="236"/>
      <c r="AC1202" s="162"/>
      <c r="AD1202" s="163"/>
      <c r="AE1202" s="32"/>
      <c r="AF1202" s="167"/>
      <c r="AG1202" s="168"/>
      <c r="AH1202" s="169"/>
      <c r="AI1202" s="167"/>
      <c r="AJ1202" s="48"/>
      <c r="AK1202" s="15"/>
      <c r="AL1202" s="15"/>
    </row>
    <row r="1203" spans="1:38" ht="90" x14ac:dyDescent="0.25">
      <c r="A1203" s="179"/>
      <c r="B1203" s="292"/>
      <c r="C1203" s="314"/>
      <c r="D1203" s="293"/>
      <c r="E1203" s="28" t="s">
        <v>3751</v>
      </c>
      <c r="F1203" s="237"/>
      <c r="G1203" s="306"/>
      <c r="H1203" s="238"/>
      <c r="I1203" s="146" t="s">
        <v>879</v>
      </c>
      <c r="J1203" s="148"/>
      <c r="K1203" s="146" t="s">
        <v>3746</v>
      </c>
      <c r="L1203" s="148"/>
      <c r="M1203" s="180" t="s">
        <v>3752</v>
      </c>
      <c r="N1203" s="450"/>
      <c r="O1203" s="181"/>
      <c r="P1203" s="173" t="s">
        <v>3748</v>
      </c>
      <c r="Q1203" s="174"/>
      <c r="R1203" s="117" t="s">
        <v>1764</v>
      </c>
      <c r="S1203" s="118"/>
      <c r="T1203" s="183">
        <v>5</v>
      </c>
      <c r="U1203" s="185"/>
      <c r="V1203" s="180" t="s">
        <v>3753</v>
      </c>
      <c r="W1203" s="181"/>
      <c r="X1203" s="300"/>
      <c r="Y1203" s="301"/>
      <c r="Z1203" s="302"/>
      <c r="AA1203" s="237"/>
      <c r="AB1203" s="238"/>
      <c r="AC1203" s="162"/>
      <c r="AD1203" s="163"/>
      <c r="AE1203" s="32"/>
      <c r="AF1203" s="167"/>
      <c r="AG1203" s="168"/>
      <c r="AH1203" s="169"/>
      <c r="AI1203" s="167"/>
      <c r="AJ1203" s="48"/>
      <c r="AK1203" s="15"/>
      <c r="AL1203" s="15"/>
    </row>
    <row r="1204" spans="1:38" ht="75" x14ac:dyDescent="0.25">
      <c r="A1204" s="179"/>
      <c r="B1204" s="292"/>
      <c r="C1204" s="314"/>
      <c r="D1204" s="293"/>
      <c r="E1204" s="28" t="s">
        <v>3754</v>
      </c>
      <c r="F1204" s="233" t="s">
        <v>3755</v>
      </c>
      <c r="G1204" s="305"/>
      <c r="H1204" s="234"/>
      <c r="I1204" s="143" t="s">
        <v>842</v>
      </c>
      <c r="J1204" s="145"/>
      <c r="K1204" s="143" t="s">
        <v>3756</v>
      </c>
      <c r="L1204" s="145"/>
      <c r="M1204" s="173" t="s">
        <v>3757</v>
      </c>
      <c r="N1204" s="276"/>
      <c r="O1204" s="174"/>
      <c r="P1204" s="173" t="s">
        <v>3758</v>
      </c>
      <c r="Q1204" s="174"/>
      <c r="R1204" s="88" t="s">
        <v>1463</v>
      </c>
      <c r="S1204" s="89"/>
      <c r="T1204" s="183">
        <v>5</v>
      </c>
      <c r="U1204" s="185"/>
      <c r="V1204" s="173" t="s">
        <v>3759</v>
      </c>
      <c r="W1204" s="174"/>
      <c r="X1204" s="294">
        <v>55</v>
      </c>
      <c r="Y1204" s="295"/>
      <c r="Z1204" s="296"/>
      <c r="AA1204" s="233" t="s">
        <v>1369</v>
      </c>
      <c r="AB1204" s="234"/>
      <c r="AC1204" s="162"/>
      <c r="AD1204" s="163"/>
      <c r="AE1204" s="32"/>
      <c r="AF1204" s="167"/>
      <c r="AG1204" s="168"/>
      <c r="AH1204" s="169"/>
      <c r="AI1204" s="167"/>
      <c r="AJ1204" s="48"/>
      <c r="AK1204" s="15"/>
      <c r="AL1204" s="15"/>
    </row>
    <row r="1205" spans="1:38" ht="75" x14ac:dyDescent="0.25">
      <c r="A1205" s="179"/>
      <c r="B1205" s="292"/>
      <c r="C1205" s="314"/>
      <c r="D1205" s="293"/>
      <c r="E1205" s="28" t="s">
        <v>3760</v>
      </c>
      <c r="F1205" s="235"/>
      <c r="G1205" s="270"/>
      <c r="H1205" s="236"/>
      <c r="I1205" s="104" t="s">
        <v>842</v>
      </c>
      <c r="J1205" s="105"/>
      <c r="K1205" s="104" t="s">
        <v>3756</v>
      </c>
      <c r="L1205" s="105"/>
      <c r="M1205" s="173" t="s">
        <v>3761</v>
      </c>
      <c r="N1205" s="276"/>
      <c r="O1205" s="174"/>
      <c r="P1205" s="173" t="s">
        <v>3758</v>
      </c>
      <c r="Q1205" s="174"/>
      <c r="R1205" s="126" t="s">
        <v>1463</v>
      </c>
      <c r="S1205" s="127"/>
      <c r="T1205" s="183">
        <v>5</v>
      </c>
      <c r="U1205" s="185"/>
      <c r="V1205" s="173" t="s">
        <v>3456</v>
      </c>
      <c r="W1205" s="174"/>
      <c r="X1205" s="297"/>
      <c r="Y1205" s="298"/>
      <c r="Z1205" s="299"/>
      <c r="AA1205" s="235"/>
      <c r="AB1205" s="236"/>
      <c r="AC1205" s="162"/>
      <c r="AD1205" s="163"/>
      <c r="AE1205" s="32"/>
      <c r="AF1205" s="167"/>
      <c r="AG1205" s="168"/>
      <c r="AH1205" s="169"/>
      <c r="AI1205" s="167"/>
      <c r="AJ1205" s="48"/>
      <c r="AK1205" s="15"/>
      <c r="AL1205" s="15"/>
    </row>
    <row r="1206" spans="1:38" ht="75" x14ac:dyDescent="0.25">
      <c r="A1206" s="179"/>
      <c r="B1206" s="292"/>
      <c r="C1206" s="314"/>
      <c r="D1206" s="293"/>
      <c r="E1206" s="28" t="s">
        <v>3762</v>
      </c>
      <c r="F1206" s="237"/>
      <c r="G1206" s="306"/>
      <c r="H1206" s="238"/>
      <c r="I1206" s="146" t="s">
        <v>842</v>
      </c>
      <c r="J1206" s="148"/>
      <c r="K1206" s="146" t="s">
        <v>3756</v>
      </c>
      <c r="L1206" s="148"/>
      <c r="M1206" s="180" t="s">
        <v>3763</v>
      </c>
      <c r="N1206" s="450"/>
      <c r="O1206" s="181"/>
      <c r="P1206" s="173" t="s">
        <v>3758</v>
      </c>
      <c r="Q1206" s="174"/>
      <c r="R1206" s="126" t="s">
        <v>1463</v>
      </c>
      <c r="S1206" s="127"/>
      <c r="T1206" s="183">
        <v>5</v>
      </c>
      <c r="U1206" s="185"/>
      <c r="V1206" s="173" t="s">
        <v>3764</v>
      </c>
      <c r="W1206" s="174"/>
      <c r="X1206" s="300"/>
      <c r="Y1206" s="301"/>
      <c r="Z1206" s="302"/>
      <c r="AA1206" s="237"/>
      <c r="AB1206" s="238"/>
      <c r="AC1206" s="162"/>
      <c r="AD1206" s="163"/>
      <c r="AE1206" s="32"/>
      <c r="AF1206" s="167"/>
      <c r="AG1206" s="168"/>
      <c r="AH1206" s="169"/>
      <c r="AI1206" s="167"/>
      <c r="AJ1206" s="48"/>
      <c r="AK1206" s="15"/>
      <c r="AL1206" s="15"/>
    </row>
    <row r="1207" spans="1:38" ht="75" x14ac:dyDescent="0.25">
      <c r="A1207" s="179"/>
      <c r="B1207" s="292"/>
      <c r="C1207" s="314"/>
      <c r="D1207" s="293"/>
      <c r="E1207" s="28" t="s">
        <v>3765</v>
      </c>
      <c r="F1207" s="233" t="s">
        <v>3766</v>
      </c>
      <c r="G1207" s="305"/>
      <c r="H1207" s="234"/>
      <c r="I1207" s="143" t="s">
        <v>1023</v>
      </c>
      <c r="J1207" s="145"/>
      <c r="K1207" s="143" t="s">
        <v>3767</v>
      </c>
      <c r="L1207" s="145"/>
      <c r="M1207" s="173" t="s">
        <v>3768</v>
      </c>
      <c r="N1207" s="276"/>
      <c r="O1207" s="174"/>
      <c r="P1207" s="173" t="s">
        <v>3769</v>
      </c>
      <c r="Q1207" s="174"/>
      <c r="R1207" s="547" t="s">
        <v>729</v>
      </c>
      <c r="S1207" s="548"/>
      <c r="T1207" s="183">
        <v>5</v>
      </c>
      <c r="U1207" s="185"/>
      <c r="V1207" s="173" t="s">
        <v>3770</v>
      </c>
      <c r="W1207" s="174"/>
      <c r="X1207" s="294">
        <v>59</v>
      </c>
      <c r="Y1207" s="295"/>
      <c r="Z1207" s="296"/>
      <c r="AA1207" s="233" t="s">
        <v>1751</v>
      </c>
      <c r="AB1207" s="234"/>
      <c r="AC1207" s="162"/>
      <c r="AD1207" s="163"/>
      <c r="AE1207" s="32"/>
      <c r="AF1207" s="167"/>
      <c r="AG1207" s="168"/>
      <c r="AH1207" s="169"/>
      <c r="AI1207" s="167"/>
      <c r="AJ1207" s="48"/>
      <c r="AK1207" s="15"/>
      <c r="AL1207" s="15"/>
    </row>
    <row r="1208" spans="1:38" ht="75" x14ac:dyDescent="0.25">
      <c r="A1208" s="179"/>
      <c r="B1208" s="292"/>
      <c r="C1208" s="314"/>
      <c r="D1208" s="293"/>
      <c r="E1208" s="28" t="s">
        <v>3771</v>
      </c>
      <c r="F1208" s="235"/>
      <c r="G1208" s="270"/>
      <c r="H1208" s="236"/>
      <c r="I1208" s="104" t="s">
        <v>1023</v>
      </c>
      <c r="J1208" s="105"/>
      <c r="K1208" s="104" t="s">
        <v>3767</v>
      </c>
      <c r="L1208" s="105"/>
      <c r="M1208" s="173" t="s">
        <v>3772</v>
      </c>
      <c r="N1208" s="276"/>
      <c r="O1208" s="174"/>
      <c r="P1208" s="173" t="s">
        <v>3769</v>
      </c>
      <c r="Q1208" s="174"/>
      <c r="R1208" s="547" t="s">
        <v>729</v>
      </c>
      <c r="S1208" s="548"/>
      <c r="T1208" s="183">
        <v>5</v>
      </c>
      <c r="U1208" s="185"/>
      <c r="V1208" s="173" t="s">
        <v>3586</v>
      </c>
      <c r="W1208" s="174"/>
      <c r="X1208" s="297"/>
      <c r="Y1208" s="298"/>
      <c r="Z1208" s="299"/>
      <c r="AA1208" s="235"/>
      <c r="AB1208" s="236"/>
      <c r="AC1208" s="162"/>
      <c r="AD1208" s="163"/>
      <c r="AE1208" s="32"/>
      <c r="AF1208" s="167"/>
      <c r="AG1208" s="168"/>
      <c r="AH1208" s="169"/>
      <c r="AI1208" s="167"/>
      <c r="AJ1208" s="48"/>
      <c r="AK1208" s="15"/>
      <c r="AL1208" s="15"/>
    </row>
    <row r="1209" spans="1:38" ht="75" x14ac:dyDescent="0.25">
      <c r="A1209" s="230"/>
      <c r="B1209" s="290"/>
      <c r="C1209" s="345"/>
      <c r="D1209" s="291"/>
      <c r="E1209" s="28" t="s">
        <v>3773</v>
      </c>
      <c r="F1209" s="237"/>
      <c r="G1209" s="306"/>
      <c r="H1209" s="238"/>
      <c r="I1209" s="146" t="s">
        <v>1023</v>
      </c>
      <c r="J1209" s="148"/>
      <c r="K1209" s="146" t="s">
        <v>3767</v>
      </c>
      <c r="L1209" s="148"/>
      <c r="M1209" s="180" t="s">
        <v>3774</v>
      </c>
      <c r="N1209" s="450"/>
      <c r="O1209" s="181"/>
      <c r="P1209" s="173" t="s">
        <v>3769</v>
      </c>
      <c r="Q1209" s="174"/>
      <c r="R1209" s="200" t="s">
        <v>729</v>
      </c>
      <c r="S1209" s="201"/>
      <c r="T1209" s="183">
        <v>5</v>
      </c>
      <c r="U1209" s="185"/>
      <c r="V1209" s="180" t="s">
        <v>3775</v>
      </c>
      <c r="W1209" s="181"/>
      <c r="X1209" s="300"/>
      <c r="Y1209" s="301"/>
      <c r="Z1209" s="302"/>
      <c r="AA1209" s="237"/>
      <c r="AB1209" s="238"/>
      <c r="AC1209" s="212"/>
      <c r="AD1209" s="213"/>
      <c r="AE1209" s="32"/>
      <c r="AF1209" s="214"/>
      <c r="AG1209" s="215"/>
      <c r="AH1209" s="216"/>
      <c r="AI1209" s="167"/>
      <c r="AJ1209" s="48"/>
      <c r="AK1209" s="15"/>
      <c r="AL1209" s="15"/>
    </row>
    <row r="1210" spans="1:38" ht="90" x14ac:dyDescent="0.3">
      <c r="A1210" s="178"/>
      <c r="B1210" s="303" t="s">
        <v>3776</v>
      </c>
      <c r="C1210" s="344"/>
      <c r="D1210" s="304"/>
      <c r="E1210" s="19" t="s">
        <v>3777</v>
      </c>
      <c r="F1210" s="233" t="s">
        <v>3778</v>
      </c>
      <c r="G1210" s="305"/>
      <c r="H1210" s="234"/>
      <c r="I1210" s="143" t="s">
        <v>729</v>
      </c>
      <c r="J1210" s="145"/>
      <c r="K1210" s="143" t="s">
        <v>3779</v>
      </c>
      <c r="L1210" s="145"/>
      <c r="M1210" s="332" t="s">
        <v>3780</v>
      </c>
      <c r="N1210" s="374"/>
      <c r="O1210" s="333"/>
      <c r="P1210" s="332" t="s">
        <v>1081</v>
      </c>
      <c r="Q1210" s="333"/>
      <c r="R1210" s="88" t="s">
        <v>977</v>
      </c>
      <c r="S1210" s="89"/>
      <c r="T1210" s="349">
        <v>9</v>
      </c>
      <c r="U1210" s="350"/>
      <c r="V1210" s="332" t="s">
        <v>3781</v>
      </c>
      <c r="W1210" s="333"/>
      <c r="X1210" s="294">
        <v>129</v>
      </c>
      <c r="Y1210" s="295"/>
      <c r="Z1210" s="296"/>
      <c r="AA1210" s="233" t="s">
        <v>1127</v>
      </c>
      <c r="AB1210" s="234"/>
      <c r="AC1210" s="223" t="s">
        <v>3194</v>
      </c>
      <c r="AD1210" s="224"/>
      <c r="AE1210" s="24" t="s">
        <v>3784</v>
      </c>
      <c r="AF1210" s="164"/>
      <c r="AG1210" s="165"/>
      <c r="AH1210" s="166"/>
      <c r="AI1210" s="167"/>
      <c r="AJ1210" s="48"/>
      <c r="AK1210" s="15"/>
      <c r="AL1210" s="15"/>
    </row>
    <row r="1211" spans="1:38" ht="90" x14ac:dyDescent="0.3">
      <c r="A1211" s="179"/>
      <c r="B1211" s="292"/>
      <c r="C1211" s="314"/>
      <c r="D1211" s="293"/>
      <c r="E1211" s="28" t="s">
        <v>3786</v>
      </c>
      <c r="F1211" s="235"/>
      <c r="G1211" s="270"/>
      <c r="H1211" s="236"/>
      <c r="I1211" s="104" t="s">
        <v>729</v>
      </c>
      <c r="J1211" s="105"/>
      <c r="K1211" s="104" t="s">
        <v>3779</v>
      </c>
      <c r="L1211" s="105"/>
      <c r="M1211" s="173" t="s">
        <v>3479</v>
      </c>
      <c r="N1211" s="276"/>
      <c r="O1211" s="174"/>
      <c r="P1211" s="173" t="s">
        <v>1081</v>
      </c>
      <c r="Q1211" s="174"/>
      <c r="R1211" s="126" t="s">
        <v>977</v>
      </c>
      <c r="S1211" s="127"/>
      <c r="T1211" s="183">
        <v>9</v>
      </c>
      <c r="U1211" s="185"/>
      <c r="V1211" s="173" t="s">
        <v>3525</v>
      </c>
      <c r="W1211" s="174"/>
      <c r="X1211" s="297"/>
      <c r="Y1211" s="298"/>
      <c r="Z1211" s="299"/>
      <c r="AA1211" s="235"/>
      <c r="AB1211" s="236"/>
      <c r="AC1211" s="239" t="s">
        <v>3782</v>
      </c>
      <c r="AD1211" s="240"/>
      <c r="AE1211" s="31" t="s">
        <v>848</v>
      </c>
      <c r="AF1211" s="167"/>
      <c r="AG1211" s="168"/>
      <c r="AH1211" s="169"/>
      <c r="AI1211" s="167"/>
      <c r="AJ1211" s="48"/>
      <c r="AK1211" s="15"/>
      <c r="AL1211" s="15"/>
    </row>
    <row r="1212" spans="1:38" ht="90" x14ac:dyDescent="0.3">
      <c r="A1212" s="179"/>
      <c r="B1212" s="292"/>
      <c r="C1212" s="314"/>
      <c r="D1212" s="293"/>
      <c r="E1212" s="28" t="s">
        <v>3787</v>
      </c>
      <c r="F1212" s="235"/>
      <c r="G1212" s="270"/>
      <c r="H1212" s="236"/>
      <c r="I1212" s="104" t="s">
        <v>729</v>
      </c>
      <c r="J1212" s="105"/>
      <c r="K1212" s="104" t="s">
        <v>3779</v>
      </c>
      <c r="L1212" s="105"/>
      <c r="M1212" s="173" t="s">
        <v>3788</v>
      </c>
      <c r="N1212" s="276"/>
      <c r="O1212" s="174"/>
      <c r="P1212" s="173" t="s">
        <v>1081</v>
      </c>
      <c r="Q1212" s="174"/>
      <c r="R1212" s="126" t="s">
        <v>977</v>
      </c>
      <c r="S1212" s="127"/>
      <c r="T1212" s="183">
        <v>9</v>
      </c>
      <c r="U1212" s="185"/>
      <c r="V1212" s="173" t="s">
        <v>2969</v>
      </c>
      <c r="W1212" s="174"/>
      <c r="X1212" s="297"/>
      <c r="Y1212" s="298"/>
      <c r="Z1212" s="299"/>
      <c r="AA1212" s="235"/>
      <c r="AB1212" s="236"/>
      <c r="AC1212" s="239" t="s">
        <v>2211</v>
      </c>
      <c r="AD1212" s="240"/>
      <c r="AE1212" s="31" t="s">
        <v>1356</v>
      </c>
      <c r="AF1212" s="167"/>
      <c r="AG1212" s="168"/>
      <c r="AH1212" s="169"/>
      <c r="AI1212" s="167"/>
      <c r="AJ1212" s="48"/>
      <c r="AK1212" s="15"/>
      <c r="AL1212" s="15"/>
    </row>
    <row r="1213" spans="1:38" ht="90" x14ac:dyDescent="0.3">
      <c r="A1213" s="179"/>
      <c r="B1213" s="292"/>
      <c r="C1213" s="314"/>
      <c r="D1213" s="293"/>
      <c r="E1213" s="28" t="s">
        <v>3789</v>
      </c>
      <c r="F1213" s="235"/>
      <c r="G1213" s="270"/>
      <c r="H1213" s="236"/>
      <c r="I1213" s="104" t="s">
        <v>729</v>
      </c>
      <c r="J1213" s="105"/>
      <c r="K1213" s="104" t="s">
        <v>3779</v>
      </c>
      <c r="L1213" s="105"/>
      <c r="M1213" s="173" t="s">
        <v>3780</v>
      </c>
      <c r="N1213" s="276"/>
      <c r="O1213" s="174"/>
      <c r="P1213" s="173" t="s">
        <v>1081</v>
      </c>
      <c r="Q1213" s="174"/>
      <c r="R1213" s="126" t="s">
        <v>977</v>
      </c>
      <c r="S1213" s="127"/>
      <c r="T1213" s="183">
        <v>9</v>
      </c>
      <c r="U1213" s="185"/>
      <c r="V1213" s="173" t="s">
        <v>3781</v>
      </c>
      <c r="W1213" s="174"/>
      <c r="X1213" s="297"/>
      <c r="Y1213" s="298"/>
      <c r="Z1213" s="299"/>
      <c r="AA1213" s="235"/>
      <c r="AB1213" s="236"/>
      <c r="AC1213" s="239" t="s">
        <v>3783</v>
      </c>
      <c r="AD1213" s="240"/>
      <c r="AE1213" s="31" t="s">
        <v>3785</v>
      </c>
      <c r="AF1213" s="167"/>
      <c r="AG1213" s="168"/>
      <c r="AH1213" s="169"/>
      <c r="AI1213" s="167"/>
      <c r="AJ1213" s="48"/>
      <c r="AK1213" s="15"/>
      <c r="AL1213" s="15"/>
    </row>
    <row r="1214" spans="1:38" ht="90" x14ac:dyDescent="0.3">
      <c r="A1214" s="179"/>
      <c r="B1214" s="292"/>
      <c r="C1214" s="314"/>
      <c r="D1214" s="293"/>
      <c r="E1214" s="28" t="s">
        <v>3790</v>
      </c>
      <c r="F1214" s="235"/>
      <c r="G1214" s="270"/>
      <c r="H1214" s="236"/>
      <c r="I1214" s="104" t="s">
        <v>729</v>
      </c>
      <c r="J1214" s="105"/>
      <c r="K1214" s="104" t="s">
        <v>3779</v>
      </c>
      <c r="L1214" s="105"/>
      <c r="M1214" s="173" t="s">
        <v>3479</v>
      </c>
      <c r="N1214" s="276"/>
      <c r="O1214" s="174"/>
      <c r="P1214" s="173" t="s">
        <v>1081</v>
      </c>
      <c r="Q1214" s="174"/>
      <c r="R1214" s="126" t="s">
        <v>977</v>
      </c>
      <c r="S1214" s="127"/>
      <c r="T1214" s="183">
        <v>9</v>
      </c>
      <c r="U1214" s="185"/>
      <c r="V1214" s="173" t="s">
        <v>3525</v>
      </c>
      <c r="W1214" s="174"/>
      <c r="X1214" s="297"/>
      <c r="Y1214" s="298"/>
      <c r="Z1214" s="299"/>
      <c r="AA1214" s="235"/>
      <c r="AB1214" s="236"/>
      <c r="AC1214" s="239"/>
      <c r="AD1214" s="240"/>
      <c r="AE1214" s="31"/>
      <c r="AF1214" s="167"/>
      <c r="AG1214" s="168"/>
      <c r="AH1214" s="169"/>
      <c r="AI1214" s="167"/>
      <c r="AJ1214" s="48"/>
      <c r="AK1214" s="15"/>
      <c r="AL1214" s="15"/>
    </row>
    <row r="1215" spans="1:38" ht="90" x14ac:dyDescent="0.3">
      <c r="A1215" s="230"/>
      <c r="B1215" s="290"/>
      <c r="C1215" s="345"/>
      <c r="D1215" s="291"/>
      <c r="E1215" s="28" t="s">
        <v>3791</v>
      </c>
      <c r="F1215" s="237"/>
      <c r="G1215" s="306"/>
      <c r="H1215" s="238"/>
      <c r="I1215" s="146" t="s">
        <v>729</v>
      </c>
      <c r="J1215" s="148"/>
      <c r="K1215" s="146" t="s">
        <v>3779</v>
      </c>
      <c r="L1215" s="148"/>
      <c r="M1215" s="173" t="s">
        <v>3788</v>
      </c>
      <c r="N1215" s="276"/>
      <c r="O1215" s="174"/>
      <c r="P1215" s="173" t="s">
        <v>1081</v>
      </c>
      <c r="Q1215" s="174"/>
      <c r="R1215" s="117" t="s">
        <v>977</v>
      </c>
      <c r="S1215" s="118"/>
      <c r="T1215" s="183">
        <v>9</v>
      </c>
      <c r="U1215" s="185"/>
      <c r="V1215" s="173" t="s">
        <v>2969</v>
      </c>
      <c r="W1215" s="174"/>
      <c r="X1215" s="300"/>
      <c r="Y1215" s="301"/>
      <c r="Z1215" s="302"/>
      <c r="AA1215" s="237"/>
      <c r="AB1215" s="238"/>
      <c r="AC1215" s="225"/>
      <c r="AD1215" s="226"/>
      <c r="AE1215" s="31"/>
      <c r="AF1215" s="214"/>
      <c r="AG1215" s="215"/>
      <c r="AH1215" s="216"/>
      <c r="AI1215" s="167"/>
      <c r="AJ1215" s="48"/>
      <c r="AK1215" s="15"/>
      <c r="AL1215" s="15"/>
    </row>
    <row r="1216" spans="1:38" ht="105" x14ac:dyDescent="0.25">
      <c r="A1216" s="178"/>
      <c r="B1216" s="164"/>
      <c r="C1216" s="165"/>
      <c r="D1216" s="166"/>
      <c r="E1216" s="28" t="s">
        <v>3792</v>
      </c>
      <c r="F1216" s="164"/>
      <c r="G1216" s="165"/>
      <c r="H1216" s="166"/>
      <c r="I1216" s="143" t="s">
        <v>1854</v>
      </c>
      <c r="J1216" s="145"/>
      <c r="K1216" s="143" t="s">
        <v>3636</v>
      </c>
      <c r="L1216" s="145"/>
      <c r="M1216" s="285">
        <v>31</v>
      </c>
      <c r="N1216" s="400"/>
      <c r="O1216" s="286"/>
      <c r="P1216" s="285">
        <v>2</v>
      </c>
      <c r="Q1216" s="286"/>
      <c r="R1216" s="112">
        <v>8</v>
      </c>
      <c r="S1216" s="113"/>
      <c r="T1216" s="183">
        <v>6</v>
      </c>
      <c r="U1216" s="185"/>
      <c r="V1216" s="173" t="s">
        <v>3088</v>
      </c>
      <c r="W1216" s="174"/>
      <c r="X1216" s="462"/>
      <c r="Y1216" s="463"/>
      <c r="Z1216" s="464"/>
      <c r="AA1216" s="164"/>
      <c r="AB1216" s="166"/>
      <c r="AC1216" s="303" t="s">
        <v>3194</v>
      </c>
      <c r="AD1216" s="304"/>
      <c r="AE1216" s="25" t="s">
        <v>3794</v>
      </c>
      <c r="AF1216" s="303" t="s">
        <v>867</v>
      </c>
      <c r="AG1216" s="344"/>
      <c r="AH1216" s="304"/>
      <c r="AI1216" s="167"/>
      <c r="AJ1216" s="48"/>
      <c r="AK1216" s="15"/>
      <c r="AL1216" s="15"/>
    </row>
    <row r="1217" spans="1:38" ht="90" x14ac:dyDescent="0.25">
      <c r="A1217" s="179"/>
      <c r="B1217" s="167"/>
      <c r="C1217" s="168"/>
      <c r="D1217" s="169"/>
      <c r="E1217" s="28" t="s">
        <v>3795</v>
      </c>
      <c r="F1217" s="167"/>
      <c r="G1217" s="168"/>
      <c r="H1217" s="169"/>
      <c r="I1217" s="104" t="s">
        <v>1854</v>
      </c>
      <c r="J1217" s="105"/>
      <c r="K1217" s="104" t="s">
        <v>3636</v>
      </c>
      <c r="L1217" s="105"/>
      <c r="M1217" s="285">
        <v>31</v>
      </c>
      <c r="N1217" s="400"/>
      <c r="O1217" s="286"/>
      <c r="P1217" s="285">
        <v>2</v>
      </c>
      <c r="Q1217" s="286"/>
      <c r="R1217" s="155">
        <v>8</v>
      </c>
      <c r="S1217" s="157"/>
      <c r="T1217" s="183">
        <v>6</v>
      </c>
      <c r="U1217" s="185"/>
      <c r="V1217" s="173" t="s">
        <v>3088</v>
      </c>
      <c r="W1217" s="174"/>
      <c r="X1217" s="474"/>
      <c r="Y1217" s="475"/>
      <c r="Z1217" s="476"/>
      <c r="AA1217" s="167"/>
      <c r="AB1217" s="169"/>
      <c r="AC1217" s="292" t="s">
        <v>3793</v>
      </c>
      <c r="AD1217" s="293"/>
      <c r="AE1217" s="32" t="s">
        <v>848</v>
      </c>
      <c r="AF1217" s="292"/>
      <c r="AG1217" s="314"/>
      <c r="AH1217" s="293"/>
      <c r="AI1217" s="167"/>
      <c r="AJ1217" s="48"/>
      <c r="AK1217" s="15"/>
      <c r="AL1217" s="15"/>
    </row>
    <row r="1218" spans="1:38" ht="90" x14ac:dyDescent="0.25">
      <c r="A1218" s="179"/>
      <c r="B1218" s="167"/>
      <c r="C1218" s="168"/>
      <c r="D1218" s="169"/>
      <c r="E1218" s="28" t="s">
        <v>3796</v>
      </c>
      <c r="F1218" s="167"/>
      <c r="G1218" s="168"/>
      <c r="H1218" s="169"/>
      <c r="I1218" s="104" t="s">
        <v>1854</v>
      </c>
      <c r="J1218" s="105"/>
      <c r="K1218" s="104" t="s">
        <v>3636</v>
      </c>
      <c r="L1218" s="105"/>
      <c r="M1218" s="544">
        <v>33</v>
      </c>
      <c r="N1218" s="545"/>
      <c r="O1218" s="546"/>
      <c r="P1218" s="307">
        <v>2</v>
      </c>
      <c r="Q1218" s="308"/>
      <c r="R1218" s="155">
        <v>8</v>
      </c>
      <c r="S1218" s="157"/>
      <c r="T1218" s="204">
        <v>6</v>
      </c>
      <c r="U1218" s="205"/>
      <c r="V1218" s="208" t="s">
        <v>3797</v>
      </c>
      <c r="W1218" s="209"/>
      <c r="X1218" s="474"/>
      <c r="Y1218" s="475"/>
      <c r="Z1218" s="476"/>
      <c r="AA1218" s="167"/>
      <c r="AB1218" s="169"/>
      <c r="AC1218" s="292"/>
      <c r="AD1218" s="293"/>
      <c r="AE1218" s="32"/>
      <c r="AF1218" s="292"/>
      <c r="AG1218" s="314"/>
      <c r="AH1218" s="293"/>
      <c r="AI1218" s="167"/>
      <c r="AJ1218" s="48"/>
      <c r="AK1218" s="15"/>
      <c r="AL1218" s="15"/>
    </row>
    <row r="1219" spans="1:38" ht="45" x14ac:dyDescent="0.35">
      <c r="A1219" s="39"/>
      <c r="B1219" s="39"/>
      <c r="C1219" s="38" t="s">
        <v>3798</v>
      </c>
      <c r="D1219" s="39"/>
      <c r="E1219" s="39"/>
      <c r="F1219" s="39"/>
      <c r="G1219" s="38" t="s">
        <v>3799</v>
      </c>
      <c r="H1219" s="39"/>
      <c r="I1219" s="122"/>
      <c r="J1219" s="122"/>
      <c r="K1219" s="122"/>
      <c r="L1219" s="122"/>
      <c r="M1219" s="106"/>
      <c r="N1219" s="106"/>
      <c r="O1219" s="106"/>
      <c r="P1219" s="106"/>
      <c r="Q1219" s="106"/>
      <c r="R1219" s="122"/>
      <c r="S1219" s="122"/>
      <c r="T1219" s="106"/>
      <c r="U1219" s="106"/>
      <c r="V1219" s="106"/>
      <c r="W1219" s="106"/>
      <c r="X1219" s="39"/>
      <c r="Y1219" s="203" t="s">
        <v>3800</v>
      </c>
      <c r="Z1219" s="203"/>
      <c r="AA1219" s="203"/>
      <c r="AB1219" s="203"/>
      <c r="AC1219" s="203"/>
      <c r="AD1219" s="39"/>
      <c r="AE1219" s="39"/>
      <c r="AF1219" s="203" t="s">
        <v>3801</v>
      </c>
      <c r="AG1219" s="203"/>
      <c r="AH1219" s="39"/>
      <c r="AI1219" s="39"/>
      <c r="AJ1219" s="48"/>
      <c r="AK1219" s="15"/>
      <c r="AL1219" s="15"/>
    </row>
    <row r="1220" spans="1:38" ht="90" x14ac:dyDescent="0.3">
      <c r="A1220" s="179"/>
      <c r="B1220" s="167"/>
      <c r="C1220" s="168"/>
      <c r="D1220" s="169"/>
      <c r="E1220" s="28" t="s">
        <v>3802</v>
      </c>
      <c r="F1220" s="167"/>
      <c r="G1220" s="168"/>
      <c r="H1220" s="169"/>
      <c r="I1220" s="104" t="s">
        <v>1854</v>
      </c>
      <c r="J1220" s="105"/>
      <c r="K1220" s="104" t="s">
        <v>3636</v>
      </c>
      <c r="L1220" s="105"/>
      <c r="M1220" s="477">
        <v>33</v>
      </c>
      <c r="N1220" s="543"/>
      <c r="O1220" s="478"/>
      <c r="P1220" s="285">
        <v>2</v>
      </c>
      <c r="Q1220" s="286"/>
      <c r="R1220" s="155">
        <v>8</v>
      </c>
      <c r="S1220" s="157"/>
      <c r="T1220" s="183">
        <v>6</v>
      </c>
      <c r="U1220" s="185"/>
      <c r="V1220" s="173" t="s">
        <v>3797</v>
      </c>
      <c r="W1220" s="174"/>
      <c r="X1220" s="474"/>
      <c r="Y1220" s="475"/>
      <c r="Z1220" s="476"/>
      <c r="AA1220" s="167"/>
      <c r="AB1220" s="169"/>
      <c r="AC1220" s="126" t="s">
        <v>3803</v>
      </c>
      <c r="AD1220" s="127"/>
      <c r="AE1220" s="46" t="s">
        <v>1356</v>
      </c>
      <c r="AF1220" s="126" t="s">
        <v>2541</v>
      </c>
      <c r="AG1220" s="203"/>
      <c r="AH1220" s="127"/>
      <c r="AI1220" s="167"/>
      <c r="AJ1220" s="48"/>
      <c r="AK1220" s="15"/>
      <c r="AL1220" s="15"/>
    </row>
    <row r="1221" spans="1:38" ht="90" x14ac:dyDescent="0.3">
      <c r="A1221" s="179"/>
      <c r="B1221" s="167"/>
      <c r="C1221" s="168"/>
      <c r="D1221" s="169"/>
      <c r="E1221" s="28" t="s">
        <v>3805</v>
      </c>
      <c r="F1221" s="167"/>
      <c r="G1221" s="168"/>
      <c r="H1221" s="169"/>
      <c r="I1221" s="104" t="s">
        <v>1854</v>
      </c>
      <c r="J1221" s="105"/>
      <c r="K1221" s="104" t="s">
        <v>3636</v>
      </c>
      <c r="L1221" s="105"/>
      <c r="M1221" s="285">
        <v>31</v>
      </c>
      <c r="N1221" s="400"/>
      <c r="O1221" s="286"/>
      <c r="P1221" s="285">
        <v>2</v>
      </c>
      <c r="Q1221" s="286"/>
      <c r="R1221" s="155">
        <v>8</v>
      </c>
      <c r="S1221" s="157"/>
      <c r="T1221" s="183">
        <v>6</v>
      </c>
      <c r="U1221" s="185"/>
      <c r="V1221" s="173" t="s">
        <v>3088</v>
      </c>
      <c r="W1221" s="174"/>
      <c r="X1221" s="474"/>
      <c r="Y1221" s="475"/>
      <c r="Z1221" s="476"/>
      <c r="AA1221" s="167"/>
      <c r="AB1221" s="169"/>
      <c r="AC1221" s="126"/>
      <c r="AD1221" s="127"/>
      <c r="AE1221" s="46" t="s">
        <v>3804</v>
      </c>
      <c r="AF1221" s="126"/>
      <c r="AG1221" s="203"/>
      <c r="AH1221" s="127"/>
      <c r="AI1221" s="167"/>
      <c r="AJ1221" s="48"/>
      <c r="AK1221" s="15"/>
      <c r="AL1221" s="15"/>
    </row>
    <row r="1222" spans="1:38" ht="105" x14ac:dyDescent="0.3">
      <c r="A1222" s="230"/>
      <c r="B1222" s="214"/>
      <c r="C1222" s="215"/>
      <c r="D1222" s="216"/>
      <c r="E1222" s="28" t="s">
        <v>3806</v>
      </c>
      <c r="F1222" s="214"/>
      <c r="G1222" s="215"/>
      <c r="H1222" s="216"/>
      <c r="I1222" s="146" t="s">
        <v>1854</v>
      </c>
      <c r="J1222" s="148"/>
      <c r="K1222" s="146" t="s">
        <v>3636</v>
      </c>
      <c r="L1222" s="148"/>
      <c r="M1222" s="285">
        <v>31</v>
      </c>
      <c r="N1222" s="400"/>
      <c r="O1222" s="286"/>
      <c r="P1222" s="285">
        <v>2</v>
      </c>
      <c r="Q1222" s="286"/>
      <c r="R1222" s="160">
        <v>8</v>
      </c>
      <c r="S1222" s="161"/>
      <c r="T1222" s="183">
        <v>6</v>
      </c>
      <c r="U1222" s="185"/>
      <c r="V1222" s="173" t="s">
        <v>3088</v>
      </c>
      <c r="W1222" s="174"/>
      <c r="X1222" s="465"/>
      <c r="Y1222" s="466"/>
      <c r="Z1222" s="467"/>
      <c r="AA1222" s="214"/>
      <c r="AB1222" s="216"/>
      <c r="AC1222" s="117"/>
      <c r="AD1222" s="118"/>
      <c r="AE1222" s="46"/>
      <c r="AF1222" s="117"/>
      <c r="AG1222" s="154"/>
      <c r="AH1222" s="118"/>
      <c r="AI1222" s="167"/>
      <c r="AJ1222" s="48"/>
      <c r="AK1222" s="15"/>
      <c r="AL1222" s="15"/>
    </row>
    <row r="1223" spans="1:38" ht="105" x14ac:dyDescent="0.25">
      <c r="A1223" s="178"/>
      <c r="B1223" s="303" t="s">
        <v>3807</v>
      </c>
      <c r="C1223" s="344"/>
      <c r="D1223" s="304"/>
      <c r="E1223" s="28" t="s">
        <v>3808</v>
      </c>
      <c r="F1223" s="233" t="s">
        <v>3809</v>
      </c>
      <c r="G1223" s="305"/>
      <c r="H1223" s="234"/>
      <c r="I1223" s="143" t="s">
        <v>758</v>
      </c>
      <c r="J1223" s="145"/>
      <c r="K1223" s="143" t="s">
        <v>3352</v>
      </c>
      <c r="L1223" s="145"/>
      <c r="M1223" s="173" t="s">
        <v>2384</v>
      </c>
      <c r="N1223" s="276"/>
      <c r="O1223" s="174"/>
      <c r="P1223" s="173" t="s">
        <v>758</v>
      </c>
      <c r="Q1223" s="174"/>
      <c r="R1223" s="88" t="s">
        <v>1764</v>
      </c>
      <c r="S1223" s="89"/>
      <c r="T1223" s="183">
        <v>5</v>
      </c>
      <c r="U1223" s="185"/>
      <c r="V1223" s="173" t="s">
        <v>3810</v>
      </c>
      <c r="W1223" s="174"/>
      <c r="X1223" s="294">
        <v>49</v>
      </c>
      <c r="Y1223" s="295"/>
      <c r="Z1223" s="296"/>
      <c r="AA1223" s="233" t="s">
        <v>989</v>
      </c>
      <c r="AB1223" s="234"/>
      <c r="AC1223" s="223" t="s">
        <v>3194</v>
      </c>
      <c r="AD1223" s="224"/>
      <c r="AE1223" s="16" t="s">
        <v>3813</v>
      </c>
      <c r="AF1223" s="303" t="s">
        <v>711</v>
      </c>
      <c r="AG1223" s="344"/>
      <c r="AH1223" s="304"/>
      <c r="AI1223" s="167"/>
      <c r="AJ1223" s="48"/>
      <c r="AK1223" s="15"/>
      <c r="AL1223" s="15"/>
    </row>
    <row r="1224" spans="1:38" ht="90" x14ac:dyDescent="0.25">
      <c r="A1224" s="179"/>
      <c r="B1224" s="292"/>
      <c r="C1224" s="314"/>
      <c r="D1224" s="293"/>
      <c r="E1224" s="19" t="s">
        <v>3815</v>
      </c>
      <c r="F1224" s="235"/>
      <c r="G1224" s="270"/>
      <c r="H1224" s="236"/>
      <c r="I1224" s="104" t="s">
        <v>758</v>
      </c>
      <c r="J1224" s="105"/>
      <c r="K1224" s="104" t="s">
        <v>3352</v>
      </c>
      <c r="L1224" s="105"/>
      <c r="M1224" s="332" t="s">
        <v>2384</v>
      </c>
      <c r="N1224" s="374"/>
      <c r="O1224" s="333"/>
      <c r="P1224" s="332" t="s">
        <v>758</v>
      </c>
      <c r="Q1224" s="333"/>
      <c r="R1224" s="126" t="s">
        <v>1764</v>
      </c>
      <c r="S1224" s="127"/>
      <c r="T1224" s="349">
        <v>5</v>
      </c>
      <c r="U1224" s="350"/>
      <c r="V1224" s="332" t="s">
        <v>3810</v>
      </c>
      <c r="W1224" s="333"/>
      <c r="X1224" s="297"/>
      <c r="Y1224" s="298"/>
      <c r="Z1224" s="299"/>
      <c r="AA1224" s="235"/>
      <c r="AB1224" s="236"/>
      <c r="AC1224" s="239" t="s">
        <v>3811</v>
      </c>
      <c r="AD1224" s="240"/>
      <c r="AE1224" s="43" t="s">
        <v>1356</v>
      </c>
      <c r="AF1224" s="292" t="s">
        <v>2541</v>
      </c>
      <c r="AG1224" s="314"/>
      <c r="AH1224" s="293"/>
      <c r="AI1224" s="167"/>
      <c r="AJ1224" s="48"/>
      <c r="AK1224" s="15"/>
      <c r="AL1224" s="15"/>
    </row>
    <row r="1225" spans="1:38" ht="90" x14ac:dyDescent="0.25">
      <c r="A1225" s="179"/>
      <c r="B1225" s="292"/>
      <c r="C1225" s="314"/>
      <c r="D1225" s="293"/>
      <c r="E1225" s="28" t="s">
        <v>3816</v>
      </c>
      <c r="F1225" s="235"/>
      <c r="G1225" s="270"/>
      <c r="H1225" s="236"/>
      <c r="I1225" s="104" t="s">
        <v>758</v>
      </c>
      <c r="J1225" s="105"/>
      <c r="K1225" s="104" t="s">
        <v>3352</v>
      </c>
      <c r="L1225" s="105"/>
      <c r="M1225" s="173" t="s">
        <v>977</v>
      </c>
      <c r="N1225" s="276"/>
      <c r="O1225" s="174"/>
      <c r="P1225" s="173" t="s">
        <v>758</v>
      </c>
      <c r="Q1225" s="174"/>
      <c r="R1225" s="126" t="s">
        <v>1764</v>
      </c>
      <c r="S1225" s="127"/>
      <c r="T1225" s="183">
        <v>5</v>
      </c>
      <c r="U1225" s="185"/>
      <c r="V1225" s="173" t="s">
        <v>3817</v>
      </c>
      <c r="W1225" s="174"/>
      <c r="X1225" s="297"/>
      <c r="Y1225" s="298"/>
      <c r="Z1225" s="299"/>
      <c r="AA1225" s="235"/>
      <c r="AB1225" s="236"/>
      <c r="AC1225" s="239" t="s">
        <v>2211</v>
      </c>
      <c r="AD1225" s="240"/>
      <c r="AE1225" s="43" t="s">
        <v>3814</v>
      </c>
      <c r="AF1225" s="292"/>
      <c r="AG1225" s="314"/>
      <c r="AH1225" s="293"/>
      <c r="AI1225" s="167"/>
      <c r="AJ1225" s="48"/>
      <c r="AK1225" s="15"/>
      <c r="AL1225" s="15"/>
    </row>
    <row r="1226" spans="1:38" ht="90" x14ac:dyDescent="0.25">
      <c r="A1226" s="179"/>
      <c r="B1226" s="292"/>
      <c r="C1226" s="314"/>
      <c r="D1226" s="293"/>
      <c r="E1226" s="28" t="s">
        <v>3818</v>
      </c>
      <c r="F1226" s="235"/>
      <c r="G1226" s="270"/>
      <c r="H1226" s="236"/>
      <c r="I1226" s="104" t="s">
        <v>758</v>
      </c>
      <c r="J1226" s="105"/>
      <c r="K1226" s="104" t="s">
        <v>3352</v>
      </c>
      <c r="L1226" s="105"/>
      <c r="M1226" s="173" t="s">
        <v>2384</v>
      </c>
      <c r="N1226" s="276"/>
      <c r="O1226" s="174"/>
      <c r="P1226" s="173" t="s">
        <v>758</v>
      </c>
      <c r="Q1226" s="174"/>
      <c r="R1226" s="126" t="s">
        <v>1764</v>
      </c>
      <c r="S1226" s="127"/>
      <c r="T1226" s="183">
        <v>5</v>
      </c>
      <c r="U1226" s="185"/>
      <c r="V1226" s="173" t="s">
        <v>3810</v>
      </c>
      <c r="W1226" s="174"/>
      <c r="X1226" s="297"/>
      <c r="Y1226" s="298"/>
      <c r="Z1226" s="299"/>
      <c r="AA1226" s="235"/>
      <c r="AB1226" s="236"/>
      <c r="AC1226" s="239" t="s">
        <v>3812</v>
      </c>
      <c r="AD1226" s="240"/>
      <c r="AE1226" s="43"/>
      <c r="AF1226" s="292"/>
      <c r="AG1226" s="314"/>
      <c r="AH1226" s="293"/>
      <c r="AI1226" s="167"/>
      <c r="AJ1226" s="48"/>
      <c r="AK1226" s="15"/>
      <c r="AL1226" s="15"/>
    </row>
    <row r="1227" spans="1:38" ht="90" x14ac:dyDescent="0.25">
      <c r="A1227" s="179"/>
      <c r="B1227" s="292"/>
      <c r="C1227" s="314"/>
      <c r="D1227" s="293"/>
      <c r="E1227" s="28" t="s">
        <v>3819</v>
      </c>
      <c r="F1227" s="235"/>
      <c r="G1227" s="270"/>
      <c r="H1227" s="236"/>
      <c r="I1227" s="104" t="s">
        <v>758</v>
      </c>
      <c r="J1227" s="105"/>
      <c r="K1227" s="104" t="s">
        <v>3352</v>
      </c>
      <c r="L1227" s="105"/>
      <c r="M1227" s="173" t="s">
        <v>2384</v>
      </c>
      <c r="N1227" s="276"/>
      <c r="O1227" s="174"/>
      <c r="P1227" s="173" t="s">
        <v>758</v>
      </c>
      <c r="Q1227" s="174"/>
      <c r="R1227" s="126" t="s">
        <v>1764</v>
      </c>
      <c r="S1227" s="127"/>
      <c r="T1227" s="183">
        <v>5</v>
      </c>
      <c r="U1227" s="185"/>
      <c r="V1227" s="173" t="s">
        <v>3810</v>
      </c>
      <c r="W1227" s="174"/>
      <c r="X1227" s="297"/>
      <c r="Y1227" s="298"/>
      <c r="Z1227" s="299"/>
      <c r="AA1227" s="235"/>
      <c r="AB1227" s="236"/>
      <c r="AC1227" s="239"/>
      <c r="AD1227" s="240"/>
      <c r="AE1227" s="43"/>
      <c r="AF1227" s="292"/>
      <c r="AG1227" s="314"/>
      <c r="AH1227" s="293"/>
      <c r="AI1227" s="167"/>
      <c r="AJ1227" s="48"/>
      <c r="AK1227" s="15"/>
      <c r="AL1227" s="15"/>
    </row>
    <row r="1228" spans="1:38" ht="105" x14ac:dyDescent="0.25">
      <c r="A1228" s="179"/>
      <c r="B1228" s="292"/>
      <c r="C1228" s="314"/>
      <c r="D1228" s="293"/>
      <c r="E1228" s="28" t="s">
        <v>3820</v>
      </c>
      <c r="F1228" s="235"/>
      <c r="G1228" s="270"/>
      <c r="H1228" s="236"/>
      <c r="I1228" s="104" t="s">
        <v>758</v>
      </c>
      <c r="J1228" s="105"/>
      <c r="K1228" s="104" t="s">
        <v>3352</v>
      </c>
      <c r="L1228" s="105"/>
      <c r="M1228" s="173" t="s">
        <v>977</v>
      </c>
      <c r="N1228" s="276"/>
      <c r="O1228" s="174"/>
      <c r="P1228" s="173" t="s">
        <v>758</v>
      </c>
      <c r="Q1228" s="174"/>
      <c r="R1228" s="126" t="s">
        <v>1764</v>
      </c>
      <c r="S1228" s="127"/>
      <c r="T1228" s="183">
        <v>5</v>
      </c>
      <c r="U1228" s="185"/>
      <c r="V1228" s="173" t="s">
        <v>3817</v>
      </c>
      <c r="W1228" s="174"/>
      <c r="X1228" s="297"/>
      <c r="Y1228" s="298"/>
      <c r="Z1228" s="299"/>
      <c r="AA1228" s="235"/>
      <c r="AB1228" s="236"/>
      <c r="AC1228" s="239"/>
      <c r="AD1228" s="240"/>
      <c r="AE1228" s="43"/>
      <c r="AF1228" s="292"/>
      <c r="AG1228" s="314"/>
      <c r="AH1228" s="293"/>
      <c r="AI1228" s="167"/>
      <c r="AJ1228" s="48"/>
      <c r="AK1228" s="15"/>
      <c r="AL1228" s="15"/>
    </row>
    <row r="1229" spans="1:38" ht="90" x14ac:dyDescent="0.25">
      <c r="A1229" s="179"/>
      <c r="B1229" s="292"/>
      <c r="C1229" s="314"/>
      <c r="D1229" s="293"/>
      <c r="E1229" s="19" t="s">
        <v>3821</v>
      </c>
      <c r="F1229" s="235"/>
      <c r="G1229" s="270"/>
      <c r="H1229" s="236"/>
      <c r="I1229" s="104" t="s">
        <v>758</v>
      </c>
      <c r="J1229" s="105"/>
      <c r="K1229" s="104" t="s">
        <v>3352</v>
      </c>
      <c r="L1229" s="105"/>
      <c r="M1229" s="332" t="s">
        <v>2384</v>
      </c>
      <c r="N1229" s="374"/>
      <c r="O1229" s="333"/>
      <c r="P1229" s="332" t="s">
        <v>758</v>
      </c>
      <c r="Q1229" s="333"/>
      <c r="R1229" s="126" t="s">
        <v>1764</v>
      </c>
      <c r="S1229" s="127"/>
      <c r="T1229" s="349">
        <v>5</v>
      </c>
      <c r="U1229" s="350"/>
      <c r="V1229" s="332" t="s">
        <v>3810</v>
      </c>
      <c r="W1229" s="333"/>
      <c r="X1229" s="297"/>
      <c r="Y1229" s="298"/>
      <c r="Z1229" s="299"/>
      <c r="AA1229" s="235"/>
      <c r="AB1229" s="236"/>
      <c r="AC1229" s="239"/>
      <c r="AD1229" s="240"/>
      <c r="AE1229" s="43"/>
      <c r="AF1229" s="292"/>
      <c r="AG1229" s="314"/>
      <c r="AH1229" s="293"/>
      <c r="AI1229" s="167"/>
      <c r="AJ1229" s="48"/>
      <c r="AK1229" s="15"/>
      <c r="AL1229" s="15"/>
    </row>
    <row r="1230" spans="1:38" ht="90" x14ac:dyDescent="0.25">
      <c r="A1230" s="179"/>
      <c r="B1230" s="292"/>
      <c r="C1230" s="314"/>
      <c r="D1230" s="293"/>
      <c r="E1230" s="28" t="s">
        <v>3822</v>
      </c>
      <c r="F1230" s="235"/>
      <c r="G1230" s="270"/>
      <c r="H1230" s="236"/>
      <c r="I1230" s="104" t="s">
        <v>758</v>
      </c>
      <c r="J1230" s="105"/>
      <c r="K1230" s="104" t="s">
        <v>3352</v>
      </c>
      <c r="L1230" s="105"/>
      <c r="M1230" s="173" t="s">
        <v>2384</v>
      </c>
      <c r="N1230" s="276"/>
      <c r="O1230" s="174"/>
      <c r="P1230" s="173" t="s">
        <v>758</v>
      </c>
      <c r="Q1230" s="174"/>
      <c r="R1230" s="126" t="s">
        <v>1764</v>
      </c>
      <c r="S1230" s="127"/>
      <c r="T1230" s="183">
        <v>5</v>
      </c>
      <c r="U1230" s="185"/>
      <c r="V1230" s="173" t="s">
        <v>3810</v>
      </c>
      <c r="W1230" s="174"/>
      <c r="X1230" s="297"/>
      <c r="Y1230" s="298"/>
      <c r="Z1230" s="299"/>
      <c r="AA1230" s="235"/>
      <c r="AB1230" s="236"/>
      <c r="AC1230" s="239"/>
      <c r="AD1230" s="240"/>
      <c r="AE1230" s="43"/>
      <c r="AF1230" s="292"/>
      <c r="AG1230" s="314"/>
      <c r="AH1230" s="293"/>
      <c r="AI1230" s="167"/>
      <c r="AJ1230" s="48"/>
      <c r="AK1230" s="15"/>
      <c r="AL1230" s="15"/>
    </row>
    <row r="1231" spans="1:38" ht="90" x14ac:dyDescent="0.25">
      <c r="A1231" s="230"/>
      <c r="B1231" s="290"/>
      <c r="C1231" s="345"/>
      <c r="D1231" s="291"/>
      <c r="E1231" s="28" t="s">
        <v>3823</v>
      </c>
      <c r="F1231" s="237"/>
      <c r="G1231" s="306"/>
      <c r="H1231" s="238"/>
      <c r="I1231" s="146" t="s">
        <v>758</v>
      </c>
      <c r="J1231" s="148"/>
      <c r="K1231" s="146" t="s">
        <v>3352</v>
      </c>
      <c r="L1231" s="148"/>
      <c r="M1231" s="173" t="s">
        <v>977</v>
      </c>
      <c r="N1231" s="276"/>
      <c r="O1231" s="174"/>
      <c r="P1231" s="173" t="s">
        <v>758</v>
      </c>
      <c r="Q1231" s="174"/>
      <c r="R1231" s="117" t="s">
        <v>1764</v>
      </c>
      <c r="S1231" s="118"/>
      <c r="T1231" s="183">
        <v>5</v>
      </c>
      <c r="U1231" s="185"/>
      <c r="V1231" s="173" t="s">
        <v>3817</v>
      </c>
      <c r="W1231" s="174"/>
      <c r="X1231" s="300"/>
      <c r="Y1231" s="301"/>
      <c r="Z1231" s="302"/>
      <c r="AA1231" s="237"/>
      <c r="AB1231" s="238"/>
      <c r="AC1231" s="225"/>
      <c r="AD1231" s="226"/>
      <c r="AE1231" s="43"/>
      <c r="AF1231" s="290"/>
      <c r="AG1231" s="345"/>
      <c r="AH1231" s="291"/>
      <c r="AI1231" s="167"/>
      <c r="AJ1231" s="48"/>
      <c r="AK1231" s="15"/>
      <c r="AL1231" s="15"/>
    </row>
    <row r="1232" spans="1:38" ht="75" x14ac:dyDescent="0.3">
      <c r="A1232" s="178"/>
      <c r="B1232" s="303" t="s">
        <v>3824</v>
      </c>
      <c r="C1232" s="344"/>
      <c r="D1232" s="304"/>
      <c r="E1232" s="28" t="s">
        <v>3825</v>
      </c>
      <c r="F1232" s="192" t="s">
        <v>3826</v>
      </c>
      <c r="G1232" s="196"/>
      <c r="H1232" s="193"/>
      <c r="I1232" s="143" t="s">
        <v>3827</v>
      </c>
      <c r="J1232" s="145"/>
      <c r="K1232" s="124" t="s">
        <v>3828</v>
      </c>
      <c r="L1232" s="125"/>
      <c r="M1232" s="180" t="s">
        <v>3829</v>
      </c>
      <c r="N1232" s="450"/>
      <c r="O1232" s="181"/>
      <c r="P1232" s="173" t="s">
        <v>3830</v>
      </c>
      <c r="Q1232" s="174"/>
      <c r="R1232" s="112">
        <v>3</v>
      </c>
      <c r="S1232" s="113"/>
      <c r="T1232" s="183">
        <v>1</v>
      </c>
      <c r="U1232" s="185"/>
      <c r="V1232" s="173" t="s">
        <v>2123</v>
      </c>
      <c r="W1232" s="174"/>
      <c r="X1232" s="175" t="s">
        <v>1418</v>
      </c>
      <c r="Y1232" s="176"/>
      <c r="Z1232" s="177"/>
      <c r="AA1232" s="110" t="s">
        <v>717</v>
      </c>
      <c r="AB1232" s="111"/>
      <c r="AC1232" s="171" t="s">
        <v>3194</v>
      </c>
      <c r="AD1232" s="172"/>
      <c r="AE1232" s="24" t="s">
        <v>3832</v>
      </c>
      <c r="AF1232" s="164"/>
      <c r="AG1232" s="165"/>
      <c r="AH1232" s="166"/>
      <c r="AI1232" s="167"/>
      <c r="AJ1232" s="48"/>
      <c r="AK1232" s="15"/>
      <c r="AL1232" s="15"/>
    </row>
    <row r="1233" spans="1:38" ht="75" x14ac:dyDescent="0.3">
      <c r="A1233" s="179"/>
      <c r="B1233" s="292"/>
      <c r="C1233" s="314"/>
      <c r="D1233" s="293"/>
      <c r="E1233" s="28" t="s">
        <v>3834</v>
      </c>
      <c r="F1233" s="272"/>
      <c r="G1233" s="282"/>
      <c r="H1233" s="273"/>
      <c r="I1233" s="104" t="s">
        <v>3827</v>
      </c>
      <c r="J1233" s="105"/>
      <c r="K1233" s="124" t="s">
        <v>3828</v>
      </c>
      <c r="L1233" s="125"/>
      <c r="M1233" s="180" t="s">
        <v>3829</v>
      </c>
      <c r="N1233" s="450"/>
      <c r="O1233" s="181"/>
      <c r="P1233" s="173" t="s">
        <v>3830</v>
      </c>
      <c r="Q1233" s="174"/>
      <c r="R1233" s="155">
        <v>3</v>
      </c>
      <c r="S1233" s="157"/>
      <c r="T1233" s="183">
        <v>1</v>
      </c>
      <c r="U1233" s="185"/>
      <c r="V1233" s="173" t="s">
        <v>2123</v>
      </c>
      <c r="W1233" s="174"/>
      <c r="X1233" s="175" t="s">
        <v>1418</v>
      </c>
      <c r="Y1233" s="176"/>
      <c r="Z1233" s="177"/>
      <c r="AA1233" s="110" t="s">
        <v>717</v>
      </c>
      <c r="AB1233" s="111"/>
      <c r="AC1233" s="162" t="s">
        <v>3831</v>
      </c>
      <c r="AD1233" s="163"/>
      <c r="AE1233" s="31" t="s">
        <v>1356</v>
      </c>
      <c r="AF1233" s="167"/>
      <c r="AG1233" s="168"/>
      <c r="AH1233" s="169"/>
      <c r="AI1233" s="167"/>
      <c r="AJ1233" s="48"/>
      <c r="AK1233" s="15"/>
      <c r="AL1233" s="15"/>
    </row>
    <row r="1234" spans="1:38" ht="75" x14ac:dyDescent="0.3">
      <c r="A1234" s="179"/>
      <c r="B1234" s="292"/>
      <c r="C1234" s="314"/>
      <c r="D1234" s="293"/>
      <c r="E1234" s="28" t="s">
        <v>3835</v>
      </c>
      <c r="F1234" s="194"/>
      <c r="G1234" s="197"/>
      <c r="H1234" s="195"/>
      <c r="I1234" s="146" t="s">
        <v>3827</v>
      </c>
      <c r="J1234" s="148"/>
      <c r="K1234" s="124" t="s">
        <v>3828</v>
      </c>
      <c r="L1234" s="125"/>
      <c r="M1234" s="183">
        <v>9</v>
      </c>
      <c r="N1234" s="184"/>
      <c r="O1234" s="185"/>
      <c r="P1234" s="173" t="s">
        <v>3830</v>
      </c>
      <c r="Q1234" s="174"/>
      <c r="R1234" s="160">
        <v>3</v>
      </c>
      <c r="S1234" s="161"/>
      <c r="T1234" s="183">
        <v>1</v>
      </c>
      <c r="U1234" s="185"/>
      <c r="V1234" s="173" t="s">
        <v>2970</v>
      </c>
      <c r="W1234" s="174"/>
      <c r="X1234" s="175" t="s">
        <v>1418</v>
      </c>
      <c r="Y1234" s="176"/>
      <c r="Z1234" s="177"/>
      <c r="AA1234" s="110" t="s">
        <v>826</v>
      </c>
      <c r="AB1234" s="111"/>
      <c r="AC1234" s="162"/>
      <c r="AD1234" s="163"/>
      <c r="AE1234" s="31" t="s">
        <v>3833</v>
      </c>
      <c r="AF1234" s="167"/>
      <c r="AG1234" s="168"/>
      <c r="AH1234" s="169"/>
      <c r="AI1234" s="167"/>
      <c r="AJ1234" s="48"/>
      <c r="AK1234" s="15"/>
      <c r="AL1234" s="15"/>
    </row>
    <row r="1235" spans="1:38" ht="60" x14ac:dyDescent="0.3">
      <c r="A1235" s="179"/>
      <c r="B1235" s="292"/>
      <c r="C1235" s="314"/>
      <c r="D1235" s="293"/>
      <c r="E1235" s="19" t="s">
        <v>3836</v>
      </c>
      <c r="F1235" s="192" t="s">
        <v>3837</v>
      </c>
      <c r="G1235" s="196"/>
      <c r="H1235" s="193"/>
      <c r="I1235" s="143" t="s">
        <v>922</v>
      </c>
      <c r="J1235" s="145"/>
      <c r="K1235" s="346" t="s">
        <v>3828</v>
      </c>
      <c r="L1235" s="348"/>
      <c r="M1235" s="114" t="s">
        <v>3838</v>
      </c>
      <c r="N1235" s="115"/>
      <c r="O1235" s="116"/>
      <c r="P1235" s="173" t="s">
        <v>3839</v>
      </c>
      <c r="Q1235" s="174"/>
      <c r="R1235" s="112">
        <v>4</v>
      </c>
      <c r="S1235" s="113"/>
      <c r="T1235" s="183">
        <v>2</v>
      </c>
      <c r="U1235" s="185"/>
      <c r="V1235" s="353" t="s">
        <v>3840</v>
      </c>
      <c r="W1235" s="355"/>
      <c r="X1235" s="227">
        <v>48</v>
      </c>
      <c r="Y1235" s="228"/>
      <c r="Z1235" s="229"/>
      <c r="AA1235" s="337" t="s">
        <v>758</v>
      </c>
      <c r="AB1235" s="338"/>
      <c r="AC1235" s="162"/>
      <c r="AD1235" s="163"/>
      <c r="AE1235" s="31"/>
      <c r="AF1235" s="167"/>
      <c r="AG1235" s="168"/>
      <c r="AH1235" s="169"/>
      <c r="AI1235" s="167"/>
      <c r="AJ1235" s="48"/>
      <c r="AK1235" s="15"/>
      <c r="AL1235" s="15"/>
    </row>
    <row r="1236" spans="1:38" ht="75" x14ac:dyDescent="0.3">
      <c r="A1236" s="179"/>
      <c r="B1236" s="292"/>
      <c r="C1236" s="314"/>
      <c r="D1236" s="293"/>
      <c r="E1236" s="28" t="s">
        <v>3841</v>
      </c>
      <c r="F1236" s="272"/>
      <c r="G1236" s="282"/>
      <c r="H1236" s="273"/>
      <c r="I1236" s="104" t="s">
        <v>922</v>
      </c>
      <c r="J1236" s="105"/>
      <c r="K1236" s="124" t="s">
        <v>3828</v>
      </c>
      <c r="L1236" s="125"/>
      <c r="M1236" s="114" t="s">
        <v>3838</v>
      </c>
      <c r="N1236" s="115"/>
      <c r="O1236" s="116"/>
      <c r="P1236" s="173" t="s">
        <v>3839</v>
      </c>
      <c r="Q1236" s="174"/>
      <c r="R1236" s="160">
        <v>4</v>
      </c>
      <c r="S1236" s="161"/>
      <c r="T1236" s="183">
        <v>2</v>
      </c>
      <c r="U1236" s="185"/>
      <c r="V1236" s="180" t="s">
        <v>3840</v>
      </c>
      <c r="W1236" s="181"/>
      <c r="X1236" s="227">
        <v>48</v>
      </c>
      <c r="Y1236" s="228"/>
      <c r="Z1236" s="229"/>
      <c r="AA1236" s="110" t="s">
        <v>758</v>
      </c>
      <c r="AB1236" s="111"/>
      <c r="AC1236" s="162"/>
      <c r="AD1236" s="163"/>
      <c r="AE1236" s="31"/>
      <c r="AF1236" s="167"/>
      <c r="AG1236" s="168"/>
      <c r="AH1236" s="169"/>
      <c r="AI1236" s="167"/>
      <c r="AJ1236" s="48"/>
      <c r="AK1236" s="15"/>
      <c r="AL1236" s="15"/>
    </row>
    <row r="1237" spans="1:38" ht="75" x14ac:dyDescent="0.3">
      <c r="A1237" s="230"/>
      <c r="B1237" s="290"/>
      <c r="C1237" s="345"/>
      <c r="D1237" s="291"/>
      <c r="E1237" s="28" t="s">
        <v>3842</v>
      </c>
      <c r="F1237" s="194"/>
      <c r="G1237" s="197"/>
      <c r="H1237" s="195"/>
      <c r="I1237" s="146" t="s">
        <v>922</v>
      </c>
      <c r="J1237" s="148"/>
      <c r="K1237" s="124" t="s">
        <v>3828</v>
      </c>
      <c r="L1237" s="125"/>
      <c r="M1237" s="183">
        <v>27</v>
      </c>
      <c r="N1237" s="184"/>
      <c r="O1237" s="185"/>
      <c r="P1237" s="173" t="s">
        <v>3839</v>
      </c>
      <c r="Q1237" s="174"/>
      <c r="R1237" s="183">
        <v>5</v>
      </c>
      <c r="S1237" s="185"/>
      <c r="T1237" s="183">
        <v>2</v>
      </c>
      <c r="U1237" s="185"/>
      <c r="V1237" s="173" t="s">
        <v>3843</v>
      </c>
      <c r="W1237" s="174"/>
      <c r="X1237" s="227">
        <v>48</v>
      </c>
      <c r="Y1237" s="228"/>
      <c r="Z1237" s="229"/>
      <c r="AA1237" s="110" t="s">
        <v>989</v>
      </c>
      <c r="AB1237" s="111"/>
      <c r="AC1237" s="212"/>
      <c r="AD1237" s="213"/>
      <c r="AE1237" s="31"/>
      <c r="AF1237" s="214"/>
      <c r="AG1237" s="215"/>
      <c r="AH1237" s="216"/>
      <c r="AI1237" s="167"/>
      <c r="AJ1237" s="48"/>
      <c r="AK1237" s="15"/>
      <c r="AL1237" s="15"/>
    </row>
    <row r="1238" spans="1:38" ht="75" x14ac:dyDescent="0.25">
      <c r="A1238" s="178"/>
      <c r="B1238" s="303" t="s">
        <v>3844</v>
      </c>
      <c r="C1238" s="344"/>
      <c r="D1238" s="304"/>
      <c r="E1238" s="28" t="s">
        <v>3846</v>
      </c>
      <c r="F1238" s="124" t="s">
        <v>3847</v>
      </c>
      <c r="G1238" s="182"/>
      <c r="H1238" s="125"/>
      <c r="I1238" s="183">
        <v>12</v>
      </c>
      <c r="J1238" s="185"/>
      <c r="K1238" s="110" t="s">
        <v>3848</v>
      </c>
      <c r="L1238" s="111"/>
      <c r="M1238" s="114" t="s">
        <v>3849</v>
      </c>
      <c r="N1238" s="115"/>
      <c r="O1238" s="116"/>
      <c r="P1238" s="173" t="s">
        <v>3850</v>
      </c>
      <c r="Q1238" s="174"/>
      <c r="R1238" s="114" t="s">
        <v>977</v>
      </c>
      <c r="S1238" s="116"/>
      <c r="T1238" s="183">
        <v>3</v>
      </c>
      <c r="U1238" s="185"/>
      <c r="V1238" s="173" t="s">
        <v>3523</v>
      </c>
      <c r="W1238" s="174"/>
      <c r="X1238" s="227">
        <v>129</v>
      </c>
      <c r="Y1238" s="228"/>
      <c r="Z1238" s="229"/>
      <c r="AA1238" s="110" t="s">
        <v>1222</v>
      </c>
      <c r="AB1238" s="111"/>
      <c r="AC1238" s="114" t="s">
        <v>3851</v>
      </c>
      <c r="AD1238" s="115"/>
      <c r="AE1238" s="116"/>
      <c r="AF1238" s="303" t="s">
        <v>3852</v>
      </c>
      <c r="AG1238" s="344"/>
      <c r="AH1238" s="304"/>
      <c r="AI1238" s="167"/>
      <c r="AJ1238" s="48"/>
      <c r="AK1238" s="15"/>
      <c r="AL1238" s="15"/>
    </row>
    <row r="1239" spans="1:38" ht="120" x14ac:dyDescent="0.25">
      <c r="A1239" s="179"/>
      <c r="B1239" s="292" t="s">
        <v>3845</v>
      </c>
      <c r="C1239" s="314"/>
      <c r="D1239" s="293"/>
      <c r="E1239" s="28" t="s">
        <v>3853</v>
      </c>
      <c r="F1239" s="233" t="s">
        <v>2950</v>
      </c>
      <c r="G1239" s="305"/>
      <c r="H1239" s="234"/>
      <c r="I1239" s="112">
        <v>18</v>
      </c>
      <c r="J1239" s="113"/>
      <c r="K1239" s="143" t="s">
        <v>3410</v>
      </c>
      <c r="L1239" s="145"/>
      <c r="M1239" s="180" t="s">
        <v>3854</v>
      </c>
      <c r="N1239" s="450"/>
      <c r="O1239" s="181"/>
      <c r="P1239" s="173" t="s">
        <v>3850</v>
      </c>
      <c r="Q1239" s="174"/>
      <c r="R1239" s="112">
        <v>26</v>
      </c>
      <c r="S1239" s="113"/>
      <c r="T1239" s="183">
        <v>10</v>
      </c>
      <c r="U1239" s="185"/>
      <c r="V1239" s="180" t="s">
        <v>3855</v>
      </c>
      <c r="W1239" s="181"/>
      <c r="X1239" s="294">
        <v>159</v>
      </c>
      <c r="Y1239" s="295"/>
      <c r="Z1239" s="296"/>
      <c r="AA1239" s="233" t="s">
        <v>1222</v>
      </c>
      <c r="AB1239" s="234"/>
      <c r="AC1239" s="171" t="s">
        <v>3194</v>
      </c>
      <c r="AD1239" s="172"/>
      <c r="AE1239" s="24" t="s">
        <v>3858</v>
      </c>
      <c r="AF1239" s="292" t="s">
        <v>3401</v>
      </c>
      <c r="AG1239" s="314"/>
      <c r="AH1239" s="293"/>
      <c r="AI1239" s="167"/>
      <c r="AJ1239" s="48"/>
      <c r="AK1239" s="15"/>
      <c r="AL1239" s="15"/>
    </row>
    <row r="1240" spans="1:38" ht="120" x14ac:dyDescent="0.25">
      <c r="A1240" s="179"/>
      <c r="B1240" s="292"/>
      <c r="C1240" s="314"/>
      <c r="D1240" s="293"/>
      <c r="E1240" s="28" t="s">
        <v>3860</v>
      </c>
      <c r="F1240" s="235"/>
      <c r="G1240" s="270"/>
      <c r="H1240" s="236"/>
      <c r="I1240" s="155">
        <v>18</v>
      </c>
      <c r="J1240" s="157"/>
      <c r="K1240" s="104" t="s">
        <v>3410</v>
      </c>
      <c r="L1240" s="105"/>
      <c r="M1240" s="180" t="s">
        <v>3854</v>
      </c>
      <c r="N1240" s="450"/>
      <c r="O1240" s="181"/>
      <c r="P1240" s="173" t="s">
        <v>3850</v>
      </c>
      <c r="Q1240" s="174"/>
      <c r="R1240" s="155">
        <v>26</v>
      </c>
      <c r="S1240" s="157"/>
      <c r="T1240" s="183">
        <v>10</v>
      </c>
      <c r="U1240" s="185"/>
      <c r="V1240" s="180" t="s">
        <v>3855</v>
      </c>
      <c r="W1240" s="181"/>
      <c r="X1240" s="297"/>
      <c r="Y1240" s="298"/>
      <c r="Z1240" s="299"/>
      <c r="AA1240" s="235"/>
      <c r="AB1240" s="236"/>
      <c r="AC1240" s="162" t="s">
        <v>3856</v>
      </c>
      <c r="AD1240" s="163"/>
      <c r="AE1240" s="31" t="s">
        <v>1356</v>
      </c>
      <c r="AF1240" s="292"/>
      <c r="AG1240" s="314"/>
      <c r="AH1240" s="293"/>
      <c r="AI1240" s="167"/>
      <c r="AJ1240" s="48"/>
      <c r="AK1240" s="15"/>
      <c r="AL1240" s="15"/>
    </row>
    <row r="1241" spans="1:38" ht="135" x14ac:dyDescent="0.25">
      <c r="A1241" s="179"/>
      <c r="B1241" s="292"/>
      <c r="C1241" s="314"/>
      <c r="D1241" s="293"/>
      <c r="E1241" s="28" t="s">
        <v>3861</v>
      </c>
      <c r="F1241" s="235"/>
      <c r="G1241" s="270"/>
      <c r="H1241" s="236"/>
      <c r="I1241" s="155">
        <v>18</v>
      </c>
      <c r="J1241" s="157"/>
      <c r="K1241" s="104" t="s">
        <v>3410</v>
      </c>
      <c r="L1241" s="105"/>
      <c r="M1241" s="180" t="s">
        <v>3854</v>
      </c>
      <c r="N1241" s="450"/>
      <c r="O1241" s="181"/>
      <c r="P1241" s="173" t="s">
        <v>3850</v>
      </c>
      <c r="Q1241" s="174"/>
      <c r="R1241" s="155">
        <v>26</v>
      </c>
      <c r="S1241" s="157"/>
      <c r="T1241" s="183">
        <v>10</v>
      </c>
      <c r="U1241" s="185"/>
      <c r="V1241" s="180" t="s">
        <v>3855</v>
      </c>
      <c r="W1241" s="181"/>
      <c r="X1241" s="297"/>
      <c r="Y1241" s="298"/>
      <c r="Z1241" s="299"/>
      <c r="AA1241" s="235"/>
      <c r="AB1241" s="236"/>
      <c r="AC1241" s="162" t="s">
        <v>3857</v>
      </c>
      <c r="AD1241" s="163"/>
      <c r="AE1241" s="31" t="s">
        <v>3859</v>
      </c>
      <c r="AF1241" s="292"/>
      <c r="AG1241" s="314"/>
      <c r="AH1241" s="293"/>
      <c r="AI1241" s="167"/>
      <c r="AJ1241" s="48"/>
      <c r="AK1241" s="15"/>
      <c r="AL1241" s="15"/>
    </row>
    <row r="1242" spans="1:38" ht="135" x14ac:dyDescent="0.25">
      <c r="A1242" s="179"/>
      <c r="B1242" s="292"/>
      <c r="C1242" s="314"/>
      <c r="D1242" s="293"/>
      <c r="E1242" s="28" t="s">
        <v>3862</v>
      </c>
      <c r="F1242" s="235"/>
      <c r="G1242" s="270"/>
      <c r="H1242" s="236"/>
      <c r="I1242" s="155">
        <v>18</v>
      </c>
      <c r="J1242" s="157"/>
      <c r="K1242" s="104" t="s">
        <v>3410</v>
      </c>
      <c r="L1242" s="105"/>
      <c r="M1242" s="180" t="s">
        <v>3863</v>
      </c>
      <c r="N1242" s="450"/>
      <c r="O1242" s="181"/>
      <c r="P1242" s="173" t="s">
        <v>3850</v>
      </c>
      <c r="Q1242" s="174"/>
      <c r="R1242" s="155">
        <v>26</v>
      </c>
      <c r="S1242" s="157"/>
      <c r="T1242" s="183">
        <v>10</v>
      </c>
      <c r="U1242" s="185"/>
      <c r="V1242" s="180" t="s">
        <v>3864</v>
      </c>
      <c r="W1242" s="181"/>
      <c r="X1242" s="297"/>
      <c r="Y1242" s="298"/>
      <c r="Z1242" s="299"/>
      <c r="AA1242" s="235"/>
      <c r="AB1242" s="236"/>
      <c r="AC1242" s="162"/>
      <c r="AD1242" s="163"/>
      <c r="AE1242" s="31"/>
      <c r="AF1242" s="292"/>
      <c r="AG1242" s="314"/>
      <c r="AH1242" s="293"/>
      <c r="AI1242" s="167"/>
      <c r="AJ1242" s="48"/>
      <c r="AK1242" s="15"/>
      <c r="AL1242" s="15"/>
    </row>
    <row r="1243" spans="1:38" ht="135" x14ac:dyDescent="0.25">
      <c r="A1243" s="179"/>
      <c r="B1243" s="292"/>
      <c r="C1243" s="314"/>
      <c r="D1243" s="293"/>
      <c r="E1243" s="28" t="s">
        <v>3865</v>
      </c>
      <c r="F1243" s="237"/>
      <c r="G1243" s="306"/>
      <c r="H1243" s="238"/>
      <c r="I1243" s="160">
        <v>18</v>
      </c>
      <c r="J1243" s="161"/>
      <c r="K1243" s="146" t="s">
        <v>3410</v>
      </c>
      <c r="L1243" s="148"/>
      <c r="M1243" s="180" t="s">
        <v>3863</v>
      </c>
      <c r="N1243" s="450"/>
      <c r="O1243" s="181"/>
      <c r="P1243" s="173" t="s">
        <v>3850</v>
      </c>
      <c r="Q1243" s="174"/>
      <c r="R1243" s="160">
        <v>26</v>
      </c>
      <c r="S1243" s="161"/>
      <c r="T1243" s="183">
        <v>10</v>
      </c>
      <c r="U1243" s="185"/>
      <c r="V1243" s="180" t="s">
        <v>3864</v>
      </c>
      <c r="W1243" s="181"/>
      <c r="X1243" s="300"/>
      <c r="Y1243" s="301"/>
      <c r="Z1243" s="302"/>
      <c r="AA1243" s="237"/>
      <c r="AB1243" s="238"/>
      <c r="AC1243" s="162"/>
      <c r="AD1243" s="163"/>
      <c r="AE1243" s="31"/>
      <c r="AF1243" s="292"/>
      <c r="AG1243" s="314"/>
      <c r="AH1243" s="293"/>
      <c r="AI1243" s="167"/>
      <c r="AJ1243" s="48"/>
      <c r="AK1243" s="15"/>
      <c r="AL1243" s="15"/>
    </row>
    <row r="1244" spans="1:38" ht="135" x14ac:dyDescent="0.25">
      <c r="A1244" s="179"/>
      <c r="B1244" s="292"/>
      <c r="C1244" s="314"/>
      <c r="D1244" s="293"/>
      <c r="E1244" s="28" t="s">
        <v>3866</v>
      </c>
      <c r="F1244" s="233" t="s">
        <v>2961</v>
      </c>
      <c r="G1244" s="305"/>
      <c r="H1244" s="234"/>
      <c r="I1244" s="112">
        <v>23</v>
      </c>
      <c r="J1244" s="113"/>
      <c r="K1244" s="88" t="s">
        <v>1096</v>
      </c>
      <c r="L1244" s="89"/>
      <c r="M1244" s="180" t="s">
        <v>3867</v>
      </c>
      <c r="N1244" s="450"/>
      <c r="O1244" s="181"/>
      <c r="P1244" s="173" t="s">
        <v>3868</v>
      </c>
      <c r="Q1244" s="174"/>
      <c r="R1244" s="112">
        <v>32</v>
      </c>
      <c r="S1244" s="113"/>
      <c r="T1244" s="183">
        <v>12</v>
      </c>
      <c r="U1244" s="185"/>
      <c r="V1244" s="173" t="s">
        <v>3869</v>
      </c>
      <c r="W1244" s="174"/>
      <c r="X1244" s="294">
        <v>229</v>
      </c>
      <c r="Y1244" s="295"/>
      <c r="Z1244" s="296"/>
      <c r="AA1244" s="233" t="s">
        <v>1854</v>
      </c>
      <c r="AB1244" s="234"/>
      <c r="AC1244" s="162"/>
      <c r="AD1244" s="163"/>
      <c r="AE1244" s="31"/>
      <c r="AF1244" s="292"/>
      <c r="AG1244" s="314"/>
      <c r="AH1244" s="293"/>
      <c r="AI1244" s="167"/>
      <c r="AJ1244" s="48"/>
      <c r="AK1244" s="15"/>
      <c r="AL1244" s="15"/>
    </row>
    <row r="1245" spans="1:38" ht="135" x14ac:dyDescent="0.25">
      <c r="A1245" s="179"/>
      <c r="B1245" s="292"/>
      <c r="C1245" s="314"/>
      <c r="D1245" s="293"/>
      <c r="E1245" s="28" t="s">
        <v>3870</v>
      </c>
      <c r="F1245" s="235"/>
      <c r="G1245" s="270"/>
      <c r="H1245" s="236"/>
      <c r="I1245" s="155">
        <v>23</v>
      </c>
      <c r="J1245" s="157"/>
      <c r="K1245" s="126" t="s">
        <v>1096</v>
      </c>
      <c r="L1245" s="127"/>
      <c r="M1245" s="180" t="s">
        <v>3867</v>
      </c>
      <c r="N1245" s="450"/>
      <c r="O1245" s="181"/>
      <c r="P1245" s="173" t="s">
        <v>3868</v>
      </c>
      <c r="Q1245" s="174"/>
      <c r="R1245" s="155">
        <v>32</v>
      </c>
      <c r="S1245" s="157"/>
      <c r="T1245" s="183">
        <v>12</v>
      </c>
      <c r="U1245" s="185"/>
      <c r="V1245" s="173" t="s">
        <v>3869</v>
      </c>
      <c r="W1245" s="174"/>
      <c r="X1245" s="297"/>
      <c r="Y1245" s="298"/>
      <c r="Z1245" s="299"/>
      <c r="AA1245" s="235"/>
      <c r="AB1245" s="236"/>
      <c r="AC1245" s="162"/>
      <c r="AD1245" s="163"/>
      <c r="AE1245" s="31"/>
      <c r="AF1245" s="292"/>
      <c r="AG1245" s="314"/>
      <c r="AH1245" s="293"/>
      <c r="AI1245" s="167"/>
      <c r="AJ1245" s="48"/>
      <c r="AK1245" s="15"/>
      <c r="AL1245" s="15"/>
    </row>
    <row r="1246" spans="1:38" ht="150" x14ac:dyDescent="0.25">
      <c r="A1246" s="179"/>
      <c r="B1246" s="292"/>
      <c r="C1246" s="314"/>
      <c r="D1246" s="293"/>
      <c r="E1246" s="28" t="s">
        <v>3871</v>
      </c>
      <c r="F1246" s="235"/>
      <c r="G1246" s="270"/>
      <c r="H1246" s="236"/>
      <c r="I1246" s="155">
        <v>23</v>
      </c>
      <c r="J1246" s="157"/>
      <c r="K1246" s="126" t="s">
        <v>1096</v>
      </c>
      <c r="L1246" s="127"/>
      <c r="M1246" s="180" t="s">
        <v>3867</v>
      </c>
      <c r="N1246" s="450"/>
      <c r="O1246" s="181"/>
      <c r="P1246" s="173" t="s">
        <v>3868</v>
      </c>
      <c r="Q1246" s="174"/>
      <c r="R1246" s="155">
        <v>32</v>
      </c>
      <c r="S1246" s="157"/>
      <c r="T1246" s="183">
        <v>12</v>
      </c>
      <c r="U1246" s="185"/>
      <c r="V1246" s="173" t="s">
        <v>3869</v>
      </c>
      <c r="W1246" s="174"/>
      <c r="X1246" s="297"/>
      <c r="Y1246" s="298"/>
      <c r="Z1246" s="299"/>
      <c r="AA1246" s="235"/>
      <c r="AB1246" s="236"/>
      <c r="AC1246" s="162"/>
      <c r="AD1246" s="163"/>
      <c r="AE1246" s="31"/>
      <c r="AF1246" s="292"/>
      <c r="AG1246" s="314"/>
      <c r="AH1246" s="293"/>
      <c r="AI1246" s="167"/>
      <c r="AJ1246" s="48"/>
      <c r="AK1246" s="15"/>
      <c r="AL1246" s="15"/>
    </row>
    <row r="1247" spans="1:38" ht="120" x14ac:dyDescent="0.25">
      <c r="A1247" s="179"/>
      <c r="B1247" s="292"/>
      <c r="C1247" s="314"/>
      <c r="D1247" s="293"/>
      <c r="E1247" s="28" t="s">
        <v>3872</v>
      </c>
      <c r="F1247" s="235"/>
      <c r="G1247" s="270"/>
      <c r="H1247" s="236"/>
      <c r="I1247" s="155">
        <v>23</v>
      </c>
      <c r="J1247" s="157"/>
      <c r="K1247" s="126" t="s">
        <v>1096</v>
      </c>
      <c r="L1247" s="127"/>
      <c r="M1247" s="180" t="s">
        <v>3873</v>
      </c>
      <c r="N1247" s="450"/>
      <c r="O1247" s="181"/>
      <c r="P1247" s="173" t="s">
        <v>3868</v>
      </c>
      <c r="Q1247" s="174"/>
      <c r="R1247" s="155">
        <v>32</v>
      </c>
      <c r="S1247" s="157"/>
      <c r="T1247" s="183">
        <v>12</v>
      </c>
      <c r="U1247" s="185"/>
      <c r="V1247" s="180" t="s">
        <v>3874</v>
      </c>
      <c r="W1247" s="181"/>
      <c r="X1247" s="297"/>
      <c r="Y1247" s="298"/>
      <c r="Z1247" s="299"/>
      <c r="AA1247" s="235"/>
      <c r="AB1247" s="236"/>
      <c r="AC1247" s="162"/>
      <c r="AD1247" s="163"/>
      <c r="AE1247" s="31"/>
      <c r="AF1247" s="292"/>
      <c r="AG1247" s="314"/>
      <c r="AH1247" s="293"/>
      <c r="AI1247" s="167"/>
      <c r="AJ1247" s="48"/>
      <c r="AK1247" s="15"/>
      <c r="AL1247" s="15"/>
    </row>
    <row r="1248" spans="1:38" ht="135" x14ac:dyDescent="0.25">
      <c r="A1248" s="179"/>
      <c r="B1248" s="292"/>
      <c r="C1248" s="314"/>
      <c r="D1248" s="293"/>
      <c r="E1248" s="28" t="s">
        <v>3875</v>
      </c>
      <c r="F1248" s="237"/>
      <c r="G1248" s="306"/>
      <c r="H1248" s="238"/>
      <c r="I1248" s="160">
        <v>23</v>
      </c>
      <c r="J1248" s="161"/>
      <c r="K1248" s="117" t="s">
        <v>1096</v>
      </c>
      <c r="L1248" s="118"/>
      <c r="M1248" s="180" t="s">
        <v>3873</v>
      </c>
      <c r="N1248" s="450"/>
      <c r="O1248" s="181"/>
      <c r="P1248" s="173" t="s">
        <v>3868</v>
      </c>
      <c r="Q1248" s="174"/>
      <c r="R1248" s="160">
        <v>32</v>
      </c>
      <c r="S1248" s="161"/>
      <c r="T1248" s="183">
        <v>12</v>
      </c>
      <c r="U1248" s="185"/>
      <c r="V1248" s="180" t="s">
        <v>3874</v>
      </c>
      <c r="W1248" s="181"/>
      <c r="X1248" s="300"/>
      <c r="Y1248" s="301"/>
      <c r="Z1248" s="302"/>
      <c r="AA1248" s="237"/>
      <c r="AB1248" s="238"/>
      <c r="AC1248" s="162"/>
      <c r="AD1248" s="163"/>
      <c r="AE1248" s="31"/>
      <c r="AF1248" s="292"/>
      <c r="AG1248" s="314"/>
      <c r="AH1248" s="293"/>
      <c r="AI1248" s="167"/>
      <c r="AJ1248" s="48"/>
      <c r="AK1248" s="15"/>
      <c r="AL1248" s="15"/>
    </row>
    <row r="1249" spans="1:38" ht="135" x14ac:dyDescent="0.25">
      <c r="A1249" s="179"/>
      <c r="B1249" s="292"/>
      <c r="C1249" s="314"/>
      <c r="D1249" s="293"/>
      <c r="E1249" s="28" t="s">
        <v>3876</v>
      </c>
      <c r="F1249" s="233" t="s">
        <v>2967</v>
      </c>
      <c r="G1249" s="305"/>
      <c r="H1249" s="234"/>
      <c r="I1249" s="112">
        <v>28</v>
      </c>
      <c r="J1249" s="113"/>
      <c r="K1249" s="88" t="s">
        <v>3426</v>
      </c>
      <c r="L1249" s="89"/>
      <c r="M1249" s="173" t="s">
        <v>3877</v>
      </c>
      <c r="N1249" s="276"/>
      <c r="O1249" s="174"/>
      <c r="P1249" s="173" t="s">
        <v>1087</v>
      </c>
      <c r="Q1249" s="174"/>
      <c r="R1249" s="112">
        <v>38</v>
      </c>
      <c r="S1249" s="113"/>
      <c r="T1249" s="183">
        <v>14</v>
      </c>
      <c r="U1249" s="185"/>
      <c r="V1249" s="173" t="s">
        <v>3878</v>
      </c>
      <c r="W1249" s="174"/>
      <c r="X1249" s="294">
        <v>249</v>
      </c>
      <c r="Y1249" s="295"/>
      <c r="Z1249" s="296"/>
      <c r="AA1249" s="233" t="s">
        <v>1081</v>
      </c>
      <c r="AB1249" s="234"/>
      <c r="AC1249" s="162"/>
      <c r="AD1249" s="163"/>
      <c r="AE1249" s="31"/>
      <c r="AF1249" s="292"/>
      <c r="AG1249" s="314"/>
      <c r="AH1249" s="293"/>
      <c r="AI1249" s="167"/>
      <c r="AJ1249" s="48"/>
      <c r="AK1249" s="15"/>
      <c r="AL1249" s="15"/>
    </row>
    <row r="1250" spans="1:38" ht="120" x14ac:dyDescent="0.25">
      <c r="A1250" s="179"/>
      <c r="B1250" s="292"/>
      <c r="C1250" s="314"/>
      <c r="D1250" s="293"/>
      <c r="E1250" s="28" t="s">
        <v>3879</v>
      </c>
      <c r="F1250" s="235"/>
      <c r="G1250" s="270"/>
      <c r="H1250" s="236"/>
      <c r="I1250" s="155">
        <v>28</v>
      </c>
      <c r="J1250" s="157"/>
      <c r="K1250" s="126" t="s">
        <v>3426</v>
      </c>
      <c r="L1250" s="127"/>
      <c r="M1250" s="173" t="s">
        <v>3877</v>
      </c>
      <c r="N1250" s="276"/>
      <c r="O1250" s="174"/>
      <c r="P1250" s="173" t="s">
        <v>1087</v>
      </c>
      <c r="Q1250" s="174"/>
      <c r="R1250" s="155">
        <v>38</v>
      </c>
      <c r="S1250" s="157"/>
      <c r="T1250" s="183">
        <v>14</v>
      </c>
      <c r="U1250" s="185"/>
      <c r="V1250" s="173" t="s">
        <v>3878</v>
      </c>
      <c r="W1250" s="174"/>
      <c r="X1250" s="297"/>
      <c r="Y1250" s="298"/>
      <c r="Z1250" s="299"/>
      <c r="AA1250" s="235"/>
      <c r="AB1250" s="236"/>
      <c r="AC1250" s="162"/>
      <c r="AD1250" s="163"/>
      <c r="AE1250" s="31"/>
      <c r="AF1250" s="292"/>
      <c r="AG1250" s="314"/>
      <c r="AH1250" s="293"/>
      <c r="AI1250" s="167"/>
      <c r="AJ1250" s="48"/>
      <c r="AK1250" s="15"/>
      <c r="AL1250" s="15"/>
    </row>
    <row r="1251" spans="1:38" ht="135" x14ac:dyDescent="0.25">
      <c r="A1251" s="179"/>
      <c r="B1251" s="292"/>
      <c r="C1251" s="314"/>
      <c r="D1251" s="293"/>
      <c r="E1251" s="28" t="s">
        <v>3880</v>
      </c>
      <c r="F1251" s="235"/>
      <c r="G1251" s="270"/>
      <c r="H1251" s="236"/>
      <c r="I1251" s="155">
        <v>28</v>
      </c>
      <c r="J1251" s="157"/>
      <c r="K1251" s="126" t="s">
        <v>3426</v>
      </c>
      <c r="L1251" s="127"/>
      <c r="M1251" s="173" t="s">
        <v>3877</v>
      </c>
      <c r="N1251" s="276"/>
      <c r="O1251" s="174"/>
      <c r="P1251" s="173" t="s">
        <v>1087</v>
      </c>
      <c r="Q1251" s="174"/>
      <c r="R1251" s="155">
        <v>38</v>
      </c>
      <c r="S1251" s="157"/>
      <c r="T1251" s="183">
        <v>14</v>
      </c>
      <c r="U1251" s="185"/>
      <c r="V1251" s="173" t="s">
        <v>3878</v>
      </c>
      <c r="W1251" s="174"/>
      <c r="X1251" s="297"/>
      <c r="Y1251" s="298"/>
      <c r="Z1251" s="299"/>
      <c r="AA1251" s="235"/>
      <c r="AB1251" s="236"/>
      <c r="AC1251" s="162"/>
      <c r="AD1251" s="163"/>
      <c r="AE1251" s="31"/>
      <c r="AF1251" s="292"/>
      <c r="AG1251" s="314"/>
      <c r="AH1251" s="293"/>
      <c r="AI1251" s="167"/>
      <c r="AJ1251" s="48"/>
      <c r="AK1251" s="15"/>
      <c r="AL1251" s="15"/>
    </row>
    <row r="1252" spans="1:38" ht="120" x14ac:dyDescent="0.25">
      <c r="A1252" s="179"/>
      <c r="B1252" s="292"/>
      <c r="C1252" s="314"/>
      <c r="D1252" s="293"/>
      <c r="E1252" s="28" t="s">
        <v>3881</v>
      </c>
      <c r="F1252" s="235"/>
      <c r="G1252" s="270"/>
      <c r="H1252" s="236"/>
      <c r="I1252" s="155">
        <v>28</v>
      </c>
      <c r="J1252" s="157"/>
      <c r="K1252" s="126" t="s">
        <v>3426</v>
      </c>
      <c r="L1252" s="127"/>
      <c r="M1252" s="180" t="s">
        <v>3882</v>
      </c>
      <c r="N1252" s="450"/>
      <c r="O1252" s="181"/>
      <c r="P1252" s="173" t="s">
        <v>1087</v>
      </c>
      <c r="Q1252" s="174"/>
      <c r="R1252" s="155">
        <v>38</v>
      </c>
      <c r="S1252" s="157"/>
      <c r="T1252" s="183">
        <v>14</v>
      </c>
      <c r="U1252" s="185"/>
      <c r="V1252" s="180" t="s">
        <v>3883</v>
      </c>
      <c r="W1252" s="181"/>
      <c r="X1252" s="297"/>
      <c r="Y1252" s="298"/>
      <c r="Z1252" s="299"/>
      <c r="AA1252" s="235"/>
      <c r="AB1252" s="236"/>
      <c r="AC1252" s="162"/>
      <c r="AD1252" s="163"/>
      <c r="AE1252" s="31"/>
      <c r="AF1252" s="292"/>
      <c r="AG1252" s="314"/>
      <c r="AH1252" s="293"/>
      <c r="AI1252" s="167"/>
      <c r="AJ1252" s="48"/>
      <c r="AK1252" s="15"/>
      <c r="AL1252" s="15"/>
    </row>
    <row r="1253" spans="1:38" ht="135" x14ac:dyDescent="0.25">
      <c r="A1253" s="230"/>
      <c r="B1253" s="290"/>
      <c r="C1253" s="345"/>
      <c r="D1253" s="291"/>
      <c r="E1253" s="28" t="s">
        <v>3884</v>
      </c>
      <c r="F1253" s="237"/>
      <c r="G1253" s="306"/>
      <c r="H1253" s="238"/>
      <c r="I1253" s="160">
        <v>28</v>
      </c>
      <c r="J1253" s="161"/>
      <c r="K1253" s="117" t="s">
        <v>3426</v>
      </c>
      <c r="L1253" s="118"/>
      <c r="M1253" s="180" t="s">
        <v>3882</v>
      </c>
      <c r="N1253" s="450"/>
      <c r="O1253" s="181"/>
      <c r="P1253" s="173" t="s">
        <v>1087</v>
      </c>
      <c r="Q1253" s="174"/>
      <c r="R1253" s="160">
        <v>38</v>
      </c>
      <c r="S1253" s="161"/>
      <c r="T1253" s="183">
        <v>14</v>
      </c>
      <c r="U1253" s="185"/>
      <c r="V1253" s="180" t="s">
        <v>3883</v>
      </c>
      <c r="W1253" s="181"/>
      <c r="X1253" s="300"/>
      <c r="Y1253" s="301"/>
      <c r="Z1253" s="302"/>
      <c r="AA1253" s="237"/>
      <c r="AB1253" s="238"/>
      <c r="AC1253" s="212"/>
      <c r="AD1253" s="213"/>
      <c r="AE1253" s="31"/>
      <c r="AF1253" s="290"/>
      <c r="AG1253" s="345"/>
      <c r="AH1253" s="291"/>
      <c r="AI1253" s="167"/>
      <c r="AJ1253" s="48"/>
      <c r="AK1253" s="15"/>
      <c r="AL1253" s="15"/>
    </row>
    <row r="1254" spans="1:38" ht="75" x14ac:dyDescent="0.25">
      <c r="A1254" s="178"/>
      <c r="B1254" s="303" t="s">
        <v>3885</v>
      </c>
      <c r="C1254" s="344"/>
      <c r="D1254" s="304"/>
      <c r="E1254" s="28" t="s">
        <v>3886</v>
      </c>
      <c r="F1254" s="192" t="s">
        <v>3887</v>
      </c>
      <c r="G1254" s="196"/>
      <c r="H1254" s="193"/>
      <c r="I1254" s="143" t="s">
        <v>1342</v>
      </c>
      <c r="J1254" s="145"/>
      <c r="K1254" s="143" t="s">
        <v>3888</v>
      </c>
      <c r="L1254" s="145"/>
      <c r="M1254" s="183">
        <v>43</v>
      </c>
      <c r="N1254" s="184"/>
      <c r="O1254" s="185"/>
      <c r="P1254" s="208" t="s">
        <v>3748</v>
      </c>
      <c r="Q1254" s="209"/>
      <c r="R1254" s="112">
        <v>7</v>
      </c>
      <c r="S1254" s="113"/>
      <c r="T1254" s="112">
        <v>5</v>
      </c>
      <c r="U1254" s="113"/>
      <c r="V1254" s="173" t="s">
        <v>3889</v>
      </c>
      <c r="W1254" s="174"/>
      <c r="X1254" s="252">
        <v>69</v>
      </c>
      <c r="Y1254" s="253"/>
      <c r="Z1254" s="254"/>
      <c r="AA1254" s="192" t="s">
        <v>1114</v>
      </c>
      <c r="AB1254" s="193"/>
      <c r="AC1254" s="303" t="s">
        <v>3194</v>
      </c>
      <c r="AD1254" s="304"/>
      <c r="AE1254" s="35" t="s">
        <v>3891</v>
      </c>
      <c r="AF1254" s="164"/>
      <c r="AG1254" s="165"/>
      <c r="AH1254" s="166"/>
      <c r="AI1254" s="167"/>
      <c r="AJ1254" s="48"/>
      <c r="AK1254" s="15"/>
      <c r="AL1254" s="15"/>
    </row>
    <row r="1255" spans="1:38" ht="90" x14ac:dyDescent="0.25">
      <c r="A1255" s="179"/>
      <c r="B1255" s="292"/>
      <c r="C1255" s="314"/>
      <c r="D1255" s="293"/>
      <c r="E1255" s="28" t="s">
        <v>3893</v>
      </c>
      <c r="F1255" s="272"/>
      <c r="G1255" s="282"/>
      <c r="H1255" s="273"/>
      <c r="I1255" s="104" t="s">
        <v>1342</v>
      </c>
      <c r="J1255" s="105"/>
      <c r="K1255" s="104" t="s">
        <v>3888</v>
      </c>
      <c r="L1255" s="105"/>
      <c r="M1255" s="183">
        <v>43</v>
      </c>
      <c r="N1255" s="184"/>
      <c r="O1255" s="185"/>
      <c r="P1255" s="280" t="s">
        <v>3748</v>
      </c>
      <c r="Q1255" s="281"/>
      <c r="R1255" s="155">
        <v>7</v>
      </c>
      <c r="S1255" s="157"/>
      <c r="T1255" s="155">
        <v>5</v>
      </c>
      <c r="U1255" s="157"/>
      <c r="V1255" s="173" t="s">
        <v>3889</v>
      </c>
      <c r="W1255" s="174"/>
      <c r="X1255" s="311"/>
      <c r="Y1255" s="312"/>
      <c r="Z1255" s="313"/>
      <c r="AA1255" s="272"/>
      <c r="AB1255" s="273"/>
      <c r="AC1255" s="292" t="s">
        <v>3890</v>
      </c>
      <c r="AD1255" s="293"/>
      <c r="AE1255" s="36" t="s">
        <v>1356</v>
      </c>
      <c r="AF1255" s="167"/>
      <c r="AG1255" s="168"/>
      <c r="AH1255" s="169"/>
      <c r="AI1255" s="167"/>
      <c r="AJ1255" s="48"/>
      <c r="AK1255" s="15"/>
      <c r="AL1255" s="15"/>
    </row>
    <row r="1256" spans="1:38" ht="90" x14ac:dyDescent="0.25">
      <c r="A1256" s="179"/>
      <c r="B1256" s="292"/>
      <c r="C1256" s="314"/>
      <c r="D1256" s="293"/>
      <c r="E1256" s="28" t="s">
        <v>3894</v>
      </c>
      <c r="F1256" s="194"/>
      <c r="G1256" s="197"/>
      <c r="H1256" s="195"/>
      <c r="I1256" s="146" t="s">
        <v>1342</v>
      </c>
      <c r="J1256" s="148"/>
      <c r="K1256" s="146" t="s">
        <v>3888</v>
      </c>
      <c r="L1256" s="148"/>
      <c r="M1256" s="183">
        <v>43</v>
      </c>
      <c r="N1256" s="184"/>
      <c r="O1256" s="185"/>
      <c r="P1256" s="210" t="s">
        <v>3748</v>
      </c>
      <c r="Q1256" s="211"/>
      <c r="R1256" s="160">
        <v>7</v>
      </c>
      <c r="S1256" s="161"/>
      <c r="T1256" s="160">
        <v>5</v>
      </c>
      <c r="U1256" s="161"/>
      <c r="V1256" s="173" t="s">
        <v>3889</v>
      </c>
      <c r="W1256" s="174"/>
      <c r="X1256" s="255"/>
      <c r="Y1256" s="256"/>
      <c r="Z1256" s="257"/>
      <c r="AA1256" s="194"/>
      <c r="AB1256" s="195"/>
      <c r="AC1256" s="292"/>
      <c r="AD1256" s="293"/>
      <c r="AE1256" s="36" t="s">
        <v>3892</v>
      </c>
      <c r="AF1256" s="167"/>
      <c r="AG1256" s="168"/>
      <c r="AH1256" s="169"/>
      <c r="AI1256" s="167"/>
      <c r="AJ1256" s="48"/>
      <c r="AK1256" s="15"/>
      <c r="AL1256" s="15"/>
    </row>
    <row r="1257" spans="1:38" ht="90" x14ac:dyDescent="0.25">
      <c r="A1257" s="179"/>
      <c r="B1257" s="292"/>
      <c r="C1257" s="314"/>
      <c r="D1257" s="293"/>
      <c r="E1257" s="28" t="s">
        <v>3895</v>
      </c>
      <c r="F1257" s="192" t="s">
        <v>3896</v>
      </c>
      <c r="G1257" s="196"/>
      <c r="H1257" s="193"/>
      <c r="I1257" s="143" t="s">
        <v>1127</v>
      </c>
      <c r="J1257" s="145"/>
      <c r="K1257" s="143" t="s">
        <v>3897</v>
      </c>
      <c r="L1257" s="145"/>
      <c r="M1257" s="183">
        <v>57</v>
      </c>
      <c r="N1257" s="184"/>
      <c r="O1257" s="185"/>
      <c r="P1257" s="208" t="s">
        <v>3898</v>
      </c>
      <c r="Q1257" s="209"/>
      <c r="R1257" s="112">
        <v>8</v>
      </c>
      <c r="S1257" s="113"/>
      <c r="T1257" s="112">
        <v>5</v>
      </c>
      <c r="U1257" s="113"/>
      <c r="V1257" s="173" t="s">
        <v>3899</v>
      </c>
      <c r="W1257" s="174"/>
      <c r="X1257" s="294">
        <v>89</v>
      </c>
      <c r="Y1257" s="295"/>
      <c r="Z1257" s="296"/>
      <c r="AA1257" s="192" t="s">
        <v>1033</v>
      </c>
      <c r="AB1257" s="193"/>
      <c r="AC1257" s="292"/>
      <c r="AD1257" s="293"/>
      <c r="AE1257" s="36"/>
      <c r="AF1257" s="167"/>
      <c r="AG1257" s="168"/>
      <c r="AH1257" s="169"/>
      <c r="AI1257" s="167"/>
      <c r="AJ1257" s="48"/>
      <c r="AK1257" s="15"/>
      <c r="AL1257" s="15"/>
    </row>
    <row r="1258" spans="1:38" ht="90" x14ac:dyDescent="0.25">
      <c r="A1258" s="179"/>
      <c r="B1258" s="292"/>
      <c r="C1258" s="314"/>
      <c r="D1258" s="293"/>
      <c r="E1258" s="28" t="s">
        <v>3900</v>
      </c>
      <c r="F1258" s="272"/>
      <c r="G1258" s="282"/>
      <c r="H1258" s="273"/>
      <c r="I1258" s="104" t="s">
        <v>1127</v>
      </c>
      <c r="J1258" s="105"/>
      <c r="K1258" s="104" t="s">
        <v>3897</v>
      </c>
      <c r="L1258" s="105"/>
      <c r="M1258" s="183">
        <v>57</v>
      </c>
      <c r="N1258" s="184"/>
      <c r="O1258" s="185"/>
      <c r="P1258" s="280" t="s">
        <v>3898</v>
      </c>
      <c r="Q1258" s="281"/>
      <c r="R1258" s="155">
        <v>8</v>
      </c>
      <c r="S1258" s="157"/>
      <c r="T1258" s="155">
        <v>5</v>
      </c>
      <c r="U1258" s="157"/>
      <c r="V1258" s="173" t="s">
        <v>3899</v>
      </c>
      <c r="W1258" s="174"/>
      <c r="X1258" s="297"/>
      <c r="Y1258" s="298"/>
      <c r="Z1258" s="299"/>
      <c r="AA1258" s="272"/>
      <c r="AB1258" s="273"/>
      <c r="AC1258" s="292"/>
      <c r="AD1258" s="293"/>
      <c r="AE1258" s="36"/>
      <c r="AF1258" s="167"/>
      <c r="AG1258" s="168"/>
      <c r="AH1258" s="169"/>
      <c r="AI1258" s="167"/>
      <c r="AJ1258" s="48"/>
      <c r="AK1258" s="15"/>
      <c r="AL1258" s="15"/>
    </row>
    <row r="1259" spans="1:38" ht="90" x14ac:dyDescent="0.25">
      <c r="A1259" s="179"/>
      <c r="B1259" s="292"/>
      <c r="C1259" s="314"/>
      <c r="D1259" s="293"/>
      <c r="E1259" s="28" t="s">
        <v>3901</v>
      </c>
      <c r="F1259" s="194"/>
      <c r="G1259" s="197"/>
      <c r="H1259" s="195"/>
      <c r="I1259" s="146" t="s">
        <v>1127</v>
      </c>
      <c r="J1259" s="148"/>
      <c r="K1259" s="146" t="s">
        <v>3897</v>
      </c>
      <c r="L1259" s="148"/>
      <c r="M1259" s="183">
        <v>57</v>
      </c>
      <c r="N1259" s="184"/>
      <c r="O1259" s="185"/>
      <c r="P1259" s="210" t="s">
        <v>3898</v>
      </c>
      <c r="Q1259" s="211"/>
      <c r="R1259" s="160">
        <v>8</v>
      </c>
      <c r="S1259" s="161"/>
      <c r="T1259" s="160">
        <v>5</v>
      </c>
      <c r="U1259" s="161"/>
      <c r="V1259" s="173" t="s">
        <v>3899</v>
      </c>
      <c r="W1259" s="174"/>
      <c r="X1259" s="300"/>
      <c r="Y1259" s="301"/>
      <c r="Z1259" s="302"/>
      <c r="AA1259" s="194"/>
      <c r="AB1259" s="195"/>
      <c r="AC1259" s="292"/>
      <c r="AD1259" s="293"/>
      <c r="AE1259" s="36"/>
      <c r="AF1259" s="167"/>
      <c r="AG1259" s="168"/>
      <c r="AH1259" s="169"/>
      <c r="AI1259" s="167"/>
      <c r="AJ1259" s="48"/>
      <c r="AK1259" s="15"/>
      <c r="AL1259" s="15"/>
    </row>
    <row r="1260" spans="1:38" ht="90" x14ac:dyDescent="0.25">
      <c r="A1260" s="179"/>
      <c r="B1260" s="292"/>
      <c r="C1260" s="314"/>
      <c r="D1260" s="293"/>
      <c r="E1260" s="28" t="s">
        <v>3902</v>
      </c>
      <c r="F1260" s="192" t="s">
        <v>3903</v>
      </c>
      <c r="G1260" s="196"/>
      <c r="H1260" s="193"/>
      <c r="I1260" s="143" t="s">
        <v>1751</v>
      </c>
      <c r="J1260" s="145"/>
      <c r="K1260" s="143" t="s">
        <v>3904</v>
      </c>
      <c r="L1260" s="145"/>
      <c r="M1260" s="183">
        <v>70</v>
      </c>
      <c r="N1260" s="184"/>
      <c r="O1260" s="185"/>
      <c r="P1260" s="208" t="s">
        <v>1338</v>
      </c>
      <c r="Q1260" s="209"/>
      <c r="R1260" s="112">
        <v>9</v>
      </c>
      <c r="S1260" s="113"/>
      <c r="T1260" s="112">
        <v>5</v>
      </c>
      <c r="U1260" s="113"/>
      <c r="V1260" s="173" t="s">
        <v>2137</v>
      </c>
      <c r="W1260" s="174"/>
      <c r="X1260" s="252">
        <v>109</v>
      </c>
      <c r="Y1260" s="253"/>
      <c r="Z1260" s="254"/>
      <c r="AA1260" s="192" t="s">
        <v>1181</v>
      </c>
      <c r="AB1260" s="193"/>
      <c r="AC1260" s="292"/>
      <c r="AD1260" s="293"/>
      <c r="AE1260" s="36"/>
      <c r="AF1260" s="167"/>
      <c r="AG1260" s="168"/>
      <c r="AH1260" s="169"/>
      <c r="AI1260" s="167"/>
      <c r="AJ1260" s="48"/>
      <c r="AK1260" s="15"/>
      <c r="AL1260" s="15"/>
    </row>
    <row r="1261" spans="1:38" ht="90" x14ac:dyDescent="0.25">
      <c r="A1261" s="179"/>
      <c r="B1261" s="292"/>
      <c r="C1261" s="314"/>
      <c r="D1261" s="293"/>
      <c r="E1261" s="28" t="s">
        <v>3905</v>
      </c>
      <c r="F1261" s="272"/>
      <c r="G1261" s="282"/>
      <c r="H1261" s="273"/>
      <c r="I1261" s="104" t="s">
        <v>1751</v>
      </c>
      <c r="J1261" s="105"/>
      <c r="K1261" s="104" t="s">
        <v>3904</v>
      </c>
      <c r="L1261" s="105"/>
      <c r="M1261" s="183">
        <v>70</v>
      </c>
      <c r="N1261" s="184"/>
      <c r="O1261" s="185"/>
      <c r="P1261" s="280" t="s">
        <v>1338</v>
      </c>
      <c r="Q1261" s="281"/>
      <c r="R1261" s="155">
        <v>9</v>
      </c>
      <c r="S1261" s="157"/>
      <c r="T1261" s="155">
        <v>5</v>
      </c>
      <c r="U1261" s="157"/>
      <c r="V1261" s="173" t="s">
        <v>2137</v>
      </c>
      <c r="W1261" s="174"/>
      <c r="X1261" s="311"/>
      <c r="Y1261" s="312"/>
      <c r="Z1261" s="313"/>
      <c r="AA1261" s="272"/>
      <c r="AB1261" s="273"/>
      <c r="AC1261" s="292"/>
      <c r="AD1261" s="293"/>
      <c r="AE1261" s="36"/>
      <c r="AF1261" s="167"/>
      <c r="AG1261" s="168"/>
      <c r="AH1261" s="169"/>
      <c r="AI1261" s="167"/>
      <c r="AJ1261" s="48"/>
      <c r="AK1261" s="15"/>
      <c r="AL1261" s="15"/>
    </row>
    <row r="1262" spans="1:38" ht="90" x14ac:dyDescent="0.25">
      <c r="A1262" s="179"/>
      <c r="B1262" s="292"/>
      <c r="C1262" s="314"/>
      <c r="D1262" s="293"/>
      <c r="E1262" s="28" t="s">
        <v>3906</v>
      </c>
      <c r="F1262" s="194"/>
      <c r="G1262" s="197"/>
      <c r="H1262" s="195"/>
      <c r="I1262" s="146" t="s">
        <v>1751</v>
      </c>
      <c r="J1262" s="148"/>
      <c r="K1262" s="146" t="s">
        <v>3904</v>
      </c>
      <c r="L1262" s="148"/>
      <c r="M1262" s="183">
        <v>70</v>
      </c>
      <c r="N1262" s="184"/>
      <c r="O1262" s="185"/>
      <c r="P1262" s="210" t="s">
        <v>1338</v>
      </c>
      <c r="Q1262" s="211"/>
      <c r="R1262" s="160">
        <v>9</v>
      </c>
      <c r="S1262" s="161"/>
      <c r="T1262" s="160">
        <v>5</v>
      </c>
      <c r="U1262" s="161"/>
      <c r="V1262" s="173" t="s">
        <v>2137</v>
      </c>
      <c r="W1262" s="174"/>
      <c r="X1262" s="255"/>
      <c r="Y1262" s="256"/>
      <c r="Z1262" s="257"/>
      <c r="AA1262" s="194"/>
      <c r="AB1262" s="195"/>
      <c r="AC1262" s="292"/>
      <c r="AD1262" s="293"/>
      <c r="AE1262" s="36"/>
      <c r="AF1262" s="167"/>
      <c r="AG1262" s="168"/>
      <c r="AH1262" s="169"/>
      <c r="AI1262" s="167"/>
      <c r="AJ1262" s="48"/>
      <c r="AK1262" s="15"/>
      <c r="AL1262" s="15"/>
    </row>
    <row r="1263" spans="1:38" ht="75" x14ac:dyDescent="0.25">
      <c r="A1263" s="179"/>
      <c r="B1263" s="292"/>
      <c r="C1263" s="314"/>
      <c r="D1263" s="293"/>
      <c r="E1263" s="28" t="s">
        <v>3907</v>
      </c>
      <c r="F1263" s="192" t="s">
        <v>3903</v>
      </c>
      <c r="G1263" s="196"/>
      <c r="H1263" s="193"/>
      <c r="I1263" s="143" t="s">
        <v>1127</v>
      </c>
      <c r="J1263" s="145"/>
      <c r="K1263" s="143" t="s">
        <v>3904</v>
      </c>
      <c r="L1263" s="145"/>
      <c r="M1263" s="183">
        <v>59</v>
      </c>
      <c r="N1263" s="184"/>
      <c r="O1263" s="185"/>
      <c r="P1263" s="208" t="s">
        <v>1338</v>
      </c>
      <c r="Q1263" s="209"/>
      <c r="R1263" s="88" t="s">
        <v>1463</v>
      </c>
      <c r="S1263" s="89"/>
      <c r="T1263" s="112">
        <v>5</v>
      </c>
      <c r="U1263" s="113"/>
      <c r="V1263" s="173" t="s">
        <v>3908</v>
      </c>
      <c r="W1263" s="174"/>
      <c r="X1263" s="294">
        <v>89</v>
      </c>
      <c r="Y1263" s="295"/>
      <c r="Z1263" s="296"/>
      <c r="AA1263" s="192" t="s">
        <v>1759</v>
      </c>
      <c r="AB1263" s="193"/>
      <c r="AC1263" s="292"/>
      <c r="AD1263" s="293"/>
      <c r="AE1263" s="36"/>
      <c r="AF1263" s="167"/>
      <c r="AG1263" s="168"/>
      <c r="AH1263" s="169"/>
      <c r="AI1263" s="167"/>
      <c r="AJ1263" s="48"/>
      <c r="AK1263" s="15"/>
      <c r="AL1263" s="15"/>
    </row>
    <row r="1264" spans="1:38" ht="75" x14ac:dyDescent="0.25">
      <c r="A1264" s="179"/>
      <c r="B1264" s="292"/>
      <c r="C1264" s="314"/>
      <c r="D1264" s="293"/>
      <c r="E1264" s="28" t="s">
        <v>3909</v>
      </c>
      <c r="F1264" s="272"/>
      <c r="G1264" s="282"/>
      <c r="H1264" s="273"/>
      <c r="I1264" s="104" t="s">
        <v>1127</v>
      </c>
      <c r="J1264" s="105"/>
      <c r="K1264" s="104" t="s">
        <v>3904</v>
      </c>
      <c r="L1264" s="105"/>
      <c r="M1264" s="183">
        <v>59</v>
      </c>
      <c r="N1264" s="184"/>
      <c r="O1264" s="185"/>
      <c r="P1264" s="280" t="s">
        <v>1338</v>
      </c>
      <c r="Q1264" s="281"/>
      <c r="R1264" s="126" t="s">
        <v>1463</v>
      </c>
      <c r="S1264" s="127"/>
      <c r="T1264" s="155">
        <v>5</v>
      </c>
      <c r="U1264" s="157"/>
      <c r="V1264" s="173" t="s">
        <v>3908</v>
      </c>
      <c r="W1264" s="174"/>
      <c r="X1264" s="297"/>
      <c r="Y1264" s="298"/>
      <c r="Z1264" s="299"/>
      <c r="AA1264" s="272"/>
      <c r="AB1264" s="273"/>
      <c r="AC1264" s="292"/>
      <c r="AD1264" s="293"/>
      <c r="AE1264" s="36"/>
      <c r="AF1264" s="167"/>
      <c r="AG1264" s="168"/>
      <c r="AH1264" s="169"/>
      <c r="AI1264" s="167"/>
      <c r="AJ1264" s="48"/>
      <c r="AK1264" s="15"/>
      <c r="AL1264" s="15"/>
    </row>
    <row r="1265" spans="1:38" ht="75" x14ac:dyDescent="0.25">
      <c r="A1265" s="179"/>
      <c r="B1265" s="292"/>
      <c r="C1265" s="314"/>
      <c r="D1265" s="293"/>
      <c r="E1265" s="28" t="s">
        <v>3910</v>
      </c>
      <c r="F1265" s="194"/>
      <c r="G1265" s="197"/>
      <c r="H1265" s="195"/>
      <c r="I1265" s="146" t="s">
        <v>1127</v>
      </c>
      <c r="J1265" s="148"/>
      <c r="K1265" s="146" t="s">
        <v>3904</v>
      </c>
      <c r="L1265" s="148"/>
      <c r="M1265" s="183">
        <v>59</v>
      </c>
      <c r="N1265" s="184"/>
      <c r="O1265" s="185"/>
      <c r="P1265" s="210" t="s">
        <v>1338</v>
      </c>
      <c r="Q1265" s="211"/>
      <c r="R1265" s="117" t="s">
        <v>1463</v>
      </c>
      <c r="S1265" s="118"/>
      <c r="T1265" s="160">
        <v>5</v>
      </c>
      <c r="U1265" s="161"/>
      <c r="V1265" s="173" t="s">
        <v>3908</v>
      </c>
      <c r="W1265" s="174"/>
      <c r="X1265" s="300"/>
      <c r="Y1265" s="301"/>
      <c r="Z1265" s="302"/>
      <c r="AA1265" s="194"/>
      <c r="AB1265" s="195"/>
      <c r="AC1265" s="292"/>
      <c r="AD1265" s="293"/>
      <c r="AE1265" s="36"/>
      <c r="AF1265" s="167"/>
      <c r="AG1265" s="168"/>
      <c r="AH1265" s="169"/>
      <c r="AI1265" s="167"/>
      <c r="AJ1265" s="48"/>
      <c r="AK1265" s="15"/>
      <c r="AL1265" s="15"/>
    </row>
    <row r="1266" spans="1:38" ht="75" x14ac:dyDescent="0.25">
      <c r="A1266" s="179"/>
      <c r="B1266" s="292"/>
      <c r="C1266" s="314"/>
      <c r="D1266" s="293"/>
      <c r="E1266" s="28" t="s">
        <v>3911</v>
      </c>
      <c r="F1266" s="192" t="s">
        <v>3903</v>
      </c>
      <c r="G1266" s="196"/>
      <c r="H1266" s="193"/>
      <c r="I1266" s="112">
        <v>6</v>
      </c>
      <c r="J1266" s="113"/>
      <c r="K1266" s="143" t="s">
        <v>3904</v>
      </c>
      <c r="L1266" s="145"/>
      <c r="M1266" s="183">
        <v>77</v>
      </c>
      <c r="N1266" s="184"/>
      <c r="O1266" s="185"/>
      <c r="P1266" s="208" t="s">
        <v>1338</v>
      </c>
      <c r="Q1266" s="209"/>
      <c r="R1266" s="112">
        <v>9</v>
      </c>
      <c r="S1266" s="113"/>
      <c r="T1266" s="112">
        <v>5</v>
      </c>
      <c r="U1266" s="113"/>
      <c r="V1266" s="173" t="s">
        <v>1454</v>
      </c>
      <c r="W1266" s="174"/>
      <c r="X1266" s="252">
        <v>119</v>
      </c>
      <c r="Y1266" s="253"/>
      <c r="Z1266" s="254"/>
      <c r="AA1266" s="192" t="s">
        <v>1364</v>
      </c>
      <c r="AB1266" s="193"/>
      <c r="AC1266" s="292"/>
      <c r="AD1266" s="293"/>
      <c r="AE1266" s="36"/>
      <c r="AF1266" s="167"/>
      <c r="AG1266" s="168"/>
      <c r="AH1266" s="169"/>
      <c r="AI1266" s="167"/>
      <c r="AJ1266" s="48"/>
      <c r="AK1266" s="15"/>
      <c r="AL1266" s="15"/>
    </row>
    <row r="1267" spans="1:38" ht="75" x14ac:dyDescent="0.25">
      <c r="A1267" s="179"/>
      <c r="B1267" s="292"/>
      <c r="C1267" s="314"/>
      <c r="D1267" s="293"/>
      <c r="E1267" s="28" t="s">
        <v>3912</v>
      </c>
      <c r="F1267" s="272"/>
      <c r="G1267" s="282"/>
      <c r="H1267" s="273"/>
      <c r="I1267" s="155">
        <v>6</v>
      </c>
      <c r="J1267" s="157"/>
      <c r="K1267" s="104" t="s">
        <v>3904</v>
      </c>
      <c r="L1267" s="105"/>
      <c r="M1267" s="183">
        <v>77</v>
      </c>
      <c r="N1267" s="184"/>
      <c r="O1267" s="185"/>
      <c r="P1267" s="280" t="s">
        <v>1338</v>
      </c>
      <c r="Q1267" s="281"/>
      <c r="R1267" s="155">
        <v>9</v>
      </c>
      <c r="S1267" s="157"/>
      <c r="T1267" s="155">
        <v>5</v>
      </c>
      <c r="U1267" s="157"/>
      <c r="V1267" s="173" t="s">
        <v>1454</v>
      </c>
      <c r="W1267" s="174"/>
      <c r="X1267" s="311"/>
      <c r="Y1267" s="312"/>
      <c r="Z1267" s="313"/>
      <c r="AA1267" s="272"/>
      <c r="AB1267" s="273"/>
      <c r="AC1267" s="292"/>
      <c r="AD1267" s="293"/>
      <c r="AE1267" s="36"/>
      <c r="AF1267" s="167"/>
      <c r="AG1267" s="168"/>
      <c r="AH1267" s="169"/>
      <c r="AI1267" s="167"/>
      <c r="AJ1267" s="48"/>
      <c r="AK1267" s="15"/>
      <c r="AL1267" s="15"/>
    </row>
    <row r="1268" spans="1:38" ht="75" x14ac:dyDescent="0.25">
      <c r="A1268" s="179"/>
      <c r="B1268" s="292"/>
      <c r="C1268" s="314"/>
      <c r="D1268" s="293"/>
      <c r="E1268" s="28" t="s">
        <v>3913</v>
      </c>
      <c r="F1268" s="194"/>
      <c r="G1268" s="197"/>
      <c r="H1268" s="195"/>
      <c r="I1268" s="160">
        <v>6</v>
      </c>
      <c r="J1268" s="161"/>
      <c r="K1268" s="146" t="s">
        <v>3904</v>
      </c>
      <c r="L1268" s="148"/>
      <c r="M1268" s="183">
        <v>77</v>
      </c>
      <c r="N1268" s="184"/>
      <c r="O1268" s="185"/>
      <c r="P1268" s="210" t="s">
        <v>1338</v>
      </c>
      <c r="Q1268" s="211"/>
      <c r="R1268" s="160">
        <v>9</v>
      </c>
      <c r="S1268" s="161"/>
      <c r="T1268" s="160">
        <v>5</v>
      </c>
      <c r="U1268" s="161"/>
      <c r="V1268" s="173" t="s">
        <v>1454</v>
      </c>
      <c r="W1268" s="174"/>
      <c r="X1268" s="255"/>
      <c r="Y1268" s="256"/>
      <c r="Z1268" s="257"/>
      <c r="AA1268" s="194"/>
      <c r="AB1268" s="195"/>
      <c r="AC1268" s="292"/>
      <c r="AD1268" s="293"/>
      <c r="AE1268" s="36"/>
      <c r="AF1268" s="167"/>
      <c r="AG1268" s="168"/>
      <c r="AH1268" s="169"/>
      <c r="AI1268" s="167"/>
      <c r="AJ1268" s="48"/>
      <c r="AK1268" s="15"/>
      <c r="AL1268" s="15"/>
    </row>
    <row r="1269" spans="1:38" ht="75" x14ac:dyDescent="0.25">
      <c r="A1269" s="179"/>
      <c r="B1269" s="292"/>
      <c r="C1269" s="314"/>
      <c r="D1269" s="293"/>
      <c r="E1269" s="28" t="s">
        <v>3914</v>
      </c>
      <c r="F1269" s="192" t="s">
        <v>3903</v>
      </c>
      <c r="G1269" s="196"/>
      <c r="H1269" s="193"/>
      <c r="I1269" s="143" t="s">
        <v>1717</v>
      </c>
      <c r="J1269" s="145"/>
      <c r="K1269" s="143" t="s">
        <v>3904</v>
      </c>
      <c r="L1269" s="145"/>
      <c r="M1269" s="183">
        <v>94</v>
      </c>
      <c r="N1269" s="184"/>
      <c r="O1269" s="185"/>
      <c r="P1269" s="208" t="s">
        <v>1338</v>
      </c>
      <c r="Q1269" s="209"/>
      <c r="R1269" s="112">
        <v>13</v>
      </c>
      <c r="S1269" s="113"/>
      <c r="T1269" s="112">
        <v>5</v>
      </c>
      <c r="U1269" s="113"/>
      <c r="V1269" s="173" t="s">
        <v>3915</v>
      </c>
      <c r="W1269" s="174"/>
      <c r="X1269" s="252">
        <v>139</v>
      </c>
      <c r="Y1269" s="253"/>
      <c r="Z1269" s="254"/>
      <c r="AA1269" s="192" t="s">
        <v>1114</v>
      </c>
      <c r="AB1269" s="193"/>
      <c r="AC1269" s="292"/>
      <c r="AD1269" s="293"/>
      <c r="AE1269" s="36"/>
      <c r="AF1269" s="167"/>
      <c r="AG1269" s="168"/>
      <c r="AH1269" s="169"/>
      <c r="AI1269" s="167"/>
      <c r="AJ1269" s="48"/>
      <c r="AK1269" s="15"/>
      <c r="AL1269" s="15"/>
    </row>
    <row r="1270" spans="1:38" ht="75" x14ac:dyDescent="0.25">
      <c r="A1270" s="179"/>
      <c r="B1270" s="292"/>
      <c r="C1270" s="314"/>
      <c r="D1270" s="293"/>
      <c r="E1270" s="28" t="s">
        <v>3916</v>
      </c>
      <c r="F1270" s="272"/>
      <c r="G1270" s="282"/>
      <c r="H1270" s="273"/>
      <c r="I1270" s="104" t="s">
        <v>1717</v>
      </c>
      <c r="J1270" s="105"/>
      <c r="K1270" s="104" t="s">
        <v>3904</v>
      </c>
      <c r="L1270" s="105"/>
      <c r="M1270" s="183">
        <v>94</v>
      </c>
      <c r="N1270" s="184"/>
      <c r="O1270" s="185"/>
      <c r="P1270" s="280" t="s">
        <v>1338</v>
      </c>
      <c r="Q1270" s="281"/>
      <c r="R1270" s="155">
        <v>13</v>
      </c>
      <c r="S1270" s="157"/>
      <c r="T1270" s="155">
        <v>5</v>
      </c>
      <c r="U1270" s="157"/>
      <c r="V1270" s="173" t="s">
        <v>3915</v>
      </c>
      <c r="W1270" s="174"/>
      <c r="X1270" s="311"/>
      <c r="Y1270" s="312"/>
      <c r="Z1270" s="313"/>
      <c r="AA1270" s="272"/>
      <c r="AB1270" s="273"/>
      <c r="AC1270" s="292"/>
      <c r="AD1270" s="293"/>
      <c r="AE1270" s="36"/>
      <c r="AF1270" s="167"/>
      <c r="AG1270" s="168"/>
      <c r="AH1270" s="169"/>
      <c r="AI1270" s="167"/>
      <c r="AJ1270" s="48"/>
      <c r="AK1270" s="15"/>
      <c r="AL1270" s="15"/>
    </row>
    <row r="1271" spans="1:38" ht="75" x14ac:dyDescent="0.25">
      <c r="A1271" s="230"/>
      <c r="B1271" s="290"/>
      <c r="C1271" s="345"/>
      <c r="D1271" s="291"/>
      <c r="E1271" s="28" t="s">
        <v>3917</v>
      </c>
      <c r="F1271" s="194"/>
      <c r="G1271" s="197"/>
      <c r="H1271" s="195"/>
      <c r="I1271" s="146" t="s">
        <v>1717</v>
      </c>
      <c r="J1271" s="148"/>
      <c r="K1271" s="146" t="s">
        <v>3904</v>
      </c>
      <c r="L1271" s="148"/>
      <c r="M1271" s="183">
        <v>94</v>
      </c>
      <c r="N1271" s="184"/>
      <c r="O1271" s="185"/>
      <c r="P1271" s="210" t="s">
        <v>1338</v>
      </c>
      <c r="Q1271" s="211"/>
      <c r="R1271" s="160">
        <v>13</v>
      </c>
      <c r="S1271" s="161"/>
      <c r="T1271" s="160">
        <v>5</v>
      </c>
      <c r="U1271" s="161"/>
      <c r="V1271" s="173" t="s">
        <v>3915</v>
      </c>
      <c r="W1271" s="174"/>
      <c r="X1271" s="255"/>
      <c r="Y1271" s="256"/>
      <c r="Z1271" s="257"/>
      <c r="AA1271" s="194"/>
      <c r="AB1271" s="195"/>
      <c r="AC1271" s="290"/>
      <c r="AD1271" s="291"/>
      <c r="AE1271" s="36"/>
      <c r="AF1271" s="214"/>
      <c r="AG1271" s="215"/>
      <c r="AH1271" s="216"/>
      <c r="AI1271" s="167"/>
      <c r="AJ1271" s="48"/>
      <c r="AK1271" s="15"/>
      <c r="AL1271" s="15"/>
    </row>
    <row r="1272" spans="1:38" ht="90" x14ac:dyDescent="0.25">
      <c r="A1272" s="178"/>
      <c r="B1272" s="303" t="s">
        <v>3918</v>
      </c>
      <c r="C1272" s="344"/>
      <c r="D1272" s="304"/>
      <c r="E1272" s="28" t="s">
        <v>3919</v>
      </c>
      <c r="F1272" s="233" t="s">
        <v>3920</v>
      </c>
      <c r="G1272" s="305"/>
      <c r="H1272" s="234"/>
      <c r="I1272" s="110" t="s">
        <v>1342</v>
      </c>
      <c r="J1272" s="111"/>
      <c r="K1272" s="143" t="s">
        <v>3921</v>
      </c>
      <c r="L1272" s="145"/>
      <c r="M1272" s="173" t="s">
        <v>1502</v>
      </c>
      <c r="N1272" s="276"/>
      <c r="O1272" s="174"/>
      <c r="P1272" s="208" t="s">
        <v>3922</v>
      </c>
      <c r="Q1272" s="209"/>
      <c r="R1272" s="112">
        <v>7</v>
      </c>
      <c r="S1272" s="113"/>
      <c r="T1272" s="112">
        <v>4</v>
      </c>
      <c r="U1272" s="113"/>
      <c r="V1272" s="173" t="s">
        <v>3743</v>
      </c>
      <c r="W1272" s="174"/>
      <c r="X1272" s="252">
        <v>55</v>
      </c>
      <c r="Y1272" s="253"/>
      <c r="Z1272" s="254"/>
      <c r="AA1272" s="233" t="s">
        <v>1090</v>
      </c>
      <c r="AB1272" s="234"/>
      <c r="AC1272" s="223" t="s">
        <v>3194</v>
      </c>
      <c r="AD1272" s="224"/>
      <c r="AE1272" s="24" t="s">
        <v>3925</v>
      </c>
      <c r="AF1272" s="303" t="s">
        <v>734</v>
      </c>
      <c r="AG1272" s="344"/>
      <c r="AH1272" s="304"/>
      <c r="AI1272" s="167"/>
      <c r="AJ1272" s="48"/>
      <c r="AK1272" s="15"/>
      <c r="AL1272" s="15"/>
    </row>
    <row r="1273" spans="1:38" ht="90" x14ac:dyDescent="0.25">
      <c r="A1273" s="179"/>
      <c r="B1273" s="292"/>
      <c r="C1273" s="314"/>
      <c r="D1273" s="293"/>
      <c r="E1273" s="28" t="s">
        <v>3927</v>
      </c>
      <c r="F1273" s="235"/>
      <c r="G1273" s="270"/>
      <c r="H1273" s="236"/>
      <c r="I1273" s="110" t="s">
        <v>1342</v>
      </c>
      <c r="J1273" s="111"/>
      <c r="K1273" s="104" t="s">
        <v>3921</v>
      </c>
      <c r="L1273" s="105"/>
      <c r="M1273" s="173" t="s">
        <v>1502</v>
      </c>
      <c r="N1273" s="276"/>
      <c r="O1273" s="174"/>
      <c r="P1273" s="280" t="s">
        <v>3922</v>
      </c>
      <c r="Q1273" s="281"/>
      <c r="R1273" s="155">
        <v>7</v>
      </c>
      <c r="S1273" s="157"/>
      <c r="T1273" s="155">
        <v>4</v>
      </c>
      <c r="U1273" s="157"/>
      <c r="V1273" s="173" t="s">
        <v>3743</v>
      </c>
      <c r="W1273" s="174"/>
      <c r="X1273" s="311"/>
      <c r="Y1273" s="312"/>
      <c r="Z1273" s="313"/>
      <c r="AA1273" s="235"/>
      <c r="AB1273" s="236"/>
      <c r="AC1273" s="239" t="s">
        <v>3923</v>
      </c>
      <c r="AD1273" s="240"/>
      <c r="AE1273" s="31" t="s">
        <v>1356</v>
      </c>
      <c r="AF1273" s="292" t="s">
        <v>2541</v>
      </c>
      <c r="AG1273" s="314"/>
      <c r="AH1273" s="293"/>
      <c r="AI1273" s="167"/>
      <c r="AJ1273" s="48"/>
      <c r="AK1273" s="15"/>
      <c r="AL1273" s="15"/>
    </row>
    <row r="1274" spans="1:38" ht="90" x14ac:dyDescent="0.25">
      <c r="A1274" s="179"/>
      <c r="B1274" s="292"/>
      <c r="C1274" s="314"/>
      <c r="D1274" s="293"/>
      <c r="E1274" s="28" t="s">
        <v>3928</v>
      </c>
      <c r="F1274" s="235"/>
      <c r="G1274" s="270"/>
      <c r="H1274" s="236"/>
      <c r="I1274" s="110" t="s">
        <v>1342</v>
      </c>
      <c r="J1274" s="111"/>
      <c r="K1274" s="104" t="s">
        <v>3921</v>
      </c>
      <c r="L1274" s="105"/>
      <c r="M1274" s="173" t="s">
        <v>1502</v>
      </c>
      <c r="N1274" s="276"/>
      <c r="O1274" s="174"/>
      <c r="P1274" s="280" t="s">
        <v>3922</v>
      </c>
      <c r="Q1274" s="281"/>
      <c r="R1274" s="155">
        <v>7</v>
      </c>
      <c r="S1274" s="157"/>
      <c r="T1274" s="155">
        <v>4</v>
      </c>
      <c r="U1274" s="157"/>
      <c r="V1274" s="173" t="s">
        <v>3743</v>
      </c>
      <c r="W1274" s="174"/>
      <c r="X1274" s="311"/>
      <c r="Y1274" s="312"/>
      <c r="Z1274" s="313"/>
      <c r="AA1274" s="235"/>
      <c r="AB1274" s="236"/>
      <c r="AC1274" s="239" t="s">
        <v>2211</v>
      </c>
      <c r="AD1274" s="240"/>
      <c r="AE1274" s="31" t="s">
        <v>3926</v>
      </c>
      <c r="AF1274" s="292"/>
      <c r="AG1274" s="314"/>
      <c r="AH1274" s="293"/>
      <c r="AI1274" s="167"/>
      <c r="AJ1274" s="48"/>
      <c r="AK1274" s="15"/>
      <c r="AL1274" s="15"/>
    </row>
    <row r="1275" spans="1:38" ht="90" x14ac:dyDescent="0.25">
      <c r="A1275" s="179"/>
      <c r="B1275" s="292"/>
      <c r="C1275" s="314"/>
      <c r="D1275" s="293"/>
      <c r="E1275" s="28" t="s">
        <v>3929</v>
      </c>
      <c r="F1275" s="235"/>
      <c r="G1275" s="270"/>
      <c r="H1275" s="236"/>
      <c r="I1275" s="110" t="s">
        <v>1342</v>
      </c>
      <c r="J1275" s="111"/>
      <c r="K1275" s="104" t="s">
        <v>3921</v>
      </c>
      <c r="L1275" s="105"/>
      <c r="M1275" s="173" t="s">
        <v>1502</v>
      </c>
      <c r="N1275" s="276"/>
      <c r="O1275" s="174"/>
      <c r="P1275" s="280" t="s">
        <v>3922</v>
      </c>
      <c r="Q1275" s="281"/>
      <c r="R1275" s="155">
        <v>7</v>
      </c>
      <c r="S1275" s="157"/>
      <c r="T1275" s="155">
        <v>4</v>
      </c>
      <c r="U1275" s="157"/>
      <c r="V1275" s="173" t="s">
        <v>3743</v>
      </c>
      <c r="W1275" s="174"/>
      <c r="X1275" s="311"/>
      <c r="Y1275" s="312"/>
      <c r="Z1275" s="313"/>
      <c r="AA1275" s="235"/>
      <c r="AB1275" s="236"/>
      <c r="AC1275" s="239" t="s">
        <v>3924</v>
      </c>
      <c r="AD1275" s="240"/>
      <c r="AE1275" s="31"/>
      <c r="AF1275" s="292"/>
      <c r="AG1275" s="314"/>
      <c r="AH1275" s="293"/>
      <c r="AI1275" s="167"/>
      <c r="AJ1275" s="48"/>
      <c r="AK1275" s="15"/>
      <c r="AL1275" s="15"/>
    </row>
    <row r="1276" spans="1:38" ht="90" x14ac:dyDescent="0.25">
      <c r="A1276" s="179"/>
      <c r="B1276" s="292"/>
      <c r="C1276" s="314"/>
      <c r="D1276" s="293"/>
      <c r="E1276" s="28" t="s">
        <v>3930</v>
      </c>
      <c r="F1276" s="235"/>
      <c r="G1276" s="270"/>
      <c r="H1276" s="236"/>
      <c r="I1276" s="110" t="s">
        <v>1342</v>
      </c>
      <c r="J1276" s="111"/>
      <c r="K1276" s="104" t="s">
        <v>3921</v>
      </c>
      <c r="L1276" s="105"/>
      <c r="M1276" s="173" t="s">
        <v>1502</v>
      </c>
      <c r="N1276" s="276"/>
      <c r="O1276" s="174"/>
      <c r="P1276" s="280" t="s">
        <v>3922</v>
      </c>
      <c r="Q1276" s="281"/>
      <c r="R1276" s="155">
        <v>7</v>
      </c>
      <c r="S1276" s="157"/>
      <c r="T1276" s="155">
        <v>4</v>
      </c>
      <c r="U1276" s="157"/>
      <c r="V1276" s="173" t="s">
        <v>3743</v>
      </c>
      <c r="W1276" s="174"/>
      <c r="X1276" s="311"/>
      <c r="Y1276" s="312"/>
      <c r="Z1276" s="313"/>
      <c r="AA1276" s="235"/>
      <c r="AB1276" s="236"/>
      <c r="AC1276" s="239"/>
      <c r="AD1276" s="240"/>
      <c r="AE1276" s="31"/>
      <c r="AF1276" s="292"/>
      <c r="AG1276" s="314"/>
      <c r="AH1276" s="293"/>
      <c r="AI1276" s="167"/>
      <c r="AJ1276" s="48"/>
      <c r="AK1276" s="15"/>
      <c r="AL1276" s="15"/>
    </row>
    <row r="1277" spans="1:38" ht="90" x14ac:dyDescent="0.25">
      <c r="A1277" s="179"/>
      <c r="B1277" s="292"/>
      <c r="C1277" s="314"/>
      <c r="D1277" s="293"/>
      <c r="E1277" s="28" t="s">
        <v>3931</v>
      </c>
      <c r="F1277" s="235"/>
      <c r="G1277" s="270"/>
      <c r="H1277" s="236"/>
      <c r="I1277" s="110" t="s">
        <v>1342</v>
      </c>
      <c r="J1277" s="111"/>
      <c r="K1277" s="104" t="s">
        <v>3921</v>
      </c>
      <c r="L1277" s="105"/>
      <c r="M1277" s="173" t="s">
        <v>1502</v>
      </c>
      <c r="N1277" s="276"/>
      <c r="O1277" s="174"/>
      <c r="P1277" s="210" t="s">
        <v>3922</v>
      </c>
      <c r="Q1277" s="211"/>
      <c r="R1277" s="155">
        <v>7</v>
      </c>
      <c r="S1277" s="157"/>
      <c r="T1277" s="160">
        <v>4</v>
      </c>
      <c r="U1277" s="161"/>
      <c r="V1277" s="173" t="s">
        <v>3743</v>
      </c>
      <c r="W1277" s="174"/>
      <c r="X1277" s="255"/>
      <c r="Y1277" s="256"/>
      <c r="Z1277" s="257"/>
      <c r="AA1277" s="237"/>
      <c r="AB1277" s="238"/>
      <c r="AC1277" s="239"/>
      <c r="AD1277" s="240"/>
      <c r="AE1277" s="31"/>
      <c r="AF1277" s="292"/>
      <c r="AG1277" s="314"/>
      <c r="AH1277" s="293"/>
      <c r="AI1277" s="167"/>
      <c r="AJ1277" s="48"/>
      <c r="AK1277" s="15"/>
      <c r="AL1277" s="15"/>
    </row>
    <row r="1278" spans="1:38" ht="90" x14ac:dyDescent="0.25">
      <c r="A1278" s="179"/>
      <c r="B1278" s="292"/>
      <c r="C1278" s="314"/>
      <c r="D1278" s="293"/>
      <c r="E1278" s="28" t="s">
        <v>3932</v>
      </c>
      <c r="F1278" s="235"/>
      <c r="G1278" s="270"/>
      <c r="H1278" s="236"/>
      <c r="I1278" s="110" t="s">
        <v>1342</v>
      </c>
      <c r="J1278" s="111"/>
      <c r="K1278" s="104" t="s">
        <v>3921</v>
      </c>
      <c r="L1278" s="105"/>
      <c r="M1278" s="173" t="s">
        <v>3933</v>
      </c>
      <c r="N1278" s="276"/>
      <c r="O1278" s="174"/>
      <c r="P1278" s="208" t="s">
        <v>3922</v>
      </c>
      <c r="Q1278" s="209"/>
      <c r="R1278" s="155">
        <v>7</v>
      </c>
      <c r="S1278" s="157"/>
      <c r="T1278" s="112">
        <v>4</v>
      </c>
      <c r="U1278" s="113"/>
      <c r="V1278" s="173" t="s">
        <v>3934</v>
      </c>
      <c r="W1278" s="174"/>
      <c r="X1278" s="252">
        <v>58</v>
      </c>
      <c r="Y1278" s="253"/>
      <c r="Z1278" s="254"/>
      <c r="AA1278" s="192" t="s">
        <v>1090</v>
      </c>
      <c r="AB1278" s="193"/>
      <c r="AC1278" s="239"/>
      <c r="AD1278" s="240"/>
      <c r="AE1278" s="31"/>
      <c r="AF1278" s="292"/>
      <c r="AG1278" s="314"/>
      <c r="AH1278" s="293"/>
      <c r="AI1278" s="167"/>
      <c r="AJ1278" s="48"/>
      <c r="AK1278" s="15"/>
      <c r="AL1278" s="15"/>
    </row>
    <row r="1279" spans="1:38" ht="90" x14ac:dyDescent="0.25">
      <c r="A1279" s="179"/>
      <c r="B1279" s="292"/>
      <c r="C1279" s="314"/>
      <c r="D1279" s="293"/>
      <c r="E1279" s="28" t="s">
        <v>3935</v>
      </c>
      <c r="F1279" s="235"/>
      <c r="G1279" s="270"/>
      <c r="H1279" s="236"/>
      <c r="I1279" s="110" t="s">
        <v>1342</v>
      </c>
      <c r="J1279" s="111"/>
      <c r="K1279" s="104" t="s">
        <v>3921</v>
      </c>
      <c r="L1279" s="105"/>
      <c r="M1279" s="173" t="s">
        <v>3933</v>
      </c>
      <c r="N1279" s="276"/>
      <c r="O1279" s="174"/>
      <c r="P1279" s="280" t="s">
        <v>3922</v>
      </c>
      <c r="Q1279" s="281"/>
      <c r="R1279" s="155">
        <v>7</v>
      </c>
      <c r="S1279" s="157"/>
      <c r="T1279" s="155">
        <v>4</v>
      </c>
      <c r="U1279" s="157"/>
      <c r="V1279" s="173" t="s">
        <v>3934</v>
      </c>
      <c r="W1279" s="174"/>
      <c r="X1279" s="311"/>
      <c r="Y1279" s="312"/>
      <c r="Z1279" s="313"/>
      <c r="AA1279" s="272"/>
      <c r="AB1279" s="273"/>
      <c r="AC1279" s="239"/>
      <c r="AD1279" s="240"/>
      <c r="AE1279" s="31"/>
      <c r="AF1279" s="292"/>
      <c r="AG1279" s="314"/>
      <c r="AH1279" s="293"/>
      <c r="AI1279" s="167"/>
      <c r="AJ1279" s="48"/>
      <c r="AK1279" s="15"/>
      <c r="AL1279" s="15"/>
    </row>
    <row r="1280" spans="1:38" ht="90" x14ac:dyDescent="0.25">
      <c r="A1280" s="230"/>
      <c r="B1280" s="290"/>
      <c r="C1280" s="345"/>
      <c r="D1280" s="291"/>
      <c r="E1280" s="28" t="s">
        <v>3936</v>
      </c>
      <c r="F1280" s="237"/>
      <c r="G1280" s="306"/>
      <c r="H1280" s="238"/>
      <c r="I1280" s="110" t="s">
        <v>1342</v>
      </c>
      <c r="J1280" s="111"/>
      <c r="K1280" s="146" t="s">
        <v>3921</v>
      </c>
      <c r="L1280" s="148"/>
      <c r="M1280" s="173" t="s">
        <v>3933</v>
      </c>
      <c r="N1280" s="276"/>
      <c r="O1280" s="174"/>
      <c r="P1280" s="210" t="s">
        <v>3922</v>
      </c>
      <c r="Q1280" s="211"/>
      <c r="R1280" s="155">
        <v>7</v>
      </c>
      <c r="S1280" s="157"/>
      <c r="T1280" s="160">
        <v>4</v>
      </c>
      <c r="U1280" s="161"/>
      <c r="V1280" s="173" t="s">
        <v>3934</v>
      </c>
      <c r="W1280" s="174"/>
      <c r="X1280" s="255"/>
      <c r="Y1280" s="256"/>
      <c r="Z1280" s="257"/>
      <c r="AA1280" s="194"/>
      <c r="AB1280" s="195"/>
      <c r="AC1280" s="225"/>
      <c r="AD1280" s="226"/>
      <c r="AE1280" s="31"/>
      <c r="AF1280" s="290"/>
      <c r="AG1280" s="345"/>
      <c r="AH1280" s="291"/>
      <c r="AI1280" s="167"/>
      <c r="AJ1280" s="48"/>
      <c r="AK1280" s="15"/>
      <c r="AL1280" s="15"/>
    </row>
    <row r="1281" spans="1:38" ht="90" x14ac:dyDescent="0.25">
      <c r="A1281" s="178"/>
      <c r="B1281" s="303" t="s">
        <v>3937</v>
      </c>
      <c r="C1281" s="344"/>
      <c r="D1281" s="304"/>
      <c r="E1281" s="28" t="s">
        <v>3938</v>
      </c>
      <c r="F1281" s="233" t="s">
        <v>3920</v>
      </c>
      <c r="G1281" s="305"/>
      <c r="H1281" s="234"/>
      <c r="I1281" s="143" t="s">
        <v>842</v>
      </c>
      <c r="J1281" s="145"/>
      <c r="K1281" s="143" t="s">
        <v>3921</v>
      </c>
      <c r="L1281" s="145"/>
      <c r="M1281" s="173" t="s">
        <v>1502</v>
      </c>
      <c r="N1281" s="276"/>
      <c r="O1281" s="174"/>
      <c r="P1281" s="208" t="s">
        <v>3922</v>
      </c>
      <c r="Q1281" s="209"/>
      <c r="R1281" s="155">
        <v>7</v>
      </c>
      <c r="S1281" s="157"/>
      <c r="T1281" s="112">
        <v>4</v>
      </c>
      <c r="U1281" s="113"/>
      <c r="V1281" s="173" t="s">
        <v>3743</v>
      </c>
      <c r="W1281" s="174"/>
      <c r="X1281" s="252">
        <v>55</v>
      </c>
      <c r="Y1281" s="253"/>
      <c r="Z1281" s="254"/>
      <c r="AA1281" s="233" t="s">
        <v>1090</v>
      </c>
      <c r="AB1281" s="234"/>
      <c r="AC1281" s="171" t="s">
        <v>3194</v>
      </c>
      <c r="AD1281" s="172"/>
      <c r="AE1281" s="24" t="s">
        <v>3941</v>
      </c>
      <c r="AF1281" s="303" t="s">
        <v>734</v>
      </c>
      <c r="AG1281" s="344"/>
      <c r="AH1281" s="304"/>
      <c r="AI1281" s="167"/>
      <c r="AJ1281" s="48"/>
      <c r="AK1281" s="15"/>
      <c r="AL1281" s="15"/>
    </row>
    <row r="1282" spans="1:38" ht="105" x14ac:dyDescent="0.25">
      <c r="A1282" s="179"/>
      <c r="B1282" s="292"/>
      <c r="C1282" s="314"/>
      <c r="D1282" s="293"/>
      <c r="E1282" s="28" t="s">
        <v>3943</v>
      </c>
      <c r="F1282" s="235"/>
      <c r="G1282" s="270"/>
      <c r="H1282" s="236"/>
      <c r="I1282" s="104" t="s">
        <v>842</v>
      </c>
      <c r="J1282" s="105"/>
      <c r="K1282" s="104" t="s">
        <v>3921</v>
      </c>
      <c r="L1282" s="105"/>
      <c r="M1282" s="173" t="s">
        <v>1502</v>
      </c>
      <c r="N1282" s="276"/>
      <c r="O1282" s="174"/>
      <c r="P1282" s="280" t="s">
        <v>3922</v>
      </c>
      <c r="Q1282" s="281"/>
      <c r="R1282" s="155">
        <v>7</v>
      </c>
      <c r="S1282" s="157"/>
      <c r="T1282" s="155">
        <v>4</v>
      </c>
      <c r="U1282" s="157"/>
      <c r="V1282" s="173" t="s">
        <v>3743</v>
      </c>
      <c r="W1282" s="174"/>
      <c r="X1282" s="311"/>
      <c r="Y1282" s="312"/>
      <c r="Z1282" s="313"/>
      <c r="AA1282" s="235"/>
      <c r="AB1282" s="236"/>
      <c r="AC1282" s="162" t="s">
        <v>3939</v>
      </c>
      <c r="AD1282" s="163"/>
      <c r="AE1282" s="31" t="s">
        <v>848</v>
      </c>
      <c r="AF1282" s="292" t="s">
        <v>2541</v>
      </c>
      <c r="AG1282" s="314"/>
      <c r="AH1282" s="293"/>
      <c r="AI1282" s="167"/>
      <c r="AJ1282" s="48"/>
      <c r="AK1282" s="15"/>
      <c r="AL1282" s="15"/>
    </row>
    <row r="1283" spans="1:38" ht="105" x14ac:dyDescent="0.25">
      <c r="A1283" s="179"/>
      <c r="B1283" s="292"/>
      <c r="C1283" s="314"/>
      <c r="D1283" s="293"/>
      <c r="E1283" s="28" t="s">
        <v>3944</v>
      </c>
      <c r="F1283" s="235"/>
      <c r="G1283" s="270"/>
      <c r="H1283" s="236"/>
      <c r="I1283" s="104" t="s">
        <v>842</v>
      </c>
      <c r="J1283" s="105"/>
      <c r="K1283" s="104" t="s">
        <v>3921</v>
      </c>
      <c r="L1283" s="105"/>
      <c r="M1283" s="173" t="s">
        <v>1502</v>
      </c>
      <c r="N1283" s="276"/>
      <c r="O1283" s="174"/>
      <c r="P1283" s="280" t="s">
        <v>3922</v>
      </c>
      <c r="Q1283" s="281"/>
      <c r="R1283" s="155">
        <v>7</v>
      </c>
      <c r="S1283" s="157"/>
      <c r="T1283" s="155">
        <v>4</v>
      </c>
      <c r="U1283" s="157"/>
      <c r="V1283" s="173" t="s">
        <v>3743</v>
      </c>
      <c r="W1283" s="174"/>
      <c r="X1283" s="311"/>
      <c r="Y1283" s="312"/>
      <c r="Z1283" s="313"/>
      <c r="AA1283" s="235"/>
      <c r="AB1283" s="236"/>
      <c r="AC1283" s="162" t="s">
        <v>3940</v>
      </c>
      <c r="AD1283" s="163"/>
      <c r="AE1283" s="31" t="s">
        <v>1356</v>
      </c>
      <c r="AF1283" s="292"/>
      <c r="AG1283" s="314"/>
      <c r="AH1283" s="293"/>
      <c r="AI1283" s="167"/>
      <c r="AJ1283" s="48"/>
      <c r="AK1283" s="15"/>
      <c r="AL1283" s="15"/>
    </row>
    <row r="1284" spans="1:38" ht="90" x14ac:dyDescent="0.25">
      <c r="A1284" s="179"/>
      <c r="B1284" s="292"/>
      <c r="C1284" s="314"/>
      <c r="D1284" s="293"/>
      <c r="E1284" s="28" t="s">
        <v>3945</v>
      </c>
      <c r="F1284" s="235"/>
      <c r="G1284" s="270"/>
      <c r="H1284" s="236"/>
      <c r="I1284" s="104" t="s">
        <v>842</v>
      </c>
      <c r="J1284" s="105"/>
      <c r="K1284" s="104" t="s">
        <v>3921</v>
      </c>
      <c r="L1284" s="105"/>
      <c r="M1284" s="173" t="s">
        <v>1502</v>
      </c>
      <c r="N1284" s="276"/>
      <c r="O1284" s="174"/>
      <c r="P1284" s="280" t="s">
        <v>3922</v>
      </c>
      <c r="Q1284" s="281"/>
      <c r="R1284" s="155">
        <v>7</v>
      </c>
      <c r="S1284" s="157"/>
      <c r="T1284" s="155">
        <v>4</v>
      </c>
      <c r="U1284" s="157"/>
      <c r="V1284" s="173" t="s">
        <v>3743</v>
      </c>
      <c r="W1284" s="174"/>
      <c r="X1284" s="311"/>
      <c r="Y1284" s="312"/>
      <c r="Z1284" s="313"/>
      <c r="AA1284" s="235"/>
      <c r="AB1284" s="236"/>
      <c r="AC1284" s="162"/>
      <c r="AD1284" s="163"/>
      <c r="AE1284" s="31" t="s">
        <v>3942</v>
      </c>
      <c r="AF1284" s="292"/>
      <c r="AG1284" s="314"/>
      <c r="AH1284" s="293"/>
      <c r="AI1284" s="167"/>
      <c r="AJ1284" s="48"/>
      <c r="AK1284" s="15"/>
      <c r="AL1284" s="15"/>
    </row>
    <row r="1285" spans="1:38" ht="90" x14ac:dyDescent="0.25">
      <c r="A1285" s="179"/>
      <c r="B1285" s="292"/>
      <c r="C1285" s="314"/>
      <c r="D1285" s="293"/>
      <c r="E1285" s="28" t="s">
        <v>3946</v>
      </c>
      <c r="F1285" s="235"/>
      <c r="G1285" s="270"/>
      <c r="H1285" s="236"/>
      <c r="I1285" s="104" t="s">
        <v>842</v>
      </c>
      <c r="J1285" s="105"/>
      <c r="K1285" s="104" t="s">
        <v>3921</v>
      </c>
      <c r="L1285" s="105"/>
      <c r="M1285" s="173" t="s">
        <v>1502</v>
      </c>
      <c r="N1285" s="276"/>
      <c r="O1285" s="174"/>
      <c r="P1285" s="280" t="s">
        <v>3922</v>
      </c>
      <c r="Q1285" s="281"/>
      <c r="R1285" s="155">
        <v>7</v>
      </c>
      <c r="S1285" s="157"/>
      <c r="T1285" s="155">
        <v>4</v>
      </c>
      <c r="U1285" s="157"/>
      <c r="V1285" s="173" t="s">
        <v>3743</v>
      </c>
      <c r="W1285" s="174"/>
      <c r="X1285" s="311"/>
      <c r="Y1285" s="312"/>
      <c r="Z1285" s="313"/>
      <c r="AA1285" s="235"/>
      <c r="AB1285" s="236"/>
      <c r="AC1285" s="162"/>
      <c r="AD1285" s="163"/>
      <c r="AE1285" s="31"/>
      <c r="AF1285" s="292"/>
      <c r="AG1285" s="314"/>
      <c r="AH1285" s="293"/>
      <c r="AI1285" s="167"/>
      <c r="AJ1285" s="48"/>
      <c r="AK1285" s="15"/>
      <c r="AL1285" s="15"/>
    </row>
    <row r="1286" spans="1:38" ht="105" x14ac:dyDescent="0.25">
      <c r="A1286" s="179"/>
      <c r="B1286" s="292"/>
      <c r="C1286" s="314"/>
      <c r="D1286" s="293"/>
      <c r="E1286" s="28" t="s">
        <v>3947</v>
      </c>
      <c r="F1286" s="235"/>
      <c r="G1286" s="270"/>
      <c r="H1286" s="236"/>
      <c r="I1286" s="104" t="s">
        <v>842</v>
      </c>
      <c r="J1286" s="105"/>
      <c r="K1286" s="104" t="s">
        <v>3921</v>
      </c>
      <c r="L1286" s="105"/>
      <c r="M1286" s="173" t="s">
        <v>1502</v>
      </c>
      <c r="N1286" s="276"/>
      <c r="O1286" s="174"/>
      <c r="P1286" s="210" t="s">
        <v>3922</v>
      </c>
      <c r="Q1286" s="211"/>
      <c r="R1286" s="155">
        <v>7</v>
      </c>
      <c r="S1286" s="157"/>
      <c r="T1286" s="160">
        <v>4</v>
      </c>
      <c r="U1286" s="161"/>
      <c r="V1286" s="173" t="s">
        <v>3743</v>
      </c>
      <c r="W1286" s="174"/>
      <c r="X1286" s="255"/>
      <c r="Y1286" s="256"/>
      <c r="Z1286" s="257"/>
      <c r="AA1286" s="237"/>
      <c r="AB1286" s="238"/>
      <c r="AC1286" s="162"/>
      <c r="AD1286" s="163"/>
      <c r="AE1286" s="31"/>
      <c r="AF1286" s="292"/>
      <c r="AG1286" s="314"/>
      <c r="AH1286" s="293"/>
      <c r="AI1286" s="167"/>
      <c r="AJ1286" s="48"/>
      <c r="AK1286" s="15"/>
      <c r="AL1286" s="15"/>
    </row>
    <row r="1287" spans="1:38" ht="90" x14ac:dyDescent="0.25">
      <c r="A1287" s="179"/>
      <c r="B1287" s="292"/>
      <c r="C1287" s="314"/>
      <c r="D1287" s="293"/>
      <c r="E1287" s="28" t="s">
        <v>3948</v>
      </c>
      <c r="F1287" s="235"/>
      <c r="G1287" s="270"/>
      <c r="H1287" s="236"/>
      <c r="I1287" s="104" t="s">
        <v>842</v>
      </c>
      <c r="J1287" s="105"/>
      <c r="K1287" s="104" t="s">
        <v>3921</v>
      </c>
      <c r="L1287" s="105"/>
      <c r="M1287" s="173" t="s">
        <v>3933</v>
      </c>
      <c r="N1287" s="276"/>
      <c r="O1287" s="174"/>
      <c r="P1287" s="208" t="s">
        <v>3922</v>
      </c>
      <c r="Q1287" s="209"/>
      <c r="R1287" s="155">
        <v>7</v>
      </c>
      <c r="S1287" s="157"/>
      <c r="T1287" s="112">
        <v>4</v>
      </c>
      <c r="U1287" s="113"/>
      <c r="V1287" s="173" t="s">
        <v>3934</v>
      </c>
      <c r="W1287" s="174"/>
      <c r="X1287" s="252">
        <v>58</v>
      </c>
      <c r="Y1287" s="253"/>
      <c r="Z1287" s="254"/>
      <c r="AA1287" s="192" t="s">
        <v>1090</v>
      </c>
      <c r="AB1287" s="193"/>
      <c r="AC1287" s="162"/>
      <c r="AD1287" s="163"/>
      <c r="AE1287" s="31"/>
      <c r="AF1287" s="292"/>
      <c r="AG1287" s="314"/>
      <c r="AH1287" s="293"/>
      <c r="AI1287" s="167"/>
      <c r="AJ1287" s="48"/>
      <c r="AK1287" s="15"/>
      <c r="AL1287" s="15"/>
    </row>
    <row r="1288" spans="1:38" ht="105" x14ac:dyDescent="0.25">
      <c r="A1288" s="179"/>
      <c r="B1288" s="292"/>
      <c r="C1288" s="314"/>
      <c r="D1288" s="293"/>
      <c r="E1288" s="28" t="s">
        <v>3949</v>
      </c>
      <c r="F1288" s="235"/>
      <c r="G1288" s="270"/>
      <c r="H1288" s="236"/>
      <c r="I1288" s="104" t="s">
        <v>842</v>
      </c>
      <c r="J1288" s="105"/>
      <c r="K1288" s="104" t="s">
        <v>3921</v>
      </c>
      <c r="L1288" s="105"/>
      <c r="M1288" s="173" t="s">
        <v>3933</v>
      </c>
      <c r="N1288" s="276"/>
      <c r="O1288" s="174"/>
      <c r="P1288" s="280" t="s">
        <v>3922</v>
      </c>
      <c r="Q1288" s="281"/>
      <c r="R1288" s="155">
        <v>7</v>
      </c>
      <c r="S1288" s="157"/>
      <c r="T1288" s="155">
        <v>4</v>
      </c>
      <c r="U1288" s="157"/>
      <c r="V1288" s="173" t="s">
        <v>3934</v>
      </c>
      <c r="W1288" s="174"/>
      <c r="X1288" s="311"/>
      <c r="Y1288" s="312"/>
      <c r="Z1288" s="313"/>
      <c r="AA1288" s="272"/>
      <c r="AB1288" s="273"/>
      <c r="AC1288" s="162"/>
      <c r="AD1288" s="163"/>
      <c r="AE1288" s="31"/>
      <c r="AF1288" s="292"/>
      <c r="AG1288" s="314"/>
      <c r="AH1288" s="293"/>
      <c r="AI1288" s="167"/>
      <c r="AJ1288" s="48"/>
      <c r="AK1288" s="15"/>
      <c r="AL1288" s="15"/>
    </row>
    <row r="1289" spans="1:38" ht="105" x14ac:dyDescent="0.25">
      <c r="A1289" s="230"/>
      <c r="B1289" s="290"/>
      <c r="C1289" s="345"/>
      <c r="D1289" s="291"/>
      <c r="E1289" s="28" t="s">
        <v>3950</v>
      </c>
      <c r="F1289" s="237"/>
      <c r="G1289" s="306"/>
      <c r="H1289" s="238"/>
      <c r="I1289" s="146" t="s">
        <v>842</v>
      </c>
      <c r="J1289" s="148"/>
      <c r="K1289" s="146" t="s">
        <v>3921</v>
      </c>
      <c r="L1289" s="148"/>
      <c r="M1289" s="173" t="s">
        <v>3933</v>
      </c>
      <c r="N1289" s="276"/>
      <c r="O1289" s="174"/>
      <c r="P1289" s="210" t="s">
        <v>3922</v>
      </c>
      <c r="Q1289" s="211"/>
      <c r="R1289" s="160">
        <v>7</v>
      </c>
      <c r="S1289" s="161"/>
      <c r="T1289" s="160">
        <v>4</v>
      </c>
      <c r="U1289" s="161"/>
      <c r="V1289" s="173" t="s">
        <v>3934</v>
      </c>
      <c r="W1289" s="174"/>
      <c r="X1289" s="255"/>
      <c r="Y1289" s="256"/>
      <c r="Z1289" s="257"/>
      <c r="AA1289" s="194"/>
      <c r="AB1289" s="195"/>
      <c r="AC1289" s="212"/>
      <c r="AD1289" s="213"/>
      <c r="AE1289" s="31"/>
      <c r="AF1289" s="290"/>
      <c r="AG1289" s="345"/>
      <c r="AH1289" s="291"/>
      <c r="AI1289" s="167"/>
      <c r="AJ1289" s="48"/>
      <c r="AK1289" s="15"/>
      <c r="AL1289" s="15"/>
    </row>
    <row r="1290" spans="1:38" ht="135" x14ac:dyDescent="0.3">
      <c r="A1290" s="178"/>
      <c r="B1290" s="303" t="s">
        <v>3951</v>
      </c>
      <c r="C1290" s="344"/>
      <c r="D1290" s="304"/>
      <c r="E1290" s="28" t="s">
        <v>3952</v>
      </c>
      <c r="F1290" s="233" t="s">
        <v>3953</v>
      </c>
      <c r="G1290" s="305"/>
      <c r="H1290" s="234"/>
      <c r="I1290" s="112">
        <v>14</v>
      </c>
      <c r="J1290" s="113"/>
      <c r="K1290" s="88" t="s">
        <v>3954</v>
      </c>
      <c r="L1290" s="89"/>
      <c r="M1290" s="114" t="s">
        <v>3955</v>
      </c>
      <c r="N1290" s="115"/>
      <c r="O1290" s="116"/>
      <c r="P1290" s="112">
        <v>15</v>
      </c>
      <c r="Q1290" s="113"/>
      <c r="R1290" s="88" t="s">
        <v>977</v>
      </c>
      <c r="S1290" s="89"/>
      <c r="T1290" s="112">
        <v>15</v>
      </c>
      <c r="U1290" s="113"/>
      <c r="V1290" s="173" t="s">
        <v>3956</v>
      </c>
      <c r="W1290" s="174"/>
      <c r="X1290" s="252">
        <v>288</v>
      </c>
      <c r="Y1290" s="253"/>
      <c r="Z1290" s="254"/>
      <c r="AA1290" s="233" t="s">
        <v>879</v>
      </c>
      <c r="AB1290" s="234"/>
      <c r="AC1290" s="171" t="s">
        <v>3194</v>
      </c>
      <c r="AD1290" s="172"/>
      <c r="AE1290" s="16" t="s">
        <v>3959</v>
      </c>
      <c r="AF1290" s="164"/>
      <c r="AG1290" s="165"/>
      <c r="AH1290" s="166"/>
      <c r="AI1290" s="167"/>
      <c r="AJ1290" s="48"/>
      <c r="AK1290" s="15"/>
      <c r="AL1290" s="15"/>
    </row>
    <row r="1291" spans="1:38" ht="120" x14ac:dyDescent="0.3">
      <c r="A1291" s="179"/>
      <c r="B1291" s="292"/>
      <c r="C1291" s="314"/>
      <c r="D1291" s="293"/>
      <c r="E1291" s="28" t="s">
        <v>3961</v>
      </c>
      <c r="F1291" s="235"/>
      <c r="G1291" s="270"/>
      <c r="H1291" s="236"/>
      <c r="I1291" s="155">
        <v>14</v>
      </c>
      <c r="J1291" s="157"/>
      <c r="K1291" s="126" t="s">
        <v>3954</v>
      </c>
      <c r="L1291" s="127"/>
      <c r="M1291" s="114" t="s">
        <v>3955</v>
      </c>
      <c r="N1291" s="115"/>
      <c r="O1291" s="116"/>
      <c r="P1291" s="155">
        <v>15</v>
      </c>
      <c r="Q1291" s="157"/>
      <c r="R1291" s="126" t="s">
        <v>977</v>
      </c>
      <c r="S1291" s="127"/>
      <c r="T1291" s="155">
        <v>15</v>
      </c>
      <c r="U1291" s="157"/>
      <c r="V1291" s="173" t="s">
        <v>3956</v>
      </c>
      <c r="W1291" s="174"/>
      <c r="X1291" s="311"/>
      <c r="Y1291" s="312"/>
      <c r="Z1291" s="313"/>
      <c r="AA1291" s="235"/>
      <c r="AB1291" s="236"/>
      <c r="AC1291" s="162" t="s">
        <v>3957</v>
      </c>
      <c r="AD1291" s="163"/>
      <c r="AE1291" s="43" t="s">
        <v>3960</v>
      </c>
      <c r="AF1291" s="167"/>
      <c r="AG1291" s="168"/>
      <c r="AH1291" s="169"/>
      <c r="AI1291" s="167"/>
      <c r="AJ1291" s="48"/>
      <c r="AK1291" s="15"/>
      <c r="AL1291" s="15"/>
    </row>
    <row r="1292" spans="1:38" ht="120" x14ac:dyDescent="0.3">
      <c r="A1292" s="179"/>
      <c r="B1292" s="292"/>
      <c r="C1292" s="314"/>
      <c r="D1292" s="293"/>
      <c r="E1292" s="28" t="s">
        <v>3962</v>
      </c>
      <c r="F1292" s="237"/>
      <c r="G1292" s="306"/>
      <c r="H1292" s="238"/>
      <c r="I1292" s="160">
        <v>14</v>
      </c>
      <c r="J1292" s="161"/>
      <c r="K1292" s="117" t="s">
        <v>3954</v>
      </c>
      <c r="L1292" s="118"/>
      <c r="M1292" s="114" t="s">
        <v>3955</v>
      </c>
      <c r="N1292" s="115"/>
      <c r="O1292" s="116"/>
      <c r="P1292" s="160">
        <v>15</v>
      </c>
      <c r="Q1292" s="161"/>
      <c r="R1292" s="117" t="s">
        <v>977</v>
      </c>
      <c r="S1292" s="118"/>
      <c r="T1292" s="160">
        <v>15</v>
      </c>
      <c r="U1292" s="161"/>
      <c r="V1292" s="173" t="s">
        <v>3956</v>
      </c>
      <c r="W1292" s="174"/>
      <c r="X1292" s="255"/>
      <c r="Y1292" s="256"/>
      <c r="Z1292" s="257"/>
      <c r="AA1292" s="237"/>
      <c r="AB1292" s="238"/>
      <c r="AC1292" s="162" t="s">
        <v>828</v>
      </c>
      <c r="AD1292" s="163"/>
      <c r="AE1292" s="43"/>
      <c r="AF1292" s="167"/>
      <c r="AG1292" s="168"/>
      <c r="AH1292" s="169"/>
      <c r="AI1292" s="167"/>
      <c r="AJ1292" s="48"/>
      <c r="AK1292" s="15"/>
      <c r="AL1292" s="15"/>
    </row>
    <row r="1293" spans="1:38" ht="120" x14ac:dyDescent="0.3">
      <c r="A1293" s="179"/>
      <c r="B1293" s="292"/>
      <c r="C1293" s="314"/>
      <c r="D1293" s="293"/>
      <c r="E1293" s="28" t="s">
        <v>3963</v>
      </c>
      <c r="F1293" s="233" t="s">
        <v>3964</v>
      </c>
      <c r="G1293" s="305"/>
      <c r="H1293" s="234"/>
      <c r="I1293" s="112">
        <v>19</v>
      </c>
      <c r="J1293" s="113"/>
      <c r="K1293" s="88" t="s">
        <v>3965</v>
      </c>
      <c r="L1293" s="89"/>
      <c r="M1293" s="183">
        <v>146</v>
      </c>
      <c r="N1293" s="184"/>
      <c r="O1293" s="185"/>
      <c r="P1293" s="112">
        <v>20</v>
      </c>
      <c r="Q1293" s="113"/>
      <c r="R1293" s="112">
        <v>27</v>
      </c>
      <c r="S1293" s="113"/>
      <c r="T1293" s="112">
        <v>20</v>
      </c>
      <c r="U1293" s="113"/>
      <c r="V1293" s="173" t="s">
        <v>3966</v>
      </c>
      <c r="W1293" s="174"/>
      <c r="X1293" s="252">
        <v>358</v>
      </c>
      <c r="Y1293" s="253"/>
      <c r="Z1293" s="254"/>
      <c r="AA1293" s="233" t="s">
        <v>688</v>
      </c>
      <c r="AB1293" s="234"/>
      <c r="AC1293" s="162" t="s">
        <v>3958</v>
      </c>
      <c r="AD1293" s="163"/>
      <c r="AE1293" s="43"/>
      <c r="AF1293" s="167"/>
      <c r="AG1293" s="168"/>
      <c r="AH1293" s="169"/>
      <c r="AI1293" s="167"/>
      <c r="AJ1293" s="48"/>
      <c r="AK1293" s="15"/>
      <c r="AL1293" s="15"/>
    </row>
    <row r="1294" spans="1:38" ht="120" x14ac:dyDescent="0.3">
      <c r="A1294" s="179"/>
      <c r="B1294" s="292"/>
      <c r="C1294" s="314"/>
      <c r="D1294" s="293"/>
      <c r="E1294" s="28" t="s">
        <v>3967</v>
      </c>
      <c r="F1294" s="235"/>
      <c r="G1294" s="270"/>
      <c r="H1294" s="236"/>
      <c r="I1294" s="155">
        <v>19</v>
      </c>
      <c r="J1294" s="157"/>
      <c r="K1294" s="126" t="s">
        <v>3965</v>
      </c>
      <c r="L1294" s="127"/>
      <c r="M1294" s="183">
        <v>146</v>
      </c>
      <c r="N1294" s="184"/>
      <c r="O1294" s="185"/>
      <c r="P1294" s="155">
        <v>20</v>
      </c>
      <c r="Q1294" s="157"/>
      <c r="R1294" s="155">
        <v>27</v>
      </c>
      <c r="S1294" s="157"/>
      <c r="T1294" s="155">
        <v>20</v>
      </c>
      <c r="U1294" s="157"/>
      <c r="V1294" s="173" t="s">
        <v>3966</v>
      </c>
      <c r="W1294" s="174"/>
      <c r="X1294" s="311"/>
      <c r="Y1294" s="312"/>
      <c r="Z1294" s="313"/>
      <c r="AA1294" s="235"/>
      <c r="AB1294" s="236"/>
      <c r="AC1294" s="162"/>
      <c r="AD1294" s="163"/>
      <c r="AE1294" s="43"/>
      <c r="AF1294" s="167"/>
      <c r="AG1294" s="168"/>
      <c r="AH1294" s="169"/>
      <c r="AI1294" s="167"/>
      <c r="AJ1294" s="48"/>
      <c r="AK1294" s="15"/>
      <c r="AL1294" s="15"/>
    </row>
    <row r="1295" spans="1:38" ht="120" x14ac:dyDescent="0.3">
      <c r="A1295" s="179"/>
      <c r="B1295" s="292"/>
      <c r="C1295" s="314"/>
      <c r="D1295" s="293"/>
      <c r="E1295" s="28" t="s">
        <v>3968</v>
      </c>
      <c r="F1295" s="237"/>
      <c r="G1295" s="306"/>
      <c r="H1295" s="238"/>
      <c r="I1295" s="160">
        <v>19</v>
      </c>
      <c r="J1295" s="161"/>
      <c r="K1295" s="117" t="s">
        <v>3965</v>
      </c>
      <c r="L1295" s="118"/>
      <c r="M1295" s="183">
        <v>146</v>
      </c>
      <c r="N1295" s="184"/>
      <c r="O1295" s="185"/>
      <c r="P1295" s="160">
        <v>20</v>
      </c>
      <c r="Q1295" s="161"/>
      <c r="R1295" s="160">
        <v>27</v>
      </c>
      <c r="S1295" s="161"/>
      <c r="T1295" s="160">
        <v>20</v>
      </c>
      <c r="U1295" s="161"/>
      <c r="V1295" s="173" t="s">
        <v>3966</v>
      </c>
      <c r="W1295" s="174"/>
      <c r="X1295" s="255"/>
      <c r="Y1295" s="256"/>
      <c r="Z1295" s="257"/>
      <c r="AA1295" s="237"/>
      <c r="AB1295" s="238"/>
      <c r="AC1295" s="162"/>
      <c r="AD1295" s="163"/>
      <c r="AE1295" s="43"/>
      <c r="AF1295" s="167"/>
      <c r="AG1295" s="168"/>
      <c r="AH1295" s="169"/>
      <c r="AI1295" s="167"/>
      <c r="AJ1295" s="48"/>
      <c r="AK1295" s="15"/>
      <c r="AL1295" s="15"/>
    </row>
    <row r="1296" spans="1:38" ht="120" x14ac:dyDescent="0.3">
      <c r="A1296" s="179"/>
      <c r="B1296" s="292"/>
      <c r="C1296" s="314"/>
      <c r="D1296" s="293"/>
      <c r="E1296" s="28" t="s">
        <v>3969</v>
      </c>
      <c r="F1296" s="192" t="s">
        <v>3970</v>
      </c>
      <c r="G1296" s="196"/>
      <c r="H1296" s="193"/>
      <c r="I1296" s="112">
        <v>22</v>
      </c>
      <c r="J1296" s="113"/>
      <c r="K1296" s="88" t="s">
        <v>3971</v>
      </c>
      <c r="L1296" s="89"/>
      <c r="M1296" s="114" t="s">
        <v>3972</v>
      </c>
      <c r="N1296" s="115"/>
      <c r="O1296" s="116"/>
      <c r="P1296" s="112">
        <v>25</v>
      </c>
      <c r="Q1296" s="113"/>
      <c r="R1296" s="88" t="s">
        <v>3973</v>
      </c>
      <c r="S1296" s="89"/>
      <c r="T1296" s="112">
        <v>25</v>
      </c>
      <c r="U1296" s="113"/>
      <c r="V1296" s="173" t="s">
        <v>3974</v>
      </c>
      <c r="W1296" s="174"/>
      <c r="X1296" s="252">
        <v>428</v>
      </c>
      <c r="Y1296" s="253"/>
      <c r="Z1296" s="254"/>
      <c r="AA1296" s="192" t="s">
        <v>889</v>
      </c>
      <c r="AB1296" s="193"/>
      <c r="AC1296" s="162"/>
      <c r="AD1296" s="163"/>
      <c r="AE1296" s="43"/>
      <c r="AF1296" s="167"/>
      <c r="AG1296" s="168"/>
      <c r="AH1296" s="169"/>
      <c r="AI1296" s="167"/>
      <c r="AJ1296" s="48"/>
      <c r="AK1296" s="15"/>
      <c r="AL1296" s="15"/>
    </row>
    <row r="1297" spans="1:38" ht="120" x14ac:dyDescent="0.3">
      <c r="A1297" s="179"/>
      <c r="B1297" s="292"/>
      <c r="C1297" s="314"/>
      <c r="D1297" s="293"/>
      <c r="E1297" s="28" t="s">
        <v>3975</v>
      </c>
      <c r="F1297" s="272"/>
      <c r="G1297" s="282"/>
      <c r="H1297" s="273"/>
      <c r="I1297" s="155">
        <v>22</v>
      </c>
      <c r="J1297" s="157"/>
      <c r="K1297" s="126" t="s">
        <v>3971</v>
      </c>
      <c r="L1297" s="127"/>
      <c r="M1297" s="114" t="s">
        <v>3972</v>
      </c>
      <c r="N1297" s="115"/>
      <c r="O1297" s="116"/>
      <c r="P1297" s="155">
        <v>25</v>
      </c>
      <c r="Q1297" s="157"/>
      <c r="R1297" s="126" t="s">
        <v>3973</v>
      </c>
      <c r="S1297" s="127"/>
      <c r="T1297" s="155">
        <v>25</v>
      </c>
      <c r="U1297" s="157"/>
      <c r="V1297" s="173" t="s">
        <v>3974</v>
      </c>
      <c r="W1297" s="174"/>
      <c r="X1297" s="311"/>
      <c r="Y1297" s="312"/>
      <c r="Z1297" s="313"/>
      <c r="AA1297" s="272"/>
      <c r="AB1297" s="273"/>
      <c r="AC1297" s="162"/>
      <c r="AD1297" s="163"/>
      <c r="AE1297" s="43"/>
      <c r="AF1297" s="167"/>
      <c r="AG1297" s="168"/>
      <c r="AH1297" s="169"/>
      <c r="AI1297" s="167"/>
      <c r="AJ1297" s="48"/>
      <c r="AK1297" s="15"/>
      <c r="AL1297" s="15"/>
    </row>
    <row r="1298" spans="1:38" ht="120" x14ac:dyDescent="0.3">
      <c r="A1298" s="230"/>
      <c r="B1298" s="290"/>
      <c r="C1298" s="345"/>
      <c r="D1298" s="291"/>
      <c r="E1298" s="28" t="s">
        <v>3976</v>
      </c>
      <c r="F1298" s="194"/>
      <c r="G1298" s="197"/>
      <c r="H1298" s="195"/>
      <c r="I1298" s="160">
        <v>22</v>
      </c>
      <c r="J1298" s="161"/>
      <c r="K1298" s="117" t="s">
        <v>3971</v>
      </c>
      <c r="L1298" s="118"/>
      <c r="M1298" s="114" t="s">
        <v>3972</v>
      </c>
      <c r="N1298" s="115"/>
      <c r="O1298" s="116"/>
      <c r="P1298" s="160">
        <v>25</v>
      </c>
      <c r="Q1298" s="161"/>
      <c r="R1298" s="117" t="s">
        <v>3973</v>
      </c>
      <c r="S1298" s="118"/>
      <c r="T1298" s="160">
        <v>25</v>
      </c>
      <c r="U1298" s="161"/>
      <c r="V1298" s="173" t="s">
        <v>3974</v>
      </c>
      <c r="W1298" s="174"/>
      <c r="X1298" s="255"/>
      <c r="Y1298" s="256"/>
      <c r="Z1298" s="257"/>
      <c r="AA1298" s="194"/>
      <c r="AB1298" s="195"/>
      <c r="AC1298" s="212"/>
      <c r="AD1298" s="213"/>
      <c r="AE1298" s="43"/>
      <c r="AF1298" s="214"/>
      <c r="AG1298" s="215"/>
      <c r="AH1298" s="216"/>
      <c r="AI1298" s="167"/>
      <c r="AJ1298" s="48"/>
      <c r="AK1298" s="15"/>
      <c r="AL1298" s="15"/>
    </row>
    <row r="1299" spans="1:38" ht="135" x14ac:dyDescent="0.3">
      <c r="A1299" s="178"/>
      <c r="B1299" s="303" t="s">
        <v>3977</v>
      </c>
      <c r="C1299" s="344"/>
      <c r="D1299" s="304"/>
      <c r="E1299" s="66" t="s">
        <v>3978</v>
      </c>
      <c r="F1299" s="233" t="s">
        <v>3979</v>
      </c>
      <c r="G1299" s="305"/>
      <c r="H1299" s="234"/>
      <c r="I1299" s="112">
        <v>29</v>
      </c>
      <c r="J1299" s="113"/>
      <c r="K1299" s="88" t="s">
        <v>3980</v>
      </c>
      <c r="L1299" s="89"/>
      <c r="M1299" s="171" t="s">
        <v>3981</v>
      </c>
      <c r="N1299" s="407"/>
      <c r="O1299" s="172"/>
      <c r="P1299" s="458">
        <v>25</v>
      </c>
      <c r="Q1299" s="459"/>
      <c r="R1299" s="112">
        <v>39</v>
      </c>
      <c r="S1299" s="113"/>
      <c r="T1299" s="112">
        <v>30</v>
      </c>
      <c r="U1299" s="113"/>
      <c r="V1299" s="491" t="s">
        <v>3982</v>
      </c>
      <c r="W1299" s="492"/>
      <c r="X1299" s="294">
        <v>588</v>
      </c>
      <c r="Y1299" s="295"/>
      <c r="Z1299" s="296"/>
      <c r="AA1299" s="233" t="s">
        <v>879</v>
      </c>
      <c r="AB1299" s="234"/>
      <c r="AC1299" s="171" t="s">
        <v>3194</v>
      </c>
      <c r="AD1299" s="172"/>
      <c r="AE1299" s="16" t="s">
        <v>3985</v>
      </c>
      <c r="AF1299" s="164"/>
      <c r="AG1299" s="165"/>
      <c r="AH1299" s="166"/>
      <c r="AI1299" s="167"/>
      <c r="AJ1299" s="271"/>
      <c r="AK1299" s="15"/>
      <c r="AL1299" s="15"/>
    </row>
    <row r="1300" spans="1:38" ht="45" x14ac:dyDescent="0.3">
      <c r="A1300" s="179"/>
      <c r="B1300" s="292"/>
      <c r="C1300" s="314"/>
      <c r="D1300" s="293"/>
      <c r="E1300" s="67"/>
      <c r="F1300" s="235"/>
      <c r="G1300" s="270"/>
      <c r="H1300" s="236"/>
      <c r="I1300" s="155">
        <v>29</v>
      </c>
      <c r="J1300" s="157"/>
      <c r="K1300" s="126" t="s">
        <v>3980</v>
      </c>
      <c r="L1300" s="127"/>
      <c r="M1300" s="212"/>
      <c r="N1300" s="408"/>
      <c r="O1300" s="213"/>
      <c r="P1300" s="454">
        <v>25</v>
      </c>
      <c r="Q1300" s="455"/>
      <c r="R1300" s="155">
        <v>39</v>
      </c>
      <c r="S1300" s="157"/>
      <c r="T1300" s="155">
        <v>30</v>
      </c>
      <c r="U1300" s="157"/>
      <c r="V1300" s="493"/>
      <c r="W1300" s="494"/>
      <c r="X1300" s="297"/>
      <c r="Y1300" s="298"/>
      <c r="Z1300" s="299"/>
      <c r="AA1300" s="235"/>
      <c r="AB1300" s="236"/>
      <c r="AC1300" s="162" t="s">
        <v>3983</v>
      </c>
      <c r="AD1300" s="163"/>
      <c r="AE1300" s="43" t="s">
        <v>3986</v>
      </c>
      <c r="AF1300" s="167"/>
      <c r="AG1300" s="168"/>
      <c r="AH1300" s="169"/>
      <c r="AI1300" s="167"/>
      <c r="AJ1300" s="271"/>
      <c r="AK1300" s="15"/>
      <c r="AL1300" s="15"/>
    </row>
    <row r="1301" spans="1:38" ht="120" x14ac:dyDescent="0.25">
      <c r="A1301" s="179"/>
      <c r="B1301" s="292"/>
      <c r="C1301" s="314"/>
      <c r="D1301" s="293"/>
      <c r="E1301" s="49" t="s">
        <v>3988</v>
      </c>
      <c r="F1301" s="235"/>
      <c r="G1301" s="270"/>
      <c r="H1301" s="236"/>
      <c r="I1301" s="155">
        <v>29</v>
      </c>
      <c r="J1301" s="157"/>
      <c r="K1301" s="126" t="s">
        <v>3980</v>
      </c>
      <c r="L1301" s="127"/>
      <c r="M1301" s="375" t="s">
        <v>3981</v>
      </c>
      <c r="N1301" s="429"/>
      <c r="O1301" s="376"/>
      <c r="P1301" s="454">
        <v>25</v>
      </c>
      <c r="Q1301" s="455"/>
      <c r="R1301" s="155">
        <v>39</v>
      </c>
      <c r="S1301" s="157"/>
      <c r="T1301" s="155">
        <v>30</v>
      </c>
      <c r="U1301" s="157"/>
      <c r="V1301" s="360" t="s">
        <v>3982</v>
      </c>
      <c r="W1301" s="361"/>
      <c r="X1301" s="297"/>
      <c r="Y1301" s="298"/>
      <c r="Z1301" s="299"/>
      <c r="AA1301" s="235"/>
      <c r="AB1301" s="236"/>
      <c r="AC1301" s="162" t="s">
        <v>828</v>
      </c>
      <c r="AD1301" s="163"/>
      <c r="AE1301" s="43" t="s">
        <v>3987</v>
      </c>
      <c r="AF1301" s="167"/>
      <c r="AG1301" s="168"/>
      <c r="AH1301" s="169"/>
      <c r="AI1301" s="167"/>
      <c r="AJ1301" s="48"/>
      <c r="AK1301" s="15"/>
      <c r="AL1301" s="15"/>
    </row>
    <row r="1302" spans="1:38" ht="120" x14ac:dyDescent="0.3">
      <c r="A1302" s="230"/>
      <c r="B1302" s="290"/>
      <c r="C1302" s="345"/>
      <c r="D1302" s="291"/>
      <c r="E1302" s="19" t="s">
        <v>3989</v>
      </c>
      <c r="F1302" s="237"/>
      <c r="G1302" s="306"/>
      <c r="H1302" s="238"/>
      <c r="I1302" s="160"/>
      <c r="J1302" s="161"/>
      <c r="K1302" s="117"/>
      <c r="L1302" s="118"/>
      <c r="M1302" s="351" t="s">
        <v>3981</v>
      </c>
      <c r="N1302" s="444"/>
      <c r="O1302" s="352"/>
      <c r="P1302" s="456"/>
      <c r="Q1302" s="457"/>
      <c r="R1302" s="160"/>
      <c r="S1302" s="161"/>
      <c r="T1302" s="160"/>
      <c r="U1302" s="161"/>
      <c r="V1302" s="332" t="s">
        <v>3982</v>
      </c>
      <c r="W1302" s="333"/>
      <c r="X1302" s="300"/>
      <c r="Y1302" s="301"/>
      <c r="Z1302" s="302"/>
      <c r="AA1302" s="237"/>
      <c r="AB1302" s="238"/>
      <c r="AC1302" s="212" t="s">
        <v>3984</v>
      </c>
      <c r="AD1302" s="213"/>
      <c r="AE1302" s="43"/>
      <c r="AF1302" s="214"/>
      <c r="AG1302" s="215"/>
      <c r="AH1302" s="216"/>
      <c r="AI1302" s="214"/>
      <c r="AJ1302" s="48"/>
      <c r="AK1302" s="15"/>
      <c r="AL1302" s="15"/>
    </row>
    <row r="1303" spans="1:38" ht="105" x14ac:dyDescent="0.3">
      <c r="A1303" s="178"/>
      <c r="B1303" s="303" t="s">
        <v>3990</v>
      </c>
      <c r="C1303" s="344"/>
      <c r="D1303" s="304"/>
      <c r="E1303" s="28" t="s">
        <v>3991</v>
      </c>
      <c r="F1303" s="233" t="s">
        <v>3992</v>
      </c>
      <c r="G1303" s="305"/>
      <c r="H1303" s="234"/>
      <c r="I1303" s="143" t="s">
        <v>1045</v>
      </c>
      <c r="J1303" s="145"/>
      <c r="K1303" s="143" t="s">
        <v>3993</v>
      </c>
      <c r="L1303" s="145"/>
      <c r="M1303" s="173" t="s">
        <v>3994</v>
      </c>
      <c r="N1303" s="276"/>
      <c r="O1303" s="174"/>
      <c r="P1303" s="208" t="s">
        <v>3995</v>
      </c>
      <c r="Q1303" s="209"/>
      <c r="R1303" s="180" t="s">
        <v>3489</v>
      </c>
      <c r="S1303" s="181"/>
      <c r="T1303" s="112">
        <v>5</v>
      </c>
      <c r="U1303" s="113"/>
      <c r="V1303" s="180" t="s">
        <v>3996</v>
      </c>
      <c r="W1303" s="181"/>
      <c r="X1303" s="294">
        <v>59</v>
      </c>
      <c r="Y1303" s="295"/>
      <c r="Z1303" s="296"/>
      <c r="AA1303" s="233" t="s">
        <v>3997</v>
      </c>
      <c r="AB1303" s="234"/>
      <c r="AC1303" s="171" t="s">
        <v>3194</v>
      </c>
      <c r="AD1303" s="172"/>
      <c r="AE1303" s="24" t="s">
        <v>4000</v>
      </c>
      <c r="AF1303" s="164"/>
      <c r="AG1303" s="165"/>
      <c r="AH1303" s="166"/>
      <c r="AI1303" s="16" t="s">
        <v>4002</v>
      </c>
      <c r="AJ1303" s="48"/>
      <c r="AK1303" s="15"/>
      <c r="AL1303" s="15"/>
    </row>
    <row r="1304" spans="1:38" ht="90" x14ac:dyDescent="0.3">
      <c r="A1304" s="179"/>
      <c r="B1304" s="292"/>
      <c r="C1304" s="314"/>
      <c r="D1304" s="293"/>
      <c r="E1304" s="28" t="s">
        <v>4004</v>
      </c>
      <c r="F1304" s="235"/>
      <c r="G1304" s="270"/>
      <c r="H1304" s="236"/>
      <c r="I1304" s="104" t="s">
        <v>1045</v>
      </c>
      <c r="J1304" s="105"/>
      <c r="K1304" s="104" t="s">
        <v>3993</v>
      </c>
      <c r="L1304" s="105"/>
      <c r="M1304" s="173" t="s">
        <v>3994</v>
      </c>
      <c r="N1304" s="276"/>
      <c r="O1304" s="174"/>
      <c r="P1304" s="280" t="s">
        <v>3995</v>
      </c>
      <c r="Q1304" s="281"/>
      <c r="R1304" s="180" t="s">
        <v>3489</v>
      </c>
      <c r="S1304" s="181"/>
      <c r="T1304" s="155">
        <v>5</v>
      </c>
      <c r="U1304" s="157"/>
      <c r="V1304" s="180" t="s">
        <v>3996</v>
      </c>
      <c r="W1304" s="181"/>
      <c r="X1304" s="297"/>
      <c r="Y1304" s="298"/>
      <c r="Z1304" s="299"/>
      <c r="AA1304" s="235"/>
      <c r="AB1304" s="236"/>
      <c r="AC1304" s="162" t="s">
        <v>3998</v>
      </c>
      <c r="AD1304" s="163"/>
      <c r="AE1304" s="31" t="s">
        <v>848</v>
      </c>
      <c r="AF1304" s="167"/>
      <c r="AG1304" s="168"/>
      <c r="AH1304" s="169"/>
      <c r="AI1304" s="43" t="s">
        <v>681</v>
      </c>
      <c r="AJ1304" s="48"/>
      <c r="AK1304" s="15"/>
      <c r="AL1304" s="15"/>
    </row>
    <row r="1305" spans="1:38" ht="90" x14ac:dyDescent="0.3">
      <c r="A1305" s="179"/>
      <c r="B1305" s="292"/>
      <c r="C1305" s="314"/>
      <c r="D1305" s="293"/>
      <c r="E1305" s="28" t="s">
        <v>4005</v>
      </c>
      <c r="F1305" s="235"/>
      <c r="G1305" s="270"/>
      <c r="H1305" s="236"/>
      <c r="I1305" s="104" t="s">
        <v>1045</v>
      </c>
      <c r="J1305" s="105"/>
      <c r="K1305" s="104" t="s">
        <v>3993</v>
      </c>
      <c r="L1305" s="105"/>
      <c r="M1305" s="173" t="s">
        <v>3994</v>
      </c>
      <c r="N1305" s="276"/>
      <c r="O1305" s="174"/>
      <c r="P1305" s="280" t="s">
        <v>3995</v>
      </c>
      <c r="Q1305" s="281"/>
      <c r="R1305" s="180" t="s">
        <v>3489</v>
      </c>
      <c r="S1305" s="181"/>
      <c r="T1305" s="155">
        <v>5</v>
      </c>
      <c r="U1305" s="157"/>
      <c r="V1305" s="180" t="s">
        <v>3996</v>
      </c>
      <c r="W1305" s="181"/>
      <c r="X1305" s="297"/>
      <c r="Y1305" s="298"/>
      <c r="Z1305" s="299"/>
      <c r="AA1305" s="235"/>
      <c r="AB1305" s="236"/>
      <c r="AC1305" s="162" t="s">
        <v>3999</v>
      </c>
      <c r="AD1305" s="163"/>
      <c r="AE1305" s="31" t="s">
        <v>1356</v>
      </c>
      <c r="AF1305" s="167"/>
      <c r="AG1305" s="168"/>
      <c r="AH1305" s="169"/>
      <c r="AI1305" s="43" t="s">
        <v>4003</v>
      </c>
      <c r="AJ1305" s="48"/>
      <c r="AK1305" s="15"/>
      <c r="AL1305" s="15"/>
    </row>
    <row r="1306" spans="1:38" ht="90" x14ac:dyDescent="0.3">
      <c r="A1306" s="179"/>
      <c r="B1306" s="292"/>
      <c r="C1306" s="314"/>
      <c r="D1306" s="293"/>
      <c r="E1306" s="28" t="s">
        <v>4006</v>
      </c>
      <c r="F1306" s="235"/>
      <c r="G1306" s="270"/>
      <c r="H1306" s="236"/>
      <c r="I1306" s="104" t="s">
        <v>1045</v>
      </c>
      <c r="J1306" s="105"/>
      <c r="K1306" s="104" t="s">
        <v>3993</v>
      </c>
      <c r="L1306" s="105"/>
      <c r="M1306" s="173" t="s">
        <v>3994</v>
      </c>
      <c r="N1306" s="276"/>
      <c r="O1306" s="174"/>
      <c r="P1306" s="280" t="s">
        <v>3995</v>
      </c>
      <c r="Q1306" s="281"/>
      <c r="R1306" s="180" t="s">
        <v>3489</v>
      </c>
      <c r="S1306" s="181"/>
      <c r="T1306" s="155">
        <v>5</v>
      </c>
      <c r="U1306" s="157"/>
      <c r="V1306" s="180" t="s">
        <v>3996</v>
      </c>
      <c r="W1306" s="181"/>
      <c r="X1306" s="297"/>
      <c r="Y1306" s="298"/>
      <c r="Z1306" s="299"/>
      <c r="AA1306" s="235"/>
      <c r="AB1306" s="236"/>
      <c r="AC1306" s="162"/>
      <c r="AD1306" s="163"/>
      <c r="AE1306" s="31" t="s">
        <v>4001</v>
      </c>
      <c r="AF1306" s="167"/>
      <c r="AG1306" s="168"/>
      <c r="AH1306" s="169"/>
      <c r="AI1306" s="43"/>
      <c r="AJ1306" s="48"/>
      <c r="AK1306" s="15"/>
      <c r="AL1306" s="15"/>
    </row>
    <row r="1307" spans="1:38" ht="90" x14ac:dyDescent="0.3">
      <c r="A1307" s="179"/>
      <c r="B1307" s="292"/>
      <c r="C1307" s="314"/>
      <c r="D1307" s="293"/>
      <c r="E1307" s="28" t="s">
        <v>4007</v>
      </c>
      <c r="F1307" s="235"/>
      <c r="G1307" s="270"/>
      <c r="H1307" s="236"/>
      <c r="I1307" s="104" t="s">
        <v>1045</v>
      </c>
      <c r="J1307" s="105"/>
      <c r="K1307" s="104" t="s">
        <v>3993</v>
      </c>
      <c r="L1307" s="105"/>
      <c r="M1307" s="173" t="s">
        <v>3994</v>
      </c>
      <c r="N1307" s="276"/>
      <c r="O1307" s="174"/>
      <c r="P1307" s="280" t="s">
        <v>3995</v>
      </c>
      <c r="Q1307" s="281"/>
      <c r="R1307" s="180" t="s">
        <v>3489</v>
      </c>
      <c r="S1307" s="181"/>
      <c r="T1307" s="155">
        <v>5</v>
      </c>
      <c r="U1307" s="157"/>
      <c r="V1307" s="180" t="s">
        <v>3996</v>
      </c>
      <c r="W1307" s="181"/>
      <c r="X1307" s="297"/>
      <c r="Y1307" s="298"/>
      <c r="Z1307" s="299"/>
      <c r="AA1307" s="235"/>
      <c r="AB1307" s="236"/>
      <c r="AC1307" s="162"/>
      <c r="AD1307" s="163"/>
      <c r="AE1307" s="31"/>
      <c r="AF1307" s="167"/>
      <c r="AG1307" s="168"/>
      <c r="AH1307" s="169"/>
      <c r="AI1307" s="43"/>
      <c r="AJ1307" s="48"/>
      <c r="AK1307" s="15"/>
      <c r="AL1307" s="15"/>
    </row>
    <row r="1308" spans="1:38" ht="90" x14ac:dyDescent="0.3">
      <c r="A1308" s="179"/>
      <c r="B1308" s="292"/>
      <c r="C1308" s="314"/>
      <c r="D1308" s="293"/>
      <c r="E1308" s="28" t="s">
        <v>4008</v>
      </c>
      <c r="F1308" s="235"/>
      <c r="G1308" s="270"/>
      <c r="H1308" s="236"/>
      <c r="I1308" s="104" t="s">
        <v>1045</v>
      </c>
      <c r="J1308" s="105"/>
      <c r="K1308" s="104" t="s">
        <v>3993</v>
      </c>
      <c r="L1308" s="105"/>
      <c r="M1308" s="173" t="s">
        <v>3994</v>
      </c>
      <c r="N1308" s="276"/>
      <c r="O1308" s="174"/>
      <c r="P1308" s="280" t="s">
        <v>3995</v>
      </c>
      <c r="Q1308" s="281"/>
      <c r="R1308" s="180" t="s">
        <v>3489</v>
      </c>
      <c r="S1308" s="181"/>
      <c r="T1308" s="155">
        <v>5</v>
      </c>
      <c r="U1308" s="157"/>
      <c r="V1308" s="180" t="s">
        <v>3996</v>
      </c>
      <c r="W1308" s="181"/>
      <c r="X1308" s="297"/>
      <c r="Y1308" s="298"/>
      <c r="Z1308" s="299"/>
      <c r="AA1308" s="235"/>
      <c r="AB1308" s="236"/>
      <c r="AC1308" s="162"/>
      <c r="AD1308" s="163"/>
      <c r="AE1308" s="31"/>
      <c r="AF1308" s="167"/>
      <c r="AG1308" s="168"/>
      <c r="AH1308" s="169"/>
      <c r="AI1308" s="43"/>
      <c r="AJ1308" s="48"/>
      <c r="AK1308" s="15"/>
      <c r="AL1308" s="15"/>
    </row>
    <row r="1309" spans="1:38" ht="90" x14ac:dyDescent="0.3">
      <c r="A1309" s="179"/>
      <c r="B1309" s="292"/>
      <c r="C1309" s="314"/>
      <c r="D1309" s="293"/>
      <c r="E1309" s="28" t="s">
        <v>4009</v>
      </c>
      <c r="F1309" s="235"/>
      <c r="G1309" s="270"/>
      <c r="H1309" s="236"/>
      <c r="I1309" s="104" t="s">
        <v>1045</v>
      </c>
      <c r="J1309" s="105"/>
      <c r="K1309" s="104" t="s">
        <v>3993</v>
      </c>
      <c r="L1309" s="105"/>
      <c r="M1309" s="173" t="s">
        <v>3994</v>
      </c>
      <c r="N1309" s="276"/>
      <c r="O1309" s="174"/>
      <c r="P1309" s="280" t="s">
        <v>3995</v>
      </c>
      <c r="Q1309" s="281"/>
      <c r="R1309" s="180" t="s">
        <v>3489</v>
      </c>
      <c r="S1309" s="181"/>
      <c r="T1309" s="155">
        <v>5</v>
      </c>
      <c r="U1309" s="157"/>
      <c r="V1309" s="180" t="s">
        <v>3996</v>
      </c>
      <c r="W1309" s="181"/>
      <c r="X1309" s="297"/>
      <c r="Y1309" s="298"/>
      <c r="Z1309" s="299"/>
      <c r="AA1309" s="235"/>
      <c r="AB1309" s="236"/>
      <c r="AC1309" s="162"/>
      <c r="AD1309" s="163"/>
      <c r="AE1309" s="31"/>
      <c r="AF1309" s="167"/>
      <c r="AG1309" s="168"/>
      <c r="AH1309" s="169"/>
      <c r="AI1309" s="43"/>
      <c r="AJ1309" s="48"/>
      <c r="AK1309" s="15"/>
      <c r="AL1309" s="15"/>
    </row>
    <row r="1310" spans="1:38" ht="90" x14ac:dyDescent="0.3">
      <c r="A1310" s="179"/>
      <c r="B1310" s="292"/>
      <c r="C1310" s="314"/>
      <c r="D1310" s="293"/>
      <c r="E1310" s="28" t="s">
        <v>4010</v>
      </c>
      <c r="F1310" s="235"/>
      <c r="G1310" s="270"/>
      <c r="H1310" s="236"/>
      <c r="I1310" s="104" t="s">
        <v>1045</v>
      </c>
      <c r="J1310" s="105"/>
      <c r="K1310" s="104" t="s">
        <v>3993</v>
      </c>
      <c r="L1310" s="105"/>
      <c r="M1310" s="173" t="s">
        <v>3994</v>
      </c>
      <c r="N1310" s="276"/>
      <c r="O1310" s="174"/>
      <c r="P1310" s="280" t="s">
        <v>3995</v>
      </c>
      <c r="Q1310" s="281"/>
      <c r="R1310" s="180" t="s">
        <v>3489</v>
      </c>
      <c r="S1310" s="181"/>
      <c r="T1310" s="155">
        <v>5</v>
      </c>
      <c r="U1310" s="157"/>
      <c r="V1310" s="180" t="s">
        <v>3996</v>
      </c>
      <c r="W1310" s="181"/>
      <c r="X1310" s="297"/>
      <c r="Y1310" s="298"/>
      <c r="Z1310" s="299"/>
      <c r="AA1310" s="235"/>
      <c r="AB1310" s="236"/>
      <c r="AC1310" s="162"/>
      <c r="AD1310" s="163"/>
      <c r="AE1310" s="31"/>
      <c r="AF1310" s="167"/>
      <c r="AG1310" s="168"/>
      <c r="AH1310" s="169"/>
      <c r="AI1310" s="43"/>
      <c r="AJ1310" s="48"/>
      <c r="AK1310" s="15"/>
      <c r="AL1310" s="15"/>
    </row>
    <row r="1311" spans="1:38" ht="90" x14ac:dyDescent="0.3">
      <c r="A1311" s="179"/>
      <c r="B1311" s="292"/>
      <c r="C1311" s="314"/>
      <c r="D1311" s="293"/>
      <c r="E1311" s="28" t="s">
        <v>4011</v>
      </c>
      <c r="F1311" s="235"/>
      <c r="G1311" s="270"/>
      <c r="H1311" s="236"/>
      <c r="I1311" s="104" t="s">
        <v>1045</v>
      </c>
      <c r="J1311" s="105"/>
      <c r="K1311" s="104" t="s">
        <v>3993</v>
      </c>
      <c r="L1311" s="105"/>
      <c r="M1311" s="173" t="s">
        <v>3994</v>
      </c>
      <c r="N1311" s="276"/>
      <c r="O1311" s="174"/>
      <c r="P1311" s="280" t="s">
        <v>3995</v>
      </c>
      <c r="Q1311" s="281"/>
      <c r="R1311" s="180" t="s">
        <v>3489</v>
      </c>
      <c r="S1311" s="181"/>
      <c r="T1311" s="155">
        <v>5</v>
      </c>
      <c r="U1311" s="157"/>
      <c r="V1311" s="180" t="s">
        <v>3996</v>
      </c>
      <c r="W1311" s="181"/>
      <c r="X1311" s="297"/>
      <c r="Y1311" s="298"/>
      <c r="Z1311" s="299"/>
      <c r="AA1311" s="235"/>
      <c r="AB1311" s="236"/>
      <c r="AC1311" s="162"/>
      <c r="AD1311" s="163"/>
      <c r="AE1311" s="31"/>
      <c r="AF1311" s="167"/>
      <c r="AG1311" s="168"/>
      <c r="AH1311" s="169"/>
      <c r="AI1311" s="43"/>
      <c r="AJ1311" s="48"/>
      <c r="AK1311" s="15"/>
      <c r="AL1311" s="15"/>
    </row>
    <row r="1312" spans="1:38" ht="90" x14ac:dyDescent="0.3">
      <c r="A1312" s="179"/>
      <c r="B1312" s="292"/>
      <c r="C1312" s="314"/>
      <c r="D1312" s="293"/>
      <c r="E1312" s="28" t="s">
        <v>4012</v>
      </c>
      <c r="F1312" s="235"/>
      <c r="G1312" s="270"/>
      <c r="H1312" s="236"/>
      <c r="I1312" s="104" t="s">
        <v>1045</v>
      </c>
      <c r="J1312" s="105"/>
      <c r="K1312" s="104" t="s">
        <v>3993</v>
      </c>
      <c r="L1312" s="105"/>
      <c r="M1312" s="173" t="s">
        <v>3994</v>
      </c>
      <c r="N1312" s="276"/>
      <c r="O1312" s="174"/>
      <c r="P1312" s="280" t="s">
        <v>3995</v>
      </c>
      <c r="Q1312" s="281"/>
      <c r="R1312" s="180" t="s">
        <v>3489</v>
      </c>
      <c r="S1312" s="181"/>
      <c r="T1312" s="155">
        <v>5</v>
      </c>
      <c r="U1312" s="157"/>
      <c r="V1312" s="180" t="s">
        <v>3996</v>
      </c>
      <c r="W1312" s="181"/>
      <c r="X1312" s="297"/>
      <c r="Y1312" s="298"/>
      <c r="Z1312" s="299"/>
      <c r="AA1312" s="235"/>
      <c r="AB1312" s="236"/>
      <c r="AC1312" s="162"/>
      <c r="AD1312" s="163"/>
      <c r="AE1312" s="31"/>
      <c r="AF1312" s="167"/>
      <c r="AG1312" s="168"/>
      <c r="AH1312" s="169"/>
      <c r="AI1312" s="43"/>
      <c r="AJ1312" s="48"/>
      <c r="AK1312" s="15"/>
      <c r="AL1312" s="15"/>
    </row>
    <row r="1313" spans="1:38" ht="90" x14ac:dyDescent="0.3">
      <c r="A1313" s="179"/>
      <c r="B1313" s="292"/>
      <c r="C1313" s="314"/>
      <c r="D1313" s="293"/>
      <c r="E1313" s="28" t="s">
        <v>4013</v>
      </c>
      <c r="F1313" s="235"/>
      <c r="G1313" s="270"/>
      <c r="H1313" s="236"/>
      <c r="I1313" s="104" t="s">
        <v>1045</v>
      </c>
      <c r="J1313" s="105"/>
      <c r="K1313" s="104" t="s">
        <v>3993</v>
      </c>
      <c r="L1313" s="105"/>
      <c r="M1313" s="173" t="s">
        <v>3994</v>
      </c>
      <c r="N1313" s="276"/>
      <c r="O1313" s="174"/>
      <c r="P1313" s="280" t="s">
        <v>3995</v>
      </c>
      <c r="Q1313" s="281"/>
      <c r="R1313" s="180" t="s">
        <v>3489</v>
      </c>
      <c r="S1313" s="181"/>
      <c r="T1313" s="155">
        <v>5</v>
      </c>
      <c r="U1313" s="157"/>
      <c r="V1313" s="180" t="s">
        <v>3996</v>
      </c>
      <c r="W1313" s="181"/>
      <c r="X1313" s="297"/>
      <c r="Y1313" s="298"/>
      <c r="Z1313" s="299"/>
      <c r="AA1313" s="235"/>
      <c r="AB1313" s="236"/>
      <c r="AC1313" s="162"/>
      <c r="AD1313" s="163"/>
      <c r="AE1313" s="31"/>
      <c r="AF1313" s="167"/>
      <c r="AG1313" s="168"/>
      <c r="AH1313" s="169"/>
      <c r="AI1313" s="43"/>
      <c r="AJ1313" s="48"/>
      <c r="AK1313" s="15"/>
      <c r="AL1313" s="15"/>
    </row>
    <row r="1314" spans="1:38" ht="90" x14ac:dyDescent="0.3">
      <c r="A1314" s="230"/>
      <c r="B1314" s="290"/>
      <c r="C1314" s="345"/>
      <c r="D1314" s="291"/>
      <c r="E1314" s="28" t="s">
        <v>4014</v>
      </c>
      <c r="F1314" s="237"/>
      <c r="G1314" s="306"/>
      <c r="H1314" s="238"/>
      <c r="I1314" s="146" t="s">
        <v>1045</v>
      </c>
      <c r="J1314" s="148"/>
      <c r="K1314" s="146" t="s">
        <v>3993</v>
      </c>
      <c r="L1314" s="148"/>
      <c r="M1314" s="173" t="s">
        <v>3994</v>
      </c>
      <c r="N1314" s="276"/>
      <c r="O1314" s="174"/>
      <c r="P1314" s="210" t="s">
        <v>3995</v>
      </c>
      <c r="Q1314" s="211"/>
      <c r="R1314" s="180" t="s">
        <v>3489</v>
      </c>
      <c r="S1314" s="181"/>
      <c r="T1314" s="160">
        <v>5</v>
      </c>
      <c r="U1314" s="161"/>
      <c r="V1314" s="180" t="s">
        <v>3996</v>
      </c>
      <c r="W1314" s="181"/>
      <c r="X1314" s="300"/>
      <c r="Y1314" s="301"/>
      <c r="Z1314" s="302"/>
      <c r="AA1314" s="237"/>
      <c r="AB1314" s="238"/>
      <c r="AC1314" s="212"/>
      <c r="AD1314" s="213"/>
      <c r="AE1314" s="31"/>
      <c r="AF1314" s="214"/>
      <c r="AG1314" s="215"/>
      <c r="AH1314" s="216"/>
      <c r="AI1314" s="43"/>
      <c r="AJ1314" s="48"/>
      <c r="AK1314" s="15"/>
      <c r="AL1314" s="15"/>
    </row>
    <row r="1315" spans="1:38" ht="105" x14ac:dyDescent="0.3">
      <c r="A1315" s="178"/>
      <c r="B1315" s="303" t="s">
        <v>4015</v>
      </c>
      <c r="C1315" s="344"/>
      <c r="D1315" s="304"/>
      <c r="E1315" s="28" t="s">
        <v>4016</v>
      </c>
      <c r="F1315" s="233" t="s">
        <v>4017</v>
      </c>
      <c r="G1315" s="305"/>
      <c r="H1315" s="234"/>
      <c r="I1315" s="143" t="s">
        <v>1342</v>
      </c>
      <c r="J1315" s="145"/>
      <c r="K1315" s="143" t="s">
        <v>4018</v>
      </c>
      <c r="L1315" s="145"/>
      <c r="M1315" s="173" t="s">
        <v>3843</v>
      </c>
      <c r="N1315" s="276"/>
      <c r="O1315" s="174"/>
      <c r="P1315" s="173" t="s">
        <v>4019</v>
      </c>
      <c r="Q1315" s="174"/>
      <c r="R1315" s="88" t="s">
        <v>1463</v>
      </c>
      <c r="S1315" s="89"/>
      <c r="T1315" s="183">
        <v>8</v>
      </c>
      <c r="U1315" s="185"/>
      <c r="V1315" s="173" t="s">
        <v>4020</v>
      </c>
      <c r="W1315" s="174"/>
      <c r="X1315" s="227">
        <v>68</v>
      </c>
      <c r="Y1315" s="228"/>
      <c r="Z1315" s="229"/>
      <c r="AA1315" s="110" t="s">
        <v>1364</v>
      </c>
      <c r="AB1315" s="111"/>
      <c r="AC1315" s="223" t="s">
        <v>3194</v>
      </c>
      <c r="AD1315" s="224"/>
      <c r="AE1315" s="24" t="s">
        <v>4023</v>
      </c>
      <c r="AF1315" s="164"/>
      <c r="AG1315" s="165"/>
      <c r="AH1315" s="166"/>
      <c r="AI1315" s="164"/>
      <c r="AJ1315" s="48"/>
      <c r="AK1315" s="15"/>
      <c r="AL1315" s="15"/>
    </row>
    <row r="1316" spans="1:38" ht="105" x14ac:dyDescent="0.3">
      <c r="A1316" s="179"/>
      <c r="B1316" s="292"/>
      <c r="C1316" s="314"/>
      <c r="D1316" s="293"/>
      <c r="E1316" s="28" t="s">
        <v>4025</v>
      </c>
      <c r="F1316" s="235"/>
      <c r="G1316" s="270"/>
      <c r="H1316" s="236"/>
      <c r="I1316" s="104" t="s">
        <v>1342</v>
      </c>
      <c r="J1316" s="105"/>
      <c r="K1316" s="104" t="s">
        <v>4018</v>
      </c>
      <c r="L1316" s="105"/>
      <c r="M1316" s="173" t="s">
        <v>3843</v>
      </c>
      <c r="N1316" s="276"/>
      <c r="O1316" s="174"/>
      <c r="P1316" s="173" t="s">
        <v>4019</v>
      </c>
      <c r="Q1316" s="174"/>
      <c r="R1316" s="126" t="s">
        <v>1463</v>
      </c>
      <c r="S1316" s="127"/>
      <c r="T1316" s="183">
        <v>8</v>
      </c>
      <c r="U1316" s="185"/>
      <c r="V1316" s="173" t="s">
        <v>4020</v>
      </c>
      <c r="W1316" s="174"/>
      <c r="X1316" s="227">
        <v>68</v>
      </c>
      <c r="Y1316" s="228"/>
      <c r="Z1316" s="229"/>
      <c r="AA1316" s="110" t="s">
        <v>1364</v>
      </c>
      <c r="AB1316" s="111"/>
      <c r="AC1316" s="239" t="s">
        <v>4021</v>
      </c>
      <c r="AD1316" s="240"/>
      <c r="AE1316" s="31" t="s">
        <v>1356</v>
      </c>
      <c r="AF1316" s="167"/>
      <c r="AG1316" s="168"/>
      <c r="AH1316" s="169"/>
      <c r="AI1316" s="167"/>
      <c r="AJ1316" s="48"/>
      <c r="AK1316" s="15"/>
      <c r="AL1316" s="15"/>
    </row>
    <row r="1317" spans="1:38" ht="90" x14ac:dyDescent="0.3">
      <c r="A1317" s="179"/>
      <c r="B1317" s="292"/>
      <c r="C1317" s="314"/>
      <c r="D1317" s="293"/>
      <c r="E1317" s="28" t="s">
        <v>4026</v>
      </c>
      <c r="F1317" s="235"/>
      <c r="G1317" s="270"/>
      <c r="H1317" s="236"/>
      <c r="I1317" s="104" t="s">
        <v>1342</v>
      </c>
      <c r="J1317" s="105"/>
      <c r="K1317" s="104" t="s">
        <v>4018</v>
      </c>
      <c r="L1317" s="105"/>
      <c r="M1317" s="173" t="s">
        <v>2695</v>
      </c>
      <c r="N1317" s="276"/>
      <c r="O1317" s="174"/>
      <c r="P1317" s="173" t="s">
        <v>4019</v>
      </c>
      <c r="Q1317" s="174"/>
      <c r="R1317" s="126" t="s">
        <v>1463</v>
      </c>
      <c r="S1317" s="127"/>
      <c r="T1317" s="183">
        <v>8</v>
      </c>
      <c r="U1317" s="185"/>
      <c r="V1317" s="173" t="s">
        <v>4027</v>
      </c>
      <c r="W1317" s="174"/>
      <c r="X1317" s="227">
        <v>68</v>
      </c>
      <c r="Y1317" s="228"/>
      <c r="Z1317" s="229"/>
      <c r="AA1317" s="110" t="s">
        <v>1336</v>
      </c>
      <c r="AB1317" s="111"/>
      <c r="AC1317" s="239" t="s">
        <v>2211</v>
      </c>
      <c r="AD1317" s="240"/>
      <c r="AE1317" s="31" t="s">
        <v>4024</v>
      </c>
      <c r="AF1317" s="167"/>
      <c r="AG1317" s="168"/>
      <c r="AH1317" s="169"/>
      <c r="AI1317" s="167"/>
      <c r="AJ1317" s="48"/>
      <c r="AK1317" s="15"/>
      <c r="AL1317" s="15"/>
    </row>
    <row r="1318" spans="1:38" ht="90" x14ac:dyDescent="0.3">
      <c r="A1318" s="179"/>
      <c r="B1318" s="292"/>
      <c r="C1318" s="314"/>
      <c r="D1318" s="293"/>
      <c r="E1318" s="28" t="s">
        <v>4028</v>
      </c>
      <c r="F1318" s="235"/>
      <c r="G1318" s="270"/>
      <c r="H1318" s="236"/>
      <c r="I1318" s="104" t="s">
        <v>1342</v>
      </c>
      <c r="J1318" s="105"/>
      <c r="K1318" s="104" t="s">
        <v>4018</v>
      </c>
      <c r="L1318" s="105"/>
      <c r="M1318" s="173" t="s">
        <v>2695</v>
      </c>
      <c r="N1318" s="276"/>
      <c r="O1318" s="174"/>
      <c r="P1318" s="173" t="s">
        <v>4019</v>
      </c>
      <c r="Q1318" s="174"/>
      <c r="R1318" s="126" t="s">
        <v>1463</v>
      </c>
      <c r="S1318" s="127"/>
      <c r="T1318" s="183">
        <v>8</v>
      </c>
      <c r="U1318" s="185"/>
      <c r="V1318" s="173" t="s">
        <v>4027</v>
      </c>
      <c r="W1318" s="174"/>
      <c r="X1318" s="227">
        <v>68</v>
      </c>
      <c r="Y1318" s="228"/>
      <c r="Z1318" s="229"/>
      <c r="AA1318" s="110" t="s">
        <v>1336</v>
      </c>
      <c r="AB1318" s="111"/>
      <c r="AC1318" s="239" t="s">
        <v>4022</v>
      </c>
      <c r="AD1318" s="240"/>
      <c r="AE1318" s="31"/>
      <c r="AF1318" s="167"/>
      <c r="AG1318" s="168"/>
      <c r="AH1318" s="169"/>
      <c r="AI1318" s="167"/>
      <c r="AJ1318" s="48"/>
      <c r="AK1318" s="15"/>
      <c r="AL1318" s="15"/>
    </row>
    <row r="1319" spans="1:38" ht="105" x14ac:dyDescent="0.3">
      <c r="A1319" s="179"/>
      <c r="B1319" s="292"/>
      <c r="C1319" s="314"/>
      <c r="D1319" s="293"/>
      <c r="E1319" s="28" t="s">
        <v>4029</v>
      </c>
      <c r="F1319" s="235"/>
      <c r="G1319" s="270"/>
      <c r="H1319" s="236"/>
      <c r="I1319" s="104" t="s">
        <v>1342</v>
      </c>
      <c r="J1319" s="105"/>
      <c r="K1319" s="104" t="s">
        <v>4018</v>
      </c>
      <c r="L1319" s="105"/>
      <c r="M1319" s="173" t="s">
        <v>3843</v>
      </c>
      <c r="N1319" s="276"/>
      <c r="O1319" s="174"/>
      <c r="P1319" s="173" t="s">
        <v>4019</v>
      </c>
      <c r="Q1319" s="174"/>
      <c r="R1319" s="126" t="s">
        <v>1463</v>
      </c>
      <c r="S1319" s="127"/>
      <c r="T1319" s="183">
        <v>8</v>
      </c>
      <c r="U1319" s="185"/>
      <c r="V1319" s="173" t="s">
        <v>4020</v>
      </c>
      <c r="W1319" s="174"/>
      <c r="X1319" s="227">
        <v>68</v>
      </c>
      <c r="Y1319" s="228"/>
      <c r="Z1319" s="229"/>
      <c r="AA1319" s="110" t="s">
        <v>1364</v>
      </c>
      <c r="AB1319" s="111"/>
      <c r="AC1319" s="239"/>
      <c r="AD1319" s="240"/>
      <c r="AE1319" s="31"/>
      <c r="AF1319" s="167"/>
      <c r="AG1319" s="168"/>
      <c r="AH1319" s="169"/>
      <c r="AI1319" s="167"/>
      <c r="AJ1319" s="48"/>
      <c r="AK1319" s="15"/>
      <c r="AL1319" s="15"/>
    </row>
    <row r="1320" spans="1:38" ht="105" x14ac:dyDescent="0.3">
      <c r="A1320" s="179"/>
      <c r="B1320" s="292"/>
      <c r="C1320" s="314"/>
      <c r="D1320" s="293"/>
      <c r="E1320" s="28" t="s">
        <v>4030</v>
      </c>
      <c r="F1320" s="237"/>
      <c r="G1320" s="306"/>
      <c r="H1320" s="238"/>
      <c r="I1320" s="146" t="s">
        <v>1342</v>
      </c>
      <c r="J1320" s="148"/>
      <c r="K1320" s="146" t="s">
        <v>4018</v>
      </c>
      <c r="L1320" s="148"/>
      <c r="M1320" s="173" t="s">
        <v>3843</v>
      </c>
      <c r="N1320" s="276"/>
      <c r="O1320" s="174"/>
      <c r="P1320" s="173" t="s">
        <v>4019</v>
      </c>
      <c r="Q1320" s="174"/>
      <c r="R1320" s="117" t="s">
        <v>1463</v>
      </c>
      <c r="S1320" s="118"/>
      <c r="T1320" s="183">
        <v>8</v>
      </c>
      <c r="U1320" s="185"/>
      <c r="V1320" s="173" t="s">
        <v>4020</v>
      </c>
      <c r="W1320" s="174"/>
      <c r="X1320" s="227">
        <v>68</v>
      </c>
      <c r="Y1320" s="228"/>
      <c r="Z1320" s="229"/>
      <c r="AA1320" s="110" t="s">
        <v>1364</v>
      </c>
      <c r="AB1320" s="111"/>
      <c r="AC1320" s="239"/>
      <c r="AD1320" s="240"/>
      <c r="AE1320" s="31"/>
      <c r="AF1320" s="167"/>
      <c r="AG1320" s="168"/>
      <c r="AH1320" s="169"/>
      <c r="AI1320" s="167"/>
      <c r="AJ1320" s="48"/>
      <c r="AK1320" s="15"/>
      <c r="AL1320" s="15"/>
    </row>
    <row r="1321" spans="1:38" ht="105" x14ac:dyDescent="0.3">
      <c r="A1321" s="179"/>
      <c r="B1321" s="292"/>
      <c r="C1321" s="314"/>
      <c r="D1321" s="293"/>
      <c r="E1321" s="28" t="s">
        <v>4031</v>
      </c>
      <c r="F1321" s="233" t="s">
        <v>4032</v>
      </c>
      <c r="G1321" s="305"/>
      <c r="H1321" s="234"/>
      <c r="I1321" s="112">
        <v>5</v>
      </c>
      <c r="J1321" s="113"/>
      <c r="K1321" s="143" t="s">
        <v>4033</v>
      </c>
      <c r="L1321" s="145"/>
      <c r="M1321" s="173" t="s">
        <v>4034</v>
      </c>
      <c r="N1321" s="276"/>
      <c r="O1321" s="174"/>
      <c r="P1321" s="173" t="s">
        <v>4035</v>
      </c>
      <c r="Q1321" s="174"/>
      <c r="R1321" s="88" t="s">
        <v>2422</v>
      </c>
      <c r="S1321" s="89"/>
      <c r="T1321" s="183">
        <v>10</v>
      </c>
      <c r="U1321" s="185"/>
      <c r="V1321" s="173" t="s">
        <v>4036</v>
      </c>
      <c r="W1321" s="174"/>
      <c r="X1321" s="227">
        <v>98</v>
      </c>
      <c r="Y1321" s="228"/>
      <c r="Z1321" s="229"/>
      <c r="AA1321" s="110" t="s">
        <v>1742</v>
      </c>
      <c r="AB1321" s="111"/>
      <c r="AC1321" s="239"/>
      <c r="AD1321" s="240"/>
      <c r="AE1321" s="31"/>
      <c r="AF1321" s="167"/>
      <c r="AG1321" s="168"/>
      <c r="AH1321" s="169"/>
      <c r="AI1321" s="167"/>
      <c r="AJ1321" s="48"/>
      <c r="AK1321" s="15"/>
      <c r="AL1321" s="15"/>
    </row>
    <row r="1322" spans="1:38" ht="105" x14ac:dyDescent="0.3">
      <c r="A1322" s="179"/>
      <c r="B1322" s="292"/>
      <c r="C1322" s="314"/>
      <c r="D1322" s="293"/>
      <c r="E1322" s="28" t="s">
        <v>4037</v>
      </c>
      <c r="F1322" s="235"/>
      <c r="G1322" s="270"/>
      <c r="H1322" s="236"/>
      <c r="I1322" s="155">
        <v>5</v>
      </c>
      <c r="J1322" s="157"/>
      <c r="K1322" s="104" t="s">
        <v>4033</v>
      </c>
      <c r="L1322" s="105"/>
      <c r="M1322" s="173" t="s">
        <v>4034</v>
      </c>
      <c r="N1322" s="276"/>
      <c r="O1322" s="174"/>
      <c r="P1322" s="173" t="s">
        <v>4035</v>
      </c>
      <c r="Q1322" s="174"/>
      <c r="R1322" s="126" t="s">
        <v>2422</v>
      </c>
      <c r="S1322" s="127"/>
      <c r="T1322" s="183">
        <v>10</v>
      </c>
      <c r="U1322" s="185"/>
      <c r="V1322" s="173" t="s">
        <v>4036</v>
      </c>
      <c r="W1322" s="174"/>
      <c r="X1322" s="227">
        <v>98</v>
      </c>
      <c r="Y1322" s="228"/>
      <c r="Z1322" s="229"/>
      <c r="AA1322" s="110" t="s">
        <v>1742</v>
      </c>
      <c r="AB1322" s="111"/>
      <c r="AC1322" s="239"/>
      <c r="AD1322" s="240"/>
      <c r="AE1322" s="31"/>
      <c r="AF1322" s="167"/>
      <c r="AG1322" s="168"/>
      <c r="AH1322" s="169"/>
      <c r="AI1322" s="167"/>
      <c r="AJ1322" s="48"/>
      <c r="AK1322" s="15"/>
      <c r="AL1322" s="15"/>
    </row>
    <row r="1323" spans="1:38" ht="105" x14ac:dyDescent="0.3">
      <c r="A1323" s="179"/>
      <c r="B1323" s="292"/>
      <c r="C1323" s="314"/>
      <c r="D1323" s="293"/>
      <c r="E1323" s="28" t="s">
        <v>4038</v>
      </c>
      <c r="F1323" s="235"/>
      <c r="G1323" s="270"/>
      <c r="H1323" s="236"/>
      <c r="I1323" s="155">
        <v>5</v>
      </c>
      <c r="J1323" s="157"/>
      <c r="K1323" s="104" t="s">
        <v>4033</v>
      </c>
      <c r="L1323" s="105"/>
      <c r="M1323" s="173" t="s">
        <v>4039</v>
      </c>
      <c r="N1323" s="276"/>
      <c r="O1323" s="174"/>
      <c r="P1323" s="173" t="s">
        <v>4035</v>
      </c>
      <c r="Q1323" s="174"/>
      <c r="R1323" s="126" t="s">
        <v>2422</v>
      </c>
      <c r="S1323" s="127"/>
      <c r="T1323" s="183">
        <v>10</v>
      </c>
      <c r="U1323" s="185"/>
      <c r="V1323" s="173" t="s">
        <v>2107</v>
      </c>
      <c r="W1323" s="174"/>
      <c r="X1323" s="227">
        <v>98</v>
      </c>
      <c r="Y1323" s="228"/>
      <c r="Z1323" s="229"/>
      <c r="AA1323" s="110" t="s">
        <v>1114</v>
      </c>
      <c r="AB1323" s="111"/>
      <c r="AC1323" s="239"/>
      <c r="AD1323" s="240"/>
      <c r="AE1323" s="31"/>
      <c r="AF1323" s="167"/>
      <c r="AG1323" s="168"/>
      <c r="AH1323" s="169"/>
      <c r="AI1323" s="167"/>
      <c r="AJ1323" s="48"/>
      <c r="AK1323" s="15"/>
      <c r="AL1323" s="15"/>
    </row>
    <row r="1324" spans="1:38" ht="105" x14ac:dyDescent="0.3">
      <c r="A1324" s="179"/>
      <c r="B1324" s="292"/>
      <c r="C1324" s="314"/>
      <c r="D1324" s="293"/>
      <c r="E1324" s="28" t="s">
        <v>4040</v>
      </c>
      <c r="F1324" s="235"/>
      <c r="G1324" s="270"/>
      <c r="H1324" s="236"/>
      <c r="I1324" s="155">
        <v>5</v>
      </c>
      <c r="J1324" s="157"/>
      <c r="K1324" s="104" t="s">
        <v>4033</v>
      </c>
      <c r="L1324" s="105"/>
      <c r="M1324" s="173" t="s">
        <v>4039</v>
      </c>
      <c r="N1324" s="276"/>
      <c r="O1324" s="174"/>
      <c r="P1324" s="173" t="s">
        <v>4035</v>
      </c>
      <c r="Q1324" s="174"/>
      <c r="R1324" s="126" t="s">
        <v>2422</v>
      </c>
      <c r="S1324" s="127"/>
      <c r="T1324" s="183">
        <v>10</v>
      </c>
      <c r="U1324" s="185"/>
      <c r="V1324" s="173" t="s">
        <v>2107</v>
      </c>
      <c r="W1324" s="174"/>
      <c r="X1324" s="227">
        <v>98</v>
      </c>
      <c r="Y1324" s="228"/>
      <c r="Z1324" s="229"/>
      <c r="AA1324" s="110" t="s">
        <v>1114</v>
      </c>
      <c r="AB1324" s="111"/>
      <c r="AC1324" s="239"/>
      <c r="AD1324" s="240"/>
      <c r="AE1324" s="31"/>
      <c r="AF1324" s="167"/>
      <c r="AG1324" s="168"/>
      <c r="AH1324" s="169"/>
      <c r="AI1324" s="167"/>
      <c r="AJ1324" s="48"/>
      <c r="AK1324" s="15"/>
      <c r="AL1324" s="15"/>
    </row>
    <row r="1325" spans="1:38" ht="105" x14ac:dyDescent="0.3">
      <c r="A1325" s="179"/>
      <c r="B1325" s="292"/>
      <c r="C1325" s="314"/>
      <c r="D1325" s="293"/>
      <c r="E1325" s="28" t="s">
        <v>4041</v>
      </c>
      <c r="F1325" s="235"/>
      <c r="G1325" s="270"/>
      <c r="H1325" s="236"/>
      <c r="I1325" s="155">
        <v>5</v>
      </c>
      <c r="J1325" s="157"/>
      <c r="K1325" s="104" t="s">
        <v>4033</v>
      </c>
      <c r="L1325" s="105"/>
      <c r="M1325" s="173" t="s">
        <v>4034</v>
      </c>
      <c r="N1325" s="276"/>
      <c r="O1325" s="174"/>
      <c r="P1325" s="173" t="s">
        <v>4035</v>
      </c>
      <c r="Q1325" s="174"/>
      <c r="R1325" s="126" t="s">
        <v>2422</v>
      </c>
      <c r="S1325" s="127"/>
      <c r="T1325" s="183">
        <v>10</v>
      </c>
      <c r="U1325" s="185"/>
      <c r="V1325" s="173" t="s">
        <v>4036</v>
      </c>
      <c r="W1325" s="174"/>
      <c r="X1325" s="227">
        <v>98</v>
      </c>
      <c r="Y1325" s="228"/>
      <c r="Z1325" s="229"/>
      <c r="AA1325" s="110" t="s">
        <v>1742</v>
      </c>
      <c r="AB1325" s="111"/>
      <c r="AC1325" s="239"/>
      <c r="AD1325" s="240"/>
      <c r="AE1325" s="31"/>
      <c r="AF1325" s="167"/>
      <c r="AG1325" s="168"/>
      <c r="AH1325" s="169"/>
      <c r="AI1325" s="167"/>
      <c r="AJ1325" s="48"/>
      <c r="AK1325" s="15"/>
      <c r="AL1325" s="15"/>
    </row>
    <row r="1326" spans="1:38" ht="105" x14ac:dyDescent="0.3">
      <c r="A1326" s="179"/>
      <c r="B1326" s="292"/>
      <c r="C1326" s="314"/>
      <c r="D1326" s="293"/>
      <c r="E1326" s="28" t="s">
        <v>4042</v>
      </c>
      <c r="F1326" s="237"/>
      <c r="G1326" s="306"/>
      <c r="H1326" s="238"/>
      <c r="I1326" s="160">
        <v>5</v>
      </c>
      <c r="J1326" s="161"/>
      <c r="K1326" s="146" t="s">
        <v>4033</v>
      </c>
      <c r="L1326" s="148"/>
      <c r="M1326" s="173" t="s">
        <v>4034</v>
      </c>
      <c r="N1326" s="276"/>
      <c r="O1326" s="174"/>
      <c r="P1326" s="173" t="s">
        <v>4035</v>
      </c>
      <c r="Q1326" s="174"/>
      <c r="R1326" s="117" t="s">
        <v>2422</v>
      </c>
      <c r="S1326" s="118"/>
      <c r="T1326" s="183">
        <v>10</v>
      </c>
      <c r="U1326" s="185"/>
      <c r="V1326" s="173" t="s">
        <v>4036</v>
      </c>
      <c r="W1326" s="174"/>
      <c r="X1326" s="227">
        <v>98</v>
      </c>
      <c r="Y1326" s="228"/>
      <c r="Z1326" s="229"/>
      <c r="AA1326" s="110" t="s">
        <v>1742</v>
      </c>
      <c r="AB1326" s="111"/>
      <c r="AC1326" s="239"/>
      <c r="AD1326" s="240"/>
      <c r="AE1326" s="31"/>
      <c r="AF1326" s="167"/>
      <c r="AG1326" s="168"/>
      <c r="AH1326" s="169"/>
      <c r="AI1326" s="167"/>
      <c r="AJ1326" s="48"/>
      <c r="AK1326" s="15"/>
      <c r="AL1326" s="15"/>
    </row>
    <row r="1327" spans="1:38" ht="105" x14ac:dyDescent="0.3">
      <c r="A1327" s="179"/>
      <c r="B1327" s="292"/>
      <c r="C1327" s="314"/>
      <c r="D1327" s="293"/>
      <c r="E1327" s="28" t="s">
        <v>4043</v>
      </c>
      <c r="F1327" s="192" t="s">
        <v>4044</v>
      </c>
      <c r="G1327" s="196"/>
      <c r="H1327" s="193"/>
      <c r="I1327" s="112">
        <v>7</v>
      </c>
      <c r="J1327" s="113"/>
      <c r="K1327" s="143" t="s">
        <v>4045</v>
      </c>
      <c r="L1327" s="145"/>
      <c r="M1327" s="173" t="s">
        <v>4046</v>
      </c>
      <c r="N1327" s="276"/>
      <c r="O1327" s="174"/>
      <c r="P1327" s="183">
        <v>7</v>
      </c>
      <c r="Q1327" s="185"/>
      <c r="R1327" s="112">
        <v>16</v>
      </c>
      <c r="S1327" s="113"/>
      <c r="T1327" s="183">
        <v>12</v>
      </c>
      <c r="U1327" s="185"/>
      <c r="V1327" s="173" t="s">
        <v>4047</v>
      </c>
      <c r="W1327" s="174"/>
      <c r="X1327" s="227">
        <v>118</v>
      </c>
      <c r="Y1327" s="228"/>
      <c r="Z1327" s="229"/>
      <c r="AA1327" s="110" t="s">
        <v>1033</v>
      </c>
      <c r="AB1327" s="111"/>
      <c r="AC1327" s="239"/>
      <c r="AD1327" s="240"/>
      <c r="AE1327" s="31"/>
      <c r="AF1327" s="167"/>
      <c r="AG1327" s="168"/>
      <c r="AH1327" s="169"/>
      <c r="AI1327" s="167"/>
      <c r="AJ1327" s="48"/>
      <c r="AK1327" s="15"/>
      <c r="AL1327" s="15"/>
    </row>
    <row r="1328" spans="1:38" ht="105" x14ac:dyDescent="0.3">
      <c r="A1328" s="179"/>
      <c r="B1328" s="292"/>
      <c r="C1328" s="314"/>
      <c r="D1328" s="293"/>
      <c r="E1328" s="28" t="s">
        <v>4048</v>
      </c>
      <c r="F1328" s="272"/>
      <c r="G1328" s="282"/>
      <c r="H1328" s="273"/>
      <c r="I1328" s="155">
        <v>7</v>
      </c>
      <c r="J1328" s="157"/>
      <c r="K1328" s="104" t="s">
        <v>4045</v>
      </c>
      <c r="L1328" s="105"/>
      <c r="M1328" s="173" t="s">
        <v>4046</v>
      </c>
      <c r="N1328" s="276"/>
      <c r="O1328" s="174"/>
      <c r="P1328" s="183">
        <v>7</v>
      </c>
      <c r="Q1328" s="185"/>
      <c r="R1328" s="155">
        <v>16</v>
      </c>
      <c r="S1328" s="157"/>
      <c r="T1328" s="183">
        <v>12</v>
      </c>
      <c r="U1328" s="185"/>
      <c r="V1328" s="173" t="s">
        <v>4047</v>
      </c>
      <c r="W1328" s="174"/>
      <c r="X1328" s="227">
        <v>118</v>
      </c>
      <c r="Y1328" s="228"/>
      <c r="Z1328" s="229"/>
      <c r="AA1328" s="110" t="s">
        <v>1033</v>
      </c>
      <c r="AB1328" s="111"/>
      <c r="AC1328" s="239"/>
      <c r="AD1328" s="240"/>
      <c r="AE1328" s="31"/>
      <c r="AF1328" s="167"/>
      <c r="AG1328" s="168"/>
      <c r="AH1328" s="169"/>
      <c r="AI1328" s="167"/>
      <c r="AJ1328" s="48"/>
      <c r="AK1328" s="15"/>
      <c r="AL1328" s="15"/>
    </row>
    <row r="1329" spans="1:38" ht="105" x14ac:dyDescent="0.3">
      <c r="A1329" s="179"/>
      <c r="B1329" s="292"/>
      <c r="C1329" s="314"/>
      <c r="D1329" s="293"/>
      <c r="E1329" s="28" t="s">
        <v>4049</v>
      </c>
      <c r="F1329" s="272"/>
      <c r="G1329" s="282"/>
      <c r="H1329" s="273"/>
      <c r="I1329" s="155">
        <v>7</v>
      </c>
      <c r="J1329" s="157"/>
      <c r="K1329" s="104" t="s">
        <v>4045</v>
      </c>
      <c r="L1329" s="105"/>
      <c r="M1329" s="173" t="s">
        <v>4050</v>
      </c>
      <c r="N1329" s="276"/>
      <c r="O1329" s="174"/>
      <c r="P1329" s="183">
        <v>7</v>
      </c>
      <c r="Q1329" s="185"/>
      <c r="R1329" s="155">
        <v>16</v>
      </c>
      <c r="S1329" s="157"/>
      <c r="T1329" s="183">
        <v>12</v>
      </c>
      <c r="U1329" s="185"/>
      <c r="V1329" s="173" t="s">
        <v>4051</v>
      </c>
      <c r="W1329" s="174"/>
      <c r="X1329" s="227">
        <v>118</v>
      </c>
      <c r="Y1329" s="228"/>
      <c r="Z1329" s="229"/>
      <c r="AA1329" s="110" t="s">
        <v>1140</v>
      </c>
      <c r="AB1329" s="111"/>
      <c r="AC1329" s="239"/>
      <c r="AD1329" s="240"/>
      <c r="AE1329" s="31"/>
      <c r="AF1329" s="167"/>
      <c r="AG1329" s="168"/>
      <c r="AH1329" s="169"/>
      <c r="AI1329" s="167"/>
      <c r="AJ1329" s="48"/>
      <c r="AK1329" s="15"/>
      <c r="AL1329" s="15"/>
    </row>
    <row r="1330" spans="1:38" ht="105" x14ac:dyDescent="0.3">
      <c r="A1330" s="179"/>
      <c r="B1330" s="292"/>
      <c r="C1330" s="314"/>
      <c r="D1330" s="293"/>
      <c r="E1330" s="28" t="s">
        <v>4052</v>
      </c>
      <c r="F1330" s="272"/>
      <c r="G1330" s="282"/>
      <c r="H1330" s="273"/>
      <c r="I1330" s="155">
        <v>7</v>
      </c>
      <c r="J1330" s="157"/>
      <c r="K1330" s="104" t="s">
        <v>4045</v>
      </c>
      <c r="L1330" s="105"/>
      <c r="M1330" s="173" t="s">
        <v>4050</v>
      </c>
      <c r="N1330" s="276"/>
      <c r="O1330" s="174"/>
      <c r="P1330" s="183">
        <v>7</v>
      </c>
      <c r="Q1330" s="185"/>
      <c r="R1330" s="155">
        <v>16</v>
      </c>
      <c r="S1330" s="157"/>
      <c r="T1330" s="183">
        <v>12</v>
      </c>
      <c r="U1330" s="185"/>
      <c r="V1330" s="173" t="s">
        <v>4051</v>
      </c>
      <c r="W1330" s="174"/>
      <c r="X1330" s="227">
        <v>118</v>
      </c>
      <c r="Y1330" s="228"/>
      <c r="Z1330" s="229"/>
      <c r="AA1330" s="110" t="s">
        <v>1140</v>
      </c>
      <c r="AB1330" s="111"/>
      <c r="AC1330" s="239"/>
      <c r="AD1330" s="240"/>
      <c r="AE1330" s="31"/>
      <c r="AF1330" s="167"/>
      <c r="AG1330" s="168"/>
      <c r="AH1330" s="169"/>
      <c r="AI1330" s="167"/>
      <c r="AJ1330" s="48"/>
      <c r="AK1330" s="15"/>
      <c r="AL1330" s="15"/>
    </row>
    <row r="1331" spans="1:38" ht="105" x14ac:dyDescent="0.3">
      <c r="A1331" s="179"/>
      <c r="B1331" s="292"/>
      <c r="C1331" s="314"/>
      <c r="D1331" s="293"/>
      <c r="E1331" s="28" t="s">
        <v>4053</v>
      </c>
      <c r="F1331" s="272"/>
      <c r="G1331" s="282"/>
      <c r="H1331" s="273"/>
      <c r="I1331" s="155">
        <v>7</v>
      </c>
      <c r="J1331" s="157"/>
      <c r="K1331" s="104" t="s">
        <v>4045</v>
      </c>
      <c r="L1331" s="105"/>
      <c r="M1331" s="173" t="s">
        <v>4046</v>
      </c>
      <c r="N1331" s="276"/>
      <c r="O1331" s="174"/>
      <c r="P1331" s="183">
        <v>7</v>
      </c>
      <c r="Q1331" s="185"/>
      <c r="R1331" s="155">
        <v>16</v>
      </c>
      <c r="S1331" s="157"/>
      <c r="T1331" s="183">
        <v>12</v>
      </c>
      <c r="U1331" s="185"/>
      <c r="V1331" s="173" t="s">
        <v>4047</v>
      </c>
      <c r="W1331" s="174"/>
      <c r="X1331" s="227">
        <v>118</v>
      </c>
      <c r="Y1331" s="228"/>
      <c r="Z1331" s="229"/>
      <c r="AA1331" s="110" t="s">
        <v>1033</v>
      </c>
      <c r="AB1331" s="111"/>
      <c r="AC1331" s="239"/>
      <c r="AD1331" s="240"/>
      <c r="AE1331" s="31"/>
      <c r="AF1331" s="167"/>
      <c r="AG1331" s="168"/>
      <c r="AH1331" s="169"/>
      <c r="AI1331" s="167"/>
      <c r="AJ1331" s="48"/>
      <c r="AK1331" s="15"/>
      <c r="AL1331" s="15"/>
    </row>
    <row r="1332" spans="1:38" ht="105" x14ac:dyDescent="0.3">
      <c r="A1332" s="179"/>
      <c r="B1332" s="292"/>
      <c r="C1332" s="314"/>
      <c r="D1332" s="293"/>
      <c r="E1332" s="28" t="s">
        <v>4054</v>
      </c>
      <c r="F1332" s="194"/>
      <c r="G1332" s="197"/>
      <c r="H1332" s="195"/>
      <c r="I1332" s="160">
        <v>7</v>
      </c>
      <c r="J1332" s="161"/>
      <c r="K1332" s="146" t="s">
        <v>4045</v>
      </c>
      <c r="L1332" s="148"/>
      <c r="M1332" s="173" t="s">
        <v>4046</v>
      </c>
      <c r="N1332" s="276"/>
      <c r="O1332" s="174"/>
      <c r="P1332" s="183">
        <v>7</v>
      </c>
      <c r="Q1332" s="185"/>
      <c r="R1332" s="160">
        <v>16</v>
      </c>
      <c r="S1332" s="161"/>
      <c r="T1332" s="183">
        <v>12</v>
      </c>
      <c r="U1332" s="185"/>
      <c r="V1332" s="173" t="s">
        <v>4047</v>
      </c>
      <c r="W1332" s="174"/>
      <c r="X1332" s="227">
        <v>118</v>
      </c>
      <c r="Y1332" s="228"/>
      <c r="Z1332" s="229"/>
      <c r="AA1332" s="110" t="s">
        <v>1033</v>
      </c>
      <c r="AB1332" s="111"/>
      <c r="AC1332" s="239"/>
      <c r="AD1332" s="240"/>
      <c r="AE1332" s="31"/>
      <c r="AF1332" s="167"/>
      <c r="AG1332" s="168"/>
      <c r="AH1332" s="169"/>
      <c r="AI1332" s="167"/>
      <c r="AJ1332" s="48"/>
      <c r="AK1332" s="15"/>
      <c r="AL1332" s="15"/>
    </row>
    <row r="1333" spans="1:38" ht="105" x14ac:dyDescent="0.3">
      <c r="A1333" s="179"/>
      <c r="B1333" s="292"/>
      <c r="C1333" s="314"/>
      <c r="D1333" s="293"/>
      <c r="E1333" s="28" t="s">
        <v>4055</v>
      </c>
      <c r="F1333" s="233" t="s">
        <v>4056</v>
      </c>
      <c r="G1333" s="305"/>
      <c r="H1333" s="234"/>
      <c r="I1333" s="112">
        <v>9</v>
      </c>
      <c r="J1333" s="113"/>
      <c r="K1333" s="88" t="s">
        <v>4057</v>
      </c>
      <c r="L1333" s="89"/>
      <c r="M1333" s="173" t="s">
        <v>4058</v>
      </c>
      <c r="N1333" s="276"/>
      <c r="O1333" s="174"/>
      <c r="P1333" s="183">
        <v>8</v>
      </c>
      <c r="Q1333" s="185"/>
      <c r="R1333" s="112">
        <v>23</v>
      </c>
      <c r="S1333" s="113"/>
      <c r="T1333" s="183">
        <v>14</v>
      </c>
      <c r="U1333" s="185"/>
      <c r="V1333" s="173" t="s">
        <v>4059</v>
      </c>
      <c r="W1333" s="174"/>
      <c r="X1333" s="227">
        <v>138</v>
      </c>
      <c r="Y1333" s="228"/>
      <c r="Z1333" s="229"/>
      <c r="AA1333" s="110" t="s">
        <v>1463</v>
      </c>
      <c r="AB1333" s="111"/>
      <c r="AC1333" s="239"/>
      <c r="AD1333" s="240"/>
      <c r="AE1333" s="31"/>
      <c r="AF1333" s="167"/>
      <c r="AG1333" s="168"/>
      <c r="AH1333" s="169"/>
      <c r="AI1333" s="167"/>
      <c r="AJ1333" s="48"/>
      <c r="AK1333" s="15"/>
      <c r="AL1333" s="15"/>
    </row>
    <row r="1334" spans="1:38" ht="105" x14ac:dyDescent="0.3">
      <c r="A1334" s="179"/>
      <c r="B1334" s="292"/>
      <c r="C1334" s="314"/>
      <c r="D1334" s="293"/>
      <c r="E1334" s="28" t="s">
        <v>4060</v>
      </c>
      <c r="F1334" s="235"/>
      <c r="G1334" s="270"/>
      <c r="H1334" s="236"/>
      <c r="I1334" s="155">
        <v>9</v>
      </c>
      <c r="J1334" s="157"/>
      <c r="K1334" s="126" t="s">
        <v>4057</v>
      </c>
      <c r="L1334" s="127"/>
      <c r="M1334" s="173" t="s">
        <v>4058</v>
      </c>
      <c r="N1334" s="276"/>
      <c r="O1334" s="174"/>
      <c r="P1334" s="183">
        <v>8</v>
      </c>
      <c r="Q1334" s="185"/>
      <c r="R1334" s="155">
        <v>23</v>
      </c>
      <c r="S1334" s="157"/>
      <c r="T1334" s="183">
        <v>14</v>
      </c>
      <c r="U1334" s="185"/>
      <c r="V1334" s="173" t="s">
        <v>4059</v>
      </c>
      <c r="W1334" s="174"/>
      <c r="X1334" s="227">
        <v>138</v>
      </c>
      <c r="Y1334" s="228"/>
      <c r="Z1334" s="229"/>
      <c r="AA1334" s="110" t="s">
        <v>1463</v>
      </c>
      <c r="AB1334" s="111"/>
      <c r="AC1334" s="239"/>
      <c r="AD1334" s="240"/>
      <c r="AE1334" s="31"/>
      <c r="AF1334" s="167"/>
      <c r="AG1334" s="168"/>
      <c r="AH1334" s="169"/>
      <c r="AI1334" s="167"/>
      <c r="AJ1334" s="48"/>
      <c r="AK1334" s="15"/>
      <c r="AL1334" s="15"/>
    </row>
    <row r="1335" spans="1:38" ht="90" x14ac:dyDescent="0.3">
      <c r="A1335" s="179"/>
      <c r="B1335" s="292"/>
      <c r="C1335" s="314"/>
      <c r="D1335" s="293"/>
      <c r="E1335" s="28" t="s">
        <v>4061</v>
      </c>
      <c r="F1335" s="235"/>
      <c r="G1335" s="270"/>
      <c r="H1335" s="236"/>
      <c r="I1335" s="155">
        <v>9</v>
      </c>
      <c r="J1335" s="157"/>
      <c r="K1335" s="126" t="s">
        <v>4057</v>
      </c>
      <c r="L1335" s="127"/>
      <c r="M1335" s="173" t="s">
        <v>4062</v>
      </c>
      <c r="N1335" s="276"/>
      <c r="O1335" s="174"/>
      <c r="P1335" s="183">
        <v>8</v>
      </c>
      <c r="Q1335" s="185"/>
      <c r="R1335" s="155">
        <v>23</v>
      </c>
      <c r="S1335" s="157"/>
      <c r="T1335" s="183">
        <v>14</v>
      </c>
      <c r="U1335" s="185"/>
      <c r="V1335" s="173" t="s">
        <v>4063</v>
      </c>
      <c r="W1335" s="174"/>
      <c r="X1335" s="227">
        <v>138</v>
      </c>
      <c r="Y1335" s="228"/>
      <c r="Z1335" s="229"/>
      <c r="AA1335" s="110" t="s">
        <v>1837</v>
      </c>
      <c r="AB1335" s="111"/>
      <c r="AC1335" s="239"/>
      <c r="AD1335" s="240"/>
      <c r="AE1335" s="31"/>
      <c r="AF1335" s="167"/>
      <c r="AG1335" s="168"/>
      <c r="AH1335" s="169"/>
      <c r="AI1335" s="167"/>
      <c r="AJ1335" s="48"/>
      <c r="AK1335" s="15"/>
      <c r="AL1335" s="15"/>
    </row>
    <row r="1336" spans="1:38" ht="90" x14ac:dyDescent="0.3">
      <c r="A1336" s="179"/>
      <c r="B1336" s="292"/>
      <c r="C1336" s="314"/>
      <c r="D1336" s="293"/>
      <c r="E1336" s="28" t="s">
        <v>4064</v>
      </c>
      <c r="F1336" s="235"/>
      <c r="G1336" s="270"/>
      <c r="H1336" s="236"/>
      <c r="I1336" s="155">
        <v>9</v>
      </c>
      <c r="J1336" s="157"/>
      <c r="K1336" s="126" t="s">
        <v>4057</v>
      </c>
      <c r="L1336" s="127"/>
      <c r="M1336" s="173" t="s">
        <v>4062</v>
      </c>
      <c r="N1336" s="276"/>
      <c r="O1336" s="174"/>
      <c r="P1336" s="183">
        <v>8</v>
      </c>
      <c r="Q1336" s="185"/>
      <c r="R1336" s="155">
        <v>23</v>
      </c>
      <c r="S1336" s="157"/>
      <c r="T1336" s="183">
        <v>14</v>
      </c>
      <c r="U1336" s="185"/>
      <c r="V1336" s="173" t="s">
        <v>4063</v>
      </c>
      <c r="W1336" s="174"/>
      <c r="X1336" s="227">
        <v>138</v>
      </c>
      <c r="Y1336" s="228"/>
      <c r="Z1336" s="229"/>
      <c r="AA1336" s="110" t="s">
        <v>1837</v>
      </c>
      <c r="AB1336" s="111"/>
      <c r="AC1336" s="239"/>
      <c r="AD1336" s="240"/>
      <c r="AE1336" s="31"/>
      <c r="AF1336" s="167"/>
      <c r="AG1336" s="168"/>
      <c r="AH1336" s="169"/>
      <c r="AI1336" s="167"/>
      <c r="AJ1336" s="48"/>
      <c r="AK1336" s="15"/>
      <c r="AL1336" s="15"/>
    </row>
    <row r="1337" spans="1:38" ht="105" x14ac:dyDescent="0.3">
      <c r="A1337" s="179"/>
      <c r="B1337" s="292"/>
      <c r="C1337" s="314"/>
      <c r="D1337" s="293"/>
      <c r="E1337" s="28" t="s">
        <v>4065</v>
      </c>
      <c r="F1337" s="235"/>
      <c r="G1337" s="270"/>
      <c r="H1337" s="236"/>
      <c r="I1337" s="155">
        <v>9</v>
      </c>
      <c r="J1337" s="157"/>
      <c r="K1337" s="126" t="s">
        <v>4057</v>
      </c>
      <c r="L1337" s="127"/>
      <c r="M1337" s="173" t="s">
        <v>4058</v>
      </c>
      <c r="N1337" s="276"/>
      <c r="O1337" s="174"/>
      <c r="P1337" s="183">
        <v>8</v>
      </c>
      <c r="Q1337" s="185"/>
      <c r="R1337" s="155">
        <v>23</v>
      </c>
      <c r="S1337" s="157"/>
      <c r="T1337" s="183">
        <v>14</v>
      </c>
      <c r="U1337" s="185"/>
      <c r="V1337" s="173" t="s">
        <v>4059</v>
      </c>
      <c r="W1337" s="174"/>
      <c r="X1337" s="227">
        <v>138</v>
      </c>
      <c r="Y1337" s="228"/>
      <c r="Z1337" s="229"/>
      <c r="AA1337" s="110" t="s">
        <v>1463</v>
      </c>
      <c r="AB1337" s="111"/>
      <c r="AC1337" s="239"/>
      <c r="AD1337" s="240"/>
      <c r="AE1337" s="31"/>
      <c r="AF1337" s="167"/>
      <c r="AG1337" s="168"/>
      <c r="AH1337" s="169"/>
      <c r="AI1337" s="167"/>
      <c r="AJ1337" s="48"/>
      <c r="AK1337" s="15"/>
      <c r="AL1337" s="15"/>
    </row>
    <row r="1338" spans="1:38" ht="105" x14ac:dyDescent="0.3">
      <c r="A1338" s="230"/>
      <c r="B1338" s="290"/>
      <c r="C1338" s="345"/>
      <c r="D1338" s="291"/>
      <c r="E1338" s="28" t="s">
        <v>4066</v>
      </c>
      <c r="F1338" s="237"/>
      <c r="G1338" s="306"/>
      <c r="H1338" s="238"/>
      <c r="I1338" s="160">
        <v>9</v>
      </c>
      <c r="J1338" s="161"/>
      <c r="K1338" s="117" t="s">
        <v>4057</v>
      </c>
      <c r="L1338" s="118"/>
      <c r="M1338" s="173" t="s">
        <v>4058</v>
      </c>
      <c r="N1338" s="276"/>
      <c r="O1338" s="174"/>
      <c r="P1338" s="183">
        <v>8</v>
      </c>
      <c r="Q1338" s="185"/>
      <c r="R1338" s="160">
        <v>23</v>
      </c>
      <c r="S1338" s="161"/>
      <c r="T1338" s="183">
        <v>14</v>
      </c>
      <c r="U1338" s="185"/>
      <c r="V1338" s="173" t="s">
        <v>4059</v>
      </c>
      <c r="W1338" s="174"/>
      <c r="X1338" s="227">
        <v>138</v>
      </c>
      <c r="Y1338" s="228"/>
      <c r="Z1338" s="229"/>
      <c r="AA1338" s="110" t="s">
        <v>1463</v>
      </c>
      <c r="AB1338" s="111"/>
      <c r="AC1338" s="225"/>
      <c r="AD1338" s="226"/>
      <c r="AE1338" s="31"/>
      <c r="AF1338" s="214"/>
      <c r="AG1338" s="215"/>
      <c r="AH1338" s="216"/>
      <c r="AI1338" s="167"/>
      <c r="AJ1338" s="48"/>
      <c r="AK1338" s="15"/>
      <c r="AL1338" s="15"/>
    </row>
    <row r="1339" spans="1:38" ht="45" x14ac:dyDescent="0.25">
      <c r="A1339" s="17"/>
      <c r="B1339" s="164"/>
      <c r="C1339" s="165"/>
      <c r="D1339" s="166"/>
      <c r="E1339" s="28" t="s">
        <v>4067</v>
      </c>
      <c r="F1339" s="124" t="s">
        <v>4068</v>
      </c>
      <c r="G1339" s="182"/>
      <c r="H1339" s="125"/>
      <c r="I1339" s="110" t="s">
        <v>3205</v>
      </c>
      <c r="J1339" s="111"/>
      <c r="K1339" s="124" t="s">
        <v>3828</v>
      </c>
      <c r="L1339" s="125"/>
      <c r="M1339" s="540" t="s">
        <v>4069</v>
      </c>
      <c r="N1339" s="541"/>
      <c r="O1339" s="542"/>
      <c r="P1339" s="173" t="s">
        <v>3205</v>
      </c>
      <c r="Q1339" s="174"/>
      <c r="R1339" s="114" t="s">
        <v>688</v>
      </c>
      <c r="S1339" s="116"/>
      <c r="T1339" s="183">
        <v>2</v>
      </c>
      <c r="U1339" s="185"/>
      <c r="V1339" s="173" t="s">
        <v>4070</v>
      </c>
      <c r="W1339" s="174"/>
      <c r="X1339" s="175" t="s">
        <v>4071</v>
      </c>
      <c r="Y1339" s="176"/>
      <c r="Z1339" s="177"/>
      <c r="AA1339" s="110" t="s">
        <v>1081</v>
      </c>
      <c r="AB1339" s="111"/>
      <c r="AC1339" s="303" t="s">
        <v>3194</v>
      </c>
      <c r="AD1339" s="304"/>
      <c r="AE1339" s="25" t="s">
        <v>4072</v>
      </c>
      <c r="AF1339" s="164"/>
      <c r="AG1339" s="165"/>
      <c r="AH1339" s="166"/>
      <c r="AI1339" s="167"/>
      <c r="AJ1339" s="48"/>
      <c r="AK1339" s="15"/>
      <c r="AL1339" s="15"/>
    </row>
    <row r="1340" spans="1:38" ht="30" x14ac:dyDescent="0.3">
      <c r="A1340" s="179"/>
      <c r="B1340" s="126" t="s">
        <v>4073</v>
      </c>
      <c r="C1340" s="203"/>
      <c r="D1340" s="127"/>
      <c r="E1340" s="71" t="s">
        <v>4074</v>
      </c>
      <c r="F1340" s="409" t="s">
        <v>4075</v>
      </c>
      <c r="G1340" s="410"/>
      <c r="H1340" s="411"/>
      <c r="I1340" s="233" t="s">
        <v>4076</v>
      </c>
      <c r="J1340" s="234"/>
      <c r="K1340" s="409" t="s">
        <v>3828</v>
      </c>
      <c r="L1340" s="411"/>
      <c r="M1340" s="527" t="s">
        <v>2483</v>
      </c>
      <c r="N1340" s="528"/>
      <c r="O1340" s="529"/>
      <c r="P1340" s="330" t="s">
        <v>4077</v>
      </c>
      <c r="Q1340" s="331"/>
      <c r="R1340" s="328">
        <v>3</v>
      </c>
      <c r="S1340" s="329"/>
      <c r="T1340" s="328">
        <v>2</v>
      </c>
      <c r="U1340" s="329"/>
      <c r="V1340" s="521" t="s">
        <v>4078</v>
      </c>
      <c r="W1340" s="522"/>
      <c r="X1340" s="432" t="s">
        <v>1502</v>
      </c>
      <c r="Y1340" s="433"/>
      <c r="Z1340" s="434"/>
      <c r="AA1340" s="233" t="s">
        <v>1364</v>
      </c>
      <c r="AB1340" s="234"/>
      <c r="AC1340" s="126" t="s">
        <v>4079</v>
      </c>
      <c r="AD1340" s="127"/>
      <c r="AE1340" s="46" t="s">
        <v>4082</v>
      </c>
      <c r="AF1340" s="167"/>
      <c r="AG1340" s="168"/>
      <c r="AH1340" s="169"/>
      <c r="AI1340" s="167"/>
      <c r="AJ1340" s="271"/>
      <c r="AK1340" s="15"/>
      <c r="AL1340" s="15"/>
    </row>
    <row r="1341" spans="1:38" ht="15.5" x14ac:dyDescent="0.3">
      <c r="A1341" s="179"/>
      <c r="B1341" s="126"/>
      <c r="C1341" s="203"/>
      <c r="D1341" s="127"/>
      <c r="E1341" s="72"/>
      <c r="F1341" s="401"/>
      <c r="G1341" s="402"/>
      <c r="H1341" s="403"/>
      <c r="I1341" s="235"/>
      <c r="J1341" s="236"/>
      <c r="K1341" s="401"/>
      <c r="L1341" s="403"/>
      <c r="M1341" s="530"/>
      <c r="N1341" s="531"/>
      <c r="O1341" s="532"/>
      <c r="P1341" s="536"/>
      <c r="Q1341" s="537"/>
      <c r="R1341" s="517"/>
      <c r="S1341" s="518"/>
      <c r="T1341" s="517"/>
      <c r="U1341" s="518"/>
      <c r="V1341" s="523"/>
      <c r="W1341" s="524"/>
      <c r="X1341" s="451"/>
      <c r="Y1341" s="452"/>
      <c r="Z1341" s="453"/>
      <c r="AA1341" s="235"/>
      <c r="AB1341" s="236"/>
      <c r="AC1341" s="126" t="s">
        <v>4080</v>
      </c>
      <c r="AD1341" s="127"/>
      <c r="AE1341" s="46" t="s">
        <v>848</v>
      </c>
      <c r="AF1341" s="167"/>
      <c r="AG1341" s="168"/>
      <c r="AH1341" s="169"/>
      <c r="AI1341" s="167"/>
      <c r="AJ1341" s="271"/>
      <c r="AK1341" s="15"/>
      <c r="AL1341" s="15"/>
    </row>
    <row r="1342" spans="1:38" ht="45" x14ac:dyDescent="0.3">
      <c r="A1342" s="179"/>
      <c r="B1342" s="126"/>
      <c r="C1342" s="203"/>
      <c r="D1342" s="127"/>
      <c r="E1342" s="73"/>
      <c r="F1342" s="404"/>
      <c r="G1342" s="405"/>
      <c r="H1342" s="406"/>
      <c r="I1342" s="237"/>
      <c r="J1342" s="238"/>
      <c r="K1342" s="404"/>
      <c r="L1342" s="406"/>
      <c r="M1342" s="533"/>
      <c r="N1342" s="534"/>
      <c r="O1342" s="535"/>
      <c r="P1342" s="538"/>
      <c r="Q1342" s="539"/>
      <c r="R1342" s="519"/>
      <c r="S1342" s="520"/>
      <c r="T1342" s="519"/>
      <c r="U1342" s="520"/>
      <c r="V1342" s="525"/>
      <c r="W1342" s="526"/>
      <c r="X1342" s="435"/>
      <c r="Y1342" s="436"/>
      <c r="Z1342" s="437"/>
      <c r="AA1342" s="237"/>
      <c r="AB1342" s="238"/>
      <c r="AC1342" s="126" t="s">
        <v>4081</v>
      </c>
      <c r="AD1342" s="127"/>
      <c r="AE1342" s="46" t="s">
        <v>1356</v>
      </c>
      <c r="AF1342" s="167"/>
      <c r="AG1342" s="168"/>
      <c r="AH1342" s="169"/>
      <c r="AI1342" s="167"/>
      <c r="AJ1342" s="271"/>
      <c r="AK1342" s="15"/>
      <c r="AL1342" s="15"/>
    </row>
    <row r="1343" spans="1:38" ht="60" x14ac:dyDescent="0.3">
      <c r="A1343" s="230"/>
      <c r="B1343" s="117"/>
      <c r="C1343" s="154"/>
      <c r="D1343" s="118"/>
      <c r="E1343" s="19" t="s">
        <v>4084</v>
      </c>
      <c r="F1343" s="346" t="s">
        <v>4085</v>
      </c>
      <c r="G1343" s="347"/>
      <c r="H1343" s="348"/>
      <c r="I1343" s="337" t="s">
        <v>4086</v>
      </c>
      <c r="J1343" s="338"/>
      <c r="K1343" s="346" t="s">
        <v>3828</v>
      </c>
      <c r="L1343" s="348"/>
      <c r="M1343" s="511" t="s">
        <v>3128</v>
      </c>
      <c r="N1343" s="512"/>
      <c r="O1343" s="513"/>
      <c r="P1343" s="332" t="s">
        <v>4087</v>
      </c>
      <c r="Q1343" s="333"/>
      <c r="R1343" s="349">
        <v>4</v>
      </c>
      <c r="S1343" s="350"/>
      <c r="T1343" s="349">
        <v>2</v>
      </c>
      <c r="U1343" s="350"/>
      <c r="V1343" s="353" t="s">
        <v>4088</v>
      </c>
      <c r="W1343" s="355"/>
      <c r="X1343" s="424" t="s">
        <v>4089</v>
      </c>
      <c r="Y1343" s="425"/>
      <c r="Z1343" s="426"/>
      <c r="AA1343" s="337" t="s">
        <v>1181</v>
      </c>
      <c r="AB1343" s="338"/>
      <c r="AC1343" s="117"/>
      <c r="AD1343" s="118"/>
      <c r="AE1343" s="46" t="s">
        <v>4083</v>
      </c>
      <c r="AF1343" s="214"/>
      <c r="AG1343" s="215"/>
      <c r="AH1343" s="216"/>
      <c r="AI1343" s="167"/>
      <c r="AJ1343" s="48"/>
      <c r="AK1343" s="15"/>
      <c r="AL1343" s="15"/>
    </row>
    <row r="1344" spans="1:38" ht="90" x14ac:dyDescent="0.25">
      <c r="A1344" s="178"/>
      <c r="B1344" s="303" t="s">
        <v>4090</v>
      </c>
      <c r="C1344" s="344"/>
      <c r="D1344" s="304"/>
      <c r="E1344" s="49" t="s">
        <v>4091</v>
      </c>
      <c r="F1344" s="303" t="s">
        <v>4092</v>
      </c>
      <c r="G1344" s="344"/>
      <c r="H1344" s="304"/>
      <c r="I1344" s="143" t="s">
        <v>1416</v>
      </c>
      <c r="J1344" s="145"/>
      <c r="K1344" s="143" t="s">
        <v>4093</v>
      </c>
      <c r="L1344" s="145"/>
      <c r="M1344" s="375" t="s">
        <v>4070</v>
      </c>
      <c r="N1344" s="429"/>
      <c r="O1344" s="376"/>
      <c r="P1344" s="360" t="s">
        <v>1416</v>
      </c>
      <c r="Q1344" s="361"/>
      <c r="R1344" s="112">
        <v>3</v>
      </c>
      <c r="S1344" s="113"/>
      <c r="T1344" s="358">
        <v>2</v>
      </c>
      <c r="U1344" s="359"/>
      <c r="V1344" s="360" t="s">
        <v>4094</v>
      </c>
      <c r="W1344" s="361"/>
      <c r="X1344" s="334">
        <v>19</v>
      </c>
      <c r="Y1344" s="335"/>
      <c r="Z1344" s="336"/>
      <c r="AA1344" s="362" t="s">
        <v>4095</v>
      </c>
      <c r="AB1344" s="363"/>
      <c r="AC1344" s="171" t="s">
        <v>3194</v>
      </c>
      <c r="AD1344" s="172"/>
      <c r="AE1344" s="24" t="s">
        <v>4098</v>
      </c>
      <c r="AF1344" s="164"/>
      <c r="AG1344" s="165"/>
      <c r="AH1344" s="166"/>
      <c r="AI1344" s="167"/>
      <c r="AJ1344" s="48"/>
      <c r="AK1344" s="15"/>
      <c r="AL1344" s="15"/>
    </row>
    <row r="1345" spans="1:38" ht="60" x14ac:dyDescent="0.3">
      <c r="A1345" s="179"/>
      <c r="B1345" s="292"/>
      <c r="C1345" s="314"/>
      <c r="D1345" s="293"/>
      <c r="E1345" s="19" t="s">
        <v>4100</v>
      </c>
      <c r="F1345" s="292"/>
      <c r="G1345" s="314"/>
      <c r="H1345" s="293"/>
      <c r="I1345" s="104" t="s">
        <v>1416</v>
      </c>
      <c r="J1345" s="105"/>
      <c r="K1345" s="104" t="s">
        <v>4093</v>
      </c>
      <c r="L1345" s="105"/>
      <c r="M1345" s="351" t="s">
        <v>4101</v>
      </c>
      <c r="N1345" s="444"/>
      <c r="O1345" s="352"/>
      <c r="P1345" s="332" t="s">
        <v>1416</v>
      </c>
      <c r="Q1345" s="333"/>
      <c r="R1345" s="155">
        <v>3</v>
      </c>
      <c r="S1345" s="157"/>
      <c r="T1345" s="349">
        <v>2</v>
      </c>
      <c r="U1345" s="350"/>
      <c r="V1345" s="332" t="s">
        <v>4102</v>
      </c>
      <c r="W1345" s="333"/>
      <c r="X1345" s="334">
        <v>18</v>
      </c>
      <c r="Y1345" s="335"/>
      <c r="Z1345" s="336"/>
      <c r="AA1345" s="337" t="s">
        <v>4103</v>
      </c>
      <c r="AB1345" s="338"/>
      <c r="AC1345" s="162" t="s">
        <v>4096</v>
      </c>
      <c r="AD1345" s="163"/>
      <c r="AE1345" s="31" t="s">
        <v>1356</v>
      </c>
      <c r="AF1345" s="167"/>
      <c r="AG1345" s="168"/>
      <c r="AH1345" s="169"/>
      <c r="AI1345" s="167"/>
      <c r="AJ1345" s="48"/>
      <c r="AK1345" s="15"/>
      <c r="AL1345" s="15"/>
    </row>
    <row r="1346" spans="1:38" ht="60" x14ac:dyDescent="0.3">
      <c r="A1346" s="230"/>
      <c r="B1346" s="290"/>
      <c r="C1346" s="345"/>
      <c r="D1346" s="291"/>
      <c r="E1346" s="19" t="s">
        <v>4104</v>
      </c>
      <c r="F1346" s="290"/>
      <c r="G1346" s="345"/>
      <c r="H1346" s="291"/>
      <c r="I1346" s="146" t="s">
        <v>1416</v>
      </c>
      <c r="J1346" s="148"/>
      <c r="K1346" s="146" t="s">
        <v>4093</v>
      </c>
      <c r="L1346" s="148"/>
      <c r="M1346" s="351" t="s">
        <v>4101</v>
      </c>
      <c r="N1346" s="444"/>
      <c r="O1346" s="352"/>
      <c r="P1346" s="332" t="s">
        <v>1416</v>
      </c>
      <c r="Q1346" s="333"/>
      <c r="R1346" s="155">
        <v>3</v>
      </c>
      <c r="S1346" s="157"/>
      <c r="T1346" s="349">
        <v>2</v>
      </c>
      <c r="U1346" s="350"/>
      <c r="V1346" s="332" t="s">
        <v>4102</v>
      </c>
      <c r="W1346" s="333"/>
      <c r="X1346" s="334">
        <v>18</v>
      </c>
      <c r="Y1346" s="335"/>
      <c r="Z1346" s="336"/>
      <c r="AA1346" s="337" t="s">
        <v>4103</v>
      </c>
      <c r="AB1346" s="338"/>
      <c r="AC1346" s="212" t="s">
        <v>4097</v>
      </c>
      <c r="AD1346" s="213"/>
      <c r="AE1346" s="31" t="s">
        <v>4099</v>
      </c>
      <c r="AF1346" s="214"/>
      <c r="AG1346" s="215"/>
      <c r="AH1346" s="216"/>
      <c r="AI1346" s="214"/>
      <c r="AJ1346" s="48"/>
      <c r="AK1346" s="15"/>
      <c r="AL1346" s="15"/>
    </row>
    <row r="1347" spans="1:38" ht="90" x14ac:dyDescent="0.3">
      <c r="A1347" s="178"/>
      <c r="B1347" s="303" t="s">
        <v>4105</v>
      </c>
      <c r="C1347" s="344"/>
      <c r="D1347" s="304"/>
      <c r="E1347" s="28" t="s">
        <v>4106</v>
      </c>
      <c r="F1347" s="233" t="s">
        <v>4107</v>
      </c>
      <c r="G1347" s="305"/>
      <c r="H1347" s="234"/>
      <c r="I1347" s="143" t="s">
        <v>4108</v>
      </c>
      <c r="J1347" s="145"/>
      <c r="K1347" s="143" t="s">
        <v>4109</v>
      </c>
      <c r="L1347" s="145"/>
      <c r="M1347" s="110" t="s">
        <v>1261</v>
      </c>
      <c r="N1347" s="138"/>
      <c r="O1347" s="111"/>
      <c r="P1347" s="114" t="s">
        <v>4110</v>
      </c>
      <c r="Q1347" s="116"/>
      <c r="R1347" s="155">
        <v>3</v>
      </c>
      <c r="S1347" s="157"/>
      <c r="T1347" s="183">
        <v>1</v>
      </c>
      <c r="U1347" s="185"/>
      <c r="V1347" s="180" t="s">
        <v>2395</v>
      </c>
      <c r="W1347" s="181"/>
      <c r="X1347" s="488" t="s">
        <v>2758</v>
      </c>
      <c r="Y1347" s="489"/>
      <c r="Z1347" s="490"/>
      <c r="AA1347" s="110" t="s">
        <v>2702</v>
      </c>
      <c r="AB1347" s="111"/>
      <c r="AC1347" s="171" t="s">
        <v>3194</v>
      </c>
      <c r="AD1347" s="172"/>
      <c r="AE1347" s="24" t="s">
        <v>4113</v>
      </c>
      <c r="AF1347" s="164"/>
      <c r="AG1347" s="165"/>
      <c r="AH1347" s="166"/>
      <c r="AI1347" s="24" t="s">
        <v>4115</v>
      </c>
      <c r="AJ1347" s="48"/>
      <c r="AK1347" s="15"/>
      <c r="AL1347" s="15"/>
    </row>
    <row r="1348" spans="1:38" ht="120" x14ac:dyDescent="0.3">
      <c r="A1348" s="179"/>
      <c r="B1348" s="292"/>
      <c r="C1348" s="314"/>
      <c r="D1348" s="293"/>
      <c r="E1348" s="28" t="s">
        <v>4117</v>
      </c>
      <c r="F1348" s="235"/>
      <c r="G1348" s="270"/>
      <c r="H1348" s="236"/>
      <c r="I1348" s="104" t="s">
        <v>4108</v>
      </c>
      <c r="J1348" s="105"/>
      <c r="K1348" s="104" t="s">
        <v>4109</v>
      </c>
      <c r="L1348" s="105"/>
      <c r="M1348" s="110" t="s">
        <v>1023</v>
      </c>
      <c r="N1348" s="138"/>
      <c r="O1348" s="111"/>
      <c r="P1348" s="114" t="s">
        <v>4110</v>
      </c>
      <c r="Q1348" s="116"/>
      <c r="R1348" s="155">
        <v>3</v>
      </c>
      <c r="S1348" s="157"/>
      <c r="T1348" s="183">
        <v>1</v>
      </c>
      <c r="U1348" s="185"/>
      <c r="V1348" s="180" t="s">
        <v>4118</v>
      </c>
      <c r="W1348" s="181"/>
      <c r="X1348" s="488" t="s">
        <v>1583</v>
      </c>
      <c r="Y1348" s="489"/>
      <c r="Z1348" s="490"/>
      <c r="AA1348" s="124" t="s">
        <v>4119</v>
      </c>
      <c r="AB1348" s="125"/>
      <c r="AC1348" s="162" t="s">
        <v>4111</v>
      </c>
      <c r="AD1348" s="163"/>
      <c r="AE1348" s="31" t="s">
        <v>1356</v>
      </c>
      <c r="AF1348" s="167"/>
      <c r="AG1348" s="168"/>
      <c r="AH1348" s="169"/>
      <c r="AI1348" s="31" t="s">
        <v>4116</v>
      </c>
      <c r="AJ1348" s="48"/>
      <c r="AK1348" s="15"/>
      <c r="AL1348" s="15"/>
    </row>
    <row r="1349" spans="1:38" ht="60" x14ac:dyDescent="0.3">
      <c r="A1349" s="179"/>
      <c r="B1349" s="292"/>
      <c r="C1349" s="314"/>
      <c r="D1349" s="293"/>
      <c r="E1349" s="28" t="s">
        <v>4120</v>
      </c>
      <c r="F1349" s="235"/>
      <c r="G1349" s="270"/>
      <c r="H1349" s="236"/>
      <c r="I1349" s="146" t="s">
        <v>4108</v>
      </c>
      <c r="J1349" s="148"/>
      <c r="K1349" s="146" t="s">
        <v>4109</v>
      </c>
      <c r="L1349" s="148"/>
      <c r="M1349" s="110" t="s">
        <v>1023</v>
      </c>
      <c r="N1349" s="138"/>
      <c r="O1349" s="111"/>
      <c r="P1349" s="114" t="s">
        <v>4110</v>
      </c>
      <c r="Q1349" s="116"/>
      <c r="R1349" s="155">
        <v>3</v>
      </c>
      <c r="S1349" s="157"/>
      <c r="T1349" s="183">
        <v>1</v>
      </c>
      <c r="U1349" s="185"/>
      <c r="V1349" s="180" t="s">
        <v>4118</v>
      </c>
      <c r="W1349" s="181"/>
      <c r="X1349" s="488" t="s">
        <v>1583</v>
      </c>
      <c r="Y1349" s="489"/>
      <c r="Z1349" s="490"/>
      <c r="AA1349" s="124" t="s">
        <v>4119</v>
      </c>
      <c r="AB1349" s="125"/>
      <c r="AC1349" s="162" t="s">
        <v>4112</v>
      </c>
      <c r="AD1349" s="163"/>
      <c r="AE1349" s="31" t="s">
        <v>4114</v>
      </c>
      <c r="AF1349" s="167"/>
      <c r="AG1349" s="168"/>
      <c r="AH1349" s="169"/>
      <c r="AI1349" s="31"/>
      <c r="AJ1349" s="48"/>
      <c r="AK1349" s="15"/>
      <c r="AL1349" s="15"/>
    </row>
    <row r="1350" spans="1:38" ht="60" x14ac:dyDescent="0.3">
      <c r="A1350" s="179"/>
      <c r="B1350" s="292"/>
      <c r="C1350" s="314"/>
      <c r="D1350" s="293"/>
      <c r="E1350" s="28" t="s">
        <v>4121</v>
      </c>
      <c r="F1350" s="235"/>
      <c r="G1350" s="270"/>
      <c r="H1350" s="236"/>
      <c r="I1350" s="143" t="s">
        <v>1416</v>
      </c>
      <c r="J1350" s="145"/>
      <c r="K1350" s="143" t="s">
        <v>4109</v>
      </c>
      <c r="L1350" s="145"/>
      <c r="M1350" s="110" t="s">
        <v>1298</v>
      </c>
      <c r="N1350" s="138"/>
      <c r="O1350" s="111"/>
      <c r="P1350" s="114" t="s">
        <v>4110</v>
      </c>
      <c r="Q1350" s="116"/>
      <c r="R1350" s="155">
        <v>3</v>
      </c>
      <c r="S1350" s="157"/>
      <c r="T1350" s="183">
        <v>1</v>
      </c>
      <c r="U1350" s="185"/>
      <c r="V1350" s="180" t="s">
        <v>3733</v>
      </c>
      <c r="W1350" s="181"/>
      <c r="X1350" s="175" t="s">
        <v>4122</v>
      </c>
      <c r="Y1350" s="176"/>
      <c r="Z1350" s="177"/>
      <c r="AA1350" s="110" t="s">
        <v>1222</v>
      </c>
      <c r="AB1350" s="111"/>
      <c r="AC1350" s="162"/>
      <c r="AD1350" s="163"/>
      <c r="AE1350" s="31"/>
      <c r="AF1350" s="167"/>
      <c r="AG1350" s="168"/>
      <c r="AH1350" s="169"/>
      <c r="AI1350" s="31"/>
      <c r="AJ1350" s="48"/>
      <c r="AK1350" s="15"/>
      <c r="AL1350" s="15"/>
    </row>
    <row r="1351" spans="1:38" ht="75" x14ac:dyDescent="0.3">
      <c r="A1351" s="179"/>
      <c r="B1351" s="292"/>
      <c r="C1351" s="314"/>
      <c r="D1351" s="293"/>
      <c r="E1351" s="19" t="s">
        <v>4123</v>
      </c>
      <c r="F1351" s="235"/>
      <c r="G1351" s="270"/>
      <c r="H1351" s="236"/>
      <c r="I1351" s="104" t="s">
        <v>1416</v>
      </c>
      <c r="J1351" s="105"/>
      <c r="K1351" s="104" t="s">
        <v>4109</v>
      </c>
      <c r="L1351" s="105"/>
      <c r="M1351" s="337" t="s">
        <v>1191</v>
      </c>
      <c r="N1351" s="516"/>
      <c r="O1351" s="338"/>
      <c r="P1351" s="351" t="s">
        <v>4110</v>
      </c>
      <c r="Q1351" s="352"/>
      <c r="R1351" s="155">
        <v>3</v>
      </c>
      <c r="S1351" s="157"/>
      <c r="T1351" s="349">
        <v>1</v>
      </c>
      <c r="U1351" s="350"/>
      <c r="V1351" s="353" t="s">
        <v>3489</v>
      </c>
      <c r="W1351" s="355"/>
      <c r="X1351" s="175" t="s">
        <v>4124</v>
      </c>
      <c r="Y1351" s="176"/>
      <c r="Z1351" s="177"/>
      <c r="AA1351" s="337" t="s">
        <v>1537</v>
      </c>
      <c r="AB1351" s="338"/>
      <c r="AC1351" s="162"/>
      <c r="AD1351" s="163"/>
      <c r="AE1351" s="31"/>
      <c r="AF1351" s="167"/>
      <c r="AG1351" s="168"/>
      <c r="AH1351" s="169"/>
      <c r="AI1351" s="31"/>
      <c r="AJ1351" s="48"/>
      <c r="AK1351" s="15"/>
      <c r="AL1351" s="15"/>
    </row>
    <row r="1352" spans="1:38" ht="60" x14ac:dyDescent="0.3">
      <c r="A1352" s="179"/>
      <c r="B1352" s="292"/>
      <c r="C1352" s="314"/>
      <c r="D1352" s="293"/>
      <c r="E1352" s="28" t="s">
        <v>4125</v>
      </c>
      <c r="F1352" s="235"/>
      <c r="G1352" s="270"/>
      <c r="H1352" s="236"/>
      <c r="I1352" s="146" t="s">
        <v>1416</v>
      </c>
      <c r="J1352" s="148"/>
      <c r="K1352" s="146" t="s">
        <v>4109</v>
      </c>
      <c r="L1352" s="148"/>
      <c r="M1352" s="110" t="s">
        <v>1191</v>
      </c>
      <c r="N1352" s="138"/>
      <c r="O1352" s="111"/>
      <c r="P1352" s="114" t="s">
        <v>4110</v>
      </c>
      <c r="Q1352" s="116"/>
      <c r="R1352" s="155">
        <v>3</v>
      </c>
      <c r="S1352" s="157"/>
      <c r="T1352" s="183">
        <v>1</v>
      </c>
      <c r="U1352" s="185"/>
      <c r="V1352" s="180" t="s">
        <v>3489</v>
      </c>
      <c r="W1352" s="181"/>
      <c r="X1352" s="175" t="s">
        <v>4124</v>
      </c>
      <c r="Y1352" s="176"/>
      <c r="Z1352" s="177"/>
      <c r="AA1352" s="110" t="s">
        <v>1537</v>
      </c>
      <c r="AB1352" s="111"/>
      <c r="AC1352" s="162"/>
      <c r="AD1352" s="163"/>
      <c r="AE1352" s="31"/>
      <c r="AF1352" s="167"/>
      <c r="AG1352" s="168"/>
      <c r="AH1352" s="169"/>
      <c r="AI1352" s="31"/>
      <c r="AJ1352" s="48"/>
      <c r="AK1352" s="15"/>
      <c r="AL1352" s="15"/>
    </row>
    <row r="1353" spans="1:38" ht="60" x14ac:dyDescent="0.3">
      <c r="A1353" s="179"/>
      <c r="B1353" s="292"/>
      <c r="C1353" s="314"/>
      <c r="D1353" s="293"/>
      <c r="E1353" s="28" t="s">
        <v>4126</v>
      </c>
      <c r="F1353" s="235"/>
      <c r="G1353" s="270"/>
      <c r="H1353" s="236"/>
      <c r="I1353" s="143" t="s">
        <v>1394</v>
      </c>
      <c r="J1353" s="145"/>
      <c r="K1353" s="143" t="s">
        <v>4109</v>
      </c>
      <c r="L1353" s="145"/>
      <c r="M1353" s="114" t="s">
        <v>3532</v>
      </c>
      <c r="N1353" s="115"/>
      <c r="O1353" s="116"/>
      <c r="P1353" s="114" t="s">
        <v>4110</v>
      </c>
      <c r="Q1353" s="116"/>
      <c r="R1353" s="155">
        <v>3</v>
      </c>
      <c r="S1353" s="157"/>
      <c r="T1353" s="183">
        <v>1</v>
      </c>
      <c r="U1353" s="185"/>
      <c r="V1353" s="173" t="s">
        <v>4103</v>
      </c>
      <c r="W1353" s="174"/>
      <c r="X1353" s="175" t="s">
        <v>3566</v>
      </c>
      <c r="Y1353" s="176"/>
      <c r="Z1353" s="177"/>
      <c r="AA1353" s="110" t="s">
        <v>1038</v>
      </c>
      <c r="AB1353" s="111"/>
      <c r="AC1353" s="162"/>
      <c r="AD1353" s="163"/>
      <c r="AE1353" s="31"/>
      <c r="AF1353" s="167"/>
      <c r="AG1353" s="168"/>
      <c r="AH1353" s="169"/>
      <c r="AI1353" s="31"/>
      <c r="AJ1353" s="48"/>
      <c r="AK1353" s="15"/>
      <c r="AL1353" s="15"/>
    </row>
    <row r="1354" spans="1:38" ht="75" x14ac:dyDescent="0.3">
      <c r="A1354" s="179"/>
      <c r="B1354" s="292"/>
      <c r="C1354" s="314"/>
      <c r="D1354" s="293"/>
      <c r="E1354" s="19" t="s">
        <v>4127</v>
      </c>
      <c r="F1354" s="235"/>
      <c r="G1354" s="270"/>
      <c r="H1354" s="236"/>
      <c r="I1354" s="104" t="s">
        <v>1394</v>
      </c>
      <c r="J1354" s="105"/>
      <c r="K1354" s="104" t="s">
        <v>4109</v>
      </c>
      <c r="L1354" s="105"/>
      <c r="M1354" s="351" t="s">
        <v>1303</v>
      </c>
      <c r="N1354" s="444"/>
      <c r="O1354" s="352"/>
      <c r="P1354" s="351" t="s">
        <v>4110</v>
      </c>
      <c r="Q1354" s="352"/>
      <c r="R1354" s="155">
        <v>3</v>
      </c>
      <c r="S1354" s="157"/>
      <c r="T1354" s="349">
        <v>1</v>
      </c>
      <c r="U1354" s="350"/>
      <c r="V1354" s="332" t="s">
        <v>1477</v>
      </c>
      <c r="W1354" s="333"/>
      <c r="X1354" s="175" t="s">
        <v>2073</v>
      </c>
      <c r="Y1354" s="176"/>
      <c r="Z1354" s="177"/>
      <c r="AA1354" s="337" t="s">
        <v>1222</v>
      </c>
      <c r="AB1354" s="338"/>
      <c r="AC1354" s="162"/>
      <c r="AD1354" s="163"/>
      <c r="AE1354" s="31"/>
      <c r="AF1354" s="167"/>
      <c r="AG1354" s="168"/>
      <c r="AH1354" s="169"/>
      <c r="AI1354" s="31"/>
      <c r="AJ1354" s="48"/>
      <c r="AK1354" s="15"/>
      <c r="AL1354" s="15"/>
    </row>
    <row r="1355" spans="1:38" ht="60" x14ac:dyDescent="0.3">
      <c r="A1355" s="230"/>
      <c r="B1355" s="290"/>
      <c r="C1355" s="345"/>
      <c r="D1355" s="291"/>
      <c r="E1355" s="28" t="s">
        <v>4128</v>
      </c>
      <c r="F1355" s="237"/>
      <c r="G1355" s="306"/>
      <c r="H1355" s="238"/>
      <c r="I1355" s="146" t="s">
        <v>1394</v>
      </c>
      <c r="J1355" s="148"/>
      <c r="K1355" s="146" t="s">
        <v>4109</v>
      </c>
      <c r="L1355" s="148"/>
      <c r="M1355" s="114" t="s">
        <v>1303</v>
      </c>
      <c r="N1355" s="115"/>
      <c r="O1355" s="116"/>
      <c r="P1355" s="114" t="s">
        <v>4110</v>
      </c>
      <c r="Q1355" s="116"/>
      <c r="R1355" s="160">
        <v>3</v>
      </c>
      <c r="S1355" s="161"/>
      <c r="T1355" s="183">
        <v>1</v>
      </c>
      <c r="U1355" s="185"/>
      <c r="V1355" s="173" t="s">
        <v>1477</v>
      </c>
      <c r="W1355" s="174"/>
      <c r="X1355" s="175" t="s">
        <v>2073</v>
      </c>
      <c r="Y1355" s="176"/>
      <c r="Z1355" s="177"/>
      <c r="AA1355" s="110" t="s">
        <v>1222</v>
      </c>
      <c r="AB1355" s="111"/>
      <c r="AC1355" s="212"/>
      <c r="AD1355" s="213"/>
      <c r="AE1355" s="31"/>
      <c r="AF1355" s="214"/>
      <c r="AG1355" s="215"/>
      <c r="AH1355" s="216"/>
      <c r="AI1355" s="31"/>
      <c r="AJ1355" s="48"/>
      <c r="AK1355" s="15"/>
      <c r="AL1355" s="15"/>
    </row>
    <row r="1356" spans="1:38" ht="120" x14ac:dyDescent="0.25">
      <c r="A1356" s="178"/>
      <c r="B1356" s="303" t="s">
        <v>4129</v>
      </c>
      <c r="C1356" s="344"/>
      <c r="D1356" s="304"/>
      <c r="E1356" s="28" t="s">
        <v>4130</v>
      </c>
      <c r="F1356" s="233" t="s">
        <v>4131</v>
      </c>
      <c r="G1356" s="305"/>
      <c r="H1356" s="234"/>
      <c r="I1356" s="112">
        <v>11</v>
      </c>
      <c r="J1356" s="113"/>
      <c r="K1356" s="143" t="s">
        <v>3848</v>
      </c>
      <c r="L1356" s="145"/>
      <c r="M1356" s="173" t="s">
        <v>4132</v>
      </c>
      <c r="N1356" s="276"/>
      <c r="O1356" s="174"/>
      <c r="P1356" s="208" t="s">
        <v>4035</v>
      </c>
      <c r="Q1356" s="209"/>
      <c r="R1356" s="88" t="s">
        <v>977</v>
      </c>
      <c r="S1356" s="89"/>
      <c r="T1356" s="112">
        <v>10</v>
      </c>
      <c r="U1356" s="113"/>
      <c r="V1356" s="173" t="s">
        <v>1562</v>
      </c>
      <c r="W1356" s="174"/>
      <c r="X1356" s="294">
        <v>139</v>
      </c>
      <c r="Y1356" s="295"/>
      <c r="Z1356" s="296"/>
      <c r="AA1356" s="233" t="s">
        <v>1081</v>
      </c>
      <c r="AB1356" s="234"/>
      <c r="AC1356" s="409" t="s">
        <v>3194</v>
      </c>
      <c r="AD1356" s="411"/>
      <c r="AE1356" s="35" t="s">
        <v>4135</v>
      </c>
      <c r="AF1356" s="164"/>
      <c r="AG1356" s="165"/>
      <c r="AH1356" s="166"/>
      <c r="AI1356" s="164"/>
      <c r="AJ1356" s="48"/>
      <c r="AK1356" s="15"/>
      <c r="AL1356" s="15"/>
    </row>
    <row r="1357" spans="1:38" ht="120" x14ac:dyDescent="0.25">
      <c r="A1357" s="179"/>
      <c r="B1357" s="292"/>
      <c r="C1357" s="314"/>
      <c r="D1357" s="293"/>
      <c r="E1357" s="51" t="s">
        <v>4137</v>
      </c>
      <c r="F1357" s="235"/>
      <c r="G1357" s="270"/>
      <c r="H1357" s="236"/>
      <c r="I1357" s="155">
        <v>11</v>
      </c>
      <c r="J1357" s="157"/>
      <c r="K1357" s="104" t="s">
        <v>3848</v>
      </c>
      <c r="L1357" s="105"/>
      <c r="M1357" s="173" t="s">
        <v>4132</v>
      </c>
      <c r="N1357" s="276"/>
      <c r="O1357" s="174"/>
      <c r="P1357" s="280" t="s">
        <v>4035</v>
      </c>
      <c r="Q1357" s="281"/>
      <c r="R1357" s="126" t="s">
        <v>977</v>
      </c>
      <c r="S1357" s="127"/>
      <c r="T1357" s="155">
        <v>10</v>
      </c>
      <c r="U1357" s="157"/>
      <c r="V1357" s="173" t="s">
        <v>1562</v>
      </c>
      <c r="W1357" s="174"/>
      <c r="X1357" s="297"/>
      <c r="Y1357" s="298"/>
      <c r="Z1357" s="299"/>
      <c r="AA1357" s="235"/>
      <c r="AB1357" s="236"/>
      <c r="AC1357" s="401" t="s">
        <v>4133</v>
      </c>
      <c r="AD1357" s="403"/>
      <c r="AE1357" s="36" t="s">
        <v>1356</v>
      </c>
      <c r="AF1357" s="167"/>
      <c r="AG1357" s="168"/>
      <c r="AH1357" s="169"/>
      <c r="AI1357" s="167"/>
      <c r="AJ1357" s="48"/>
      <c r="AK1357" s="15"/>
      <c r="AL1357" s="15"/>
    </row>
    <row r="1358" spans="1:38" ht="135" x14ac:dyDescent="0.25">
      <c r="A1358" s="179"/>
      <c r="B1358" s="292"/>
      <c r="C1358" s="314"/>
      <c r="D1358" s="293"/>
      <c r="E1358" s="28" t="s">
        <v>4138</v>
      </c>
      <c r="F1358" s="235"/>
      <c r="G1358" s="270"/>
      <c r="H1358" s="236"/>
      <c r="I1358" s="155">
        <v>11</v>
      </c>
      <c r="J1358" s="157"/>
      <c r="K1358" s="104" t="s">
        <v>3848</v>
      </c>
      <c r="L1358" s="105"/>
      <c r="M1358" s="173" t="s">
        <v>4132</v>
      </c>
      <c r="N1358" s="276"/>
      <c r="O1358" s="174"/>
      <c r="P1358" s="280" t="s">
        <v>4035</v>
      </c>
      <c r="Q1358" s="281"/>
      <c r="R1358" s="126" t="s">
        <v>977</v>
      </c>
      <c r="S1358" s="127"/>
      <c r="T1358" s="155">
        <v>10</v>
      </c>
      <c r="U1358" s="157"/>
      <c r="V1358" s="173" t="s">
        <v>1562</v>
      </c>
      <c r="W1358" s="174"/>
      <c r="X1358" s="297"/>
      <c r="Y1358" s="298"/>
      <c r="Z1358" s="299"/>
      <c r="AA1358" s="235"/>
      <c r="AB1358" s="236"/>
      <c r="AC1358" s="401" t="s">
        <v>2211</v>
      </c>
      <c r="AD1358" s="403"/>
      <c r="AE1358" s="36" t="s">
        <v>4136</v>
      </c>
      <c r="AF1358" s="167"/>
      <c r="AG1358" s="168"/>
      <c r="AH1358" s="169"/>
      <c r="AI1358" s="167"/>
      <c r="AJ1358" s="48"/>
      <c r="AK1358" s="15"/>
      <c r="AL1358" s="15"/>
    </row>
    <row r="1359" spans="1:38" ht="135" x14ac:dyDescent="0.25">
      <c r="A1359" s="179"/>
      <c r="B1359" s="292"/>
      <c r="C1359" s="314"/>
      <c r="D1359" s="293"/>
      <c r="E1359" s="28" t="s">
        <v>4139</v>
      </c>
      <c r="F1359" s="235"/>
      <c r="G1359" s="270"/>
      <c r="H1359" s="236"/>
      <c r="I1359" s="155">
        <v>11</v>
      </c>
      <c r="J1359" s="157"/>
      <c r="K1359" s="104" t="s">
        <v>3848</v>
      </c>
      <c r="L1359" s="105"/>
      <c r="M1359" s="173" t="s">
        <v>4132</v>
      </c>
      <c r="N1359" s="276"/>
      <c r="O1359" s="174"/>
      <c r="P1359" s="280" t="s">
        <v>4035</v>
      </c>
      <c r="Q1359" s="281"/>
      <c r="R1359" s="126" t="s">
        <v>977</v>
      </c>
      <c r="S1359" s="127"/>
      <c r="T1359" s="155">
        <v>10</v>
      </c>
      <c r="U1359" s="157"/>
      <c r="V1359" s="173" t="s">
        <v>1562</v>
      </c>
      <c r="W1359" s="174"/>
      <c r="X1359" s="297"/>
      <c r="Y1359" s="298"/>
      <c r="Z1359" s="299"/>
      <c r="AA1359" s="235"/>
      <c r="AB1359" s="236"/>
      <c r="AC1359" s="401" t="s">
        <v>4134</v>
      </c>
      <c r="AD1359" s="403"/>
      <c r="AE1359" s="36"/>
      <c r="AF1359" s="167"/>
      <c r="AG1359" s="168"/>
      <c r="AH1359" s="169"/>
      <c r="AI1359" s="167"/>
      <c r="AJ1359" s="48"/>
      <c r="AK1359" s="15"/>
      <c r="AL1359" s="15"/>
    </row>
    <row r="1360" spans="1:38" ht="120" x14ac:dyDescent="0.25">
      <c r="A1360" s="179"/>
      <c r="B1360" s="292"/>
      <c r="C1360" s="314"/>
      <c r="D1360" s="293"/>
      <c r="E1360" s="51" t="s">
        <v>4140</v>
      </c>
      <c r="F1360" s="235"/>
      <c r="G1360" s="270"/>
      <c r="H1360" s="236"/>
      <c r="I1360" s="155">
        <v>11</v>
      </c>
      <c r="J1360" s="157"/>
      <c r="K1360" s="104" t="s">
        <v>3848</v>
      </c>
      <c r="L1360" s="105"/>
      <c r="M1360" s="173" t="s">
        <v>4132</v>
      </c>
      <c r="N1360" s="276"/>
      <c r="O1360" s="174"/>
      <c r="P1360" s="280" t="s">
        <v>4035</v>
      </c>
      <c r="Q1360" s="281"/>
      <c r="R1360" s="126" t="s">
        <v>977</v>
      </c>
      <c r="S1360" s="127"/>
      <c r="T1360" s="155">
        <v>10</v>
      </c>
      <c r="U1360" s="157"/>
      <c r="V1360" s="173" t="s">
        <v>1562</v>
      </c>
      <c r="W1360" s="174"/>
      <c r="X1360" s="297"/>
      <c r="Y1360" s="298"/>
      <c r="Z1360" s="299"/>
      <c r="AA1360" s="235"/>
      <c r="AB1360" s="236"/>
      <c r="AC1360" s="401"/>
      <c r="AD1360" s="403"/>
      <c r="AE1360" s="36"/>
      <c r="AF1360" s="167"/>
      <c r="AG1360" s="168"/>
      <c r="AH1360" s="169"/>
      <c r="AI1360" s="167"/>
      <c r="AJ1360" s="48"/>
      <c r="AK1360" s="15"/>
      <c r="AL1360" s="15"/>
    </row>
    <row r="1361" spans="1:38" ht="135" x14ac:dyDescent="0.25">
      <c r="A1361" s="179"/>
      <c r="B1361" s="292"/>
      <c r="C1361" s="314"/>
      <c r="D1361" s="293"/>
      <c r="E1361" s="28" t="s">
        <v>4141</v>
      </c>
      <c r="F1361" s="237"/>
      <c r="G1361" s="306"/>
      <c r="H1361" s="238"/>
      <c r="I1361" s="160">
        <v>11</v>
      </c>
      <c r="J1361" s="161"/>
      <c r="K1361" s="146" t="s">
        <v>3848</v>
      </c>
      <c r="L1361" s="148"/>
      <c r="M1361" s="173" t="s">
        <v>4132</v>
      </c>
      <c r="N1361" s="276"/>
      <c r="O1361" s="174"/>
      <c r="P1361" s="210" t="s">
        <v>4035</v>
      </c>
      <c r="Q1361" s="211"/>
      <c r="R1361" s="117" t="s">
        <v>977</v>
      </c>
      <c r="S1361" s="118"/>
      <c r="T1361" s="160">
        <v>10</v>
      </c>
      <c r="U1361" s="161"/>
      <c r="V1361" s="173" t="s">
        <v>1562</v>
      </c>
      <c r="W1361" s="174"/>
      <c r="X1361" s="300"/>
      <c r="Y1361" s="301"/>
      <c r="Z1361" s="302"/>
      <c r="AA1361" s="237"/>
      <c r="AB1361" s="238"/>
      <c r="AC1361" s="401"/>
      <c r="AD1361" s="403"/>
      <c r="AE1361" s="36"/>
      <c r="AF1361" s="167"/>
      <c r="AG1361" s="168"/>
      <c r="AH1361" s="169"/>
      <c r="AI1361" s="167"/>
      <c r="AJ1361" s="48"/>
      <c r="AK1361" s="15"/>
      <c r="AL1361" s="15"/>
    </row>
    <row r="1362" spans="1:38" ht="135" x14ac:dyDescent="0.25">
      <c r="A1362" s="179"/>
      <c r="B1362" s="292"/>
      <c r="C1362" s="314"/>
      <c r="D1362" s="293"/>
      <c r="E1362" s="28" t="s">
        <v>4142</v>
      </c>
      <c r="F1362" s="233" t="s">
        <v>4143</v>
      </c>
      <c r="G1362" s="305"/>
      <c r="H1362" s="234"/>
      <c r="I1362" s="112">
        <v>16</v>
      </c>
      <c r="J1362" s="113"/>
      <c r="K1362" s="143" t="s">
        <v>4144</v>
      </c>
      <c r="L1362" s="145"/>
      <c r="M1362" s="173" t="s">
        <v>4145</v>
      </c>
      <c r="N1362" s="276"/>
      <c r="O1362" s="174"/>
      <c r="P1362" s="208" t="s">
        <v>4146</v>
      </c>
      <c r="Q1362" s="209"/>
      <c r="R1362" s="88" t="s">
        <v>903</v>
      </c>
      <c r="S1362" s="89"/>
      <c r="T1362" s="112">
        <v>12</v>
      </c>
      <c r="U1362" s="113"/>
      <c r="V1362" s="173" t="s">
        <v>4147</v>
      </c>
      <c r="W1362" s="174"/>
      <c r="X1362" s="294">
        <v>159</v>
      </c>
      <c r="Y1362" s="295"/>
      <c r="Z1362" s="296"/>
      <c r="AA1362" s="233" t="s">
        <v>1222</v>
      </c>
      <c r="AB1362" s="234"/>
      <c r="AC1362" s="401"/>
      <c r="AD1362" s="403"/>
      <c r="AE1362" s="36"/>
      <c r="AF1362" s="167"/>
      <c r="AG1362" s="168"/>
      <c r="AH1362" s="169"/>
      <c r="AI1362" s="167"/>
      <c r="AJ1362" s="48"/>
      <c r="AK1362" s="15"/>
      <c r="AL1362" s="15"/>
    </row>
    <row r="1363" spans="1:38" ht="120" x14ac:dyDescent="0.25">
      <c r="A1363" s="179"/>
      <c r="B1363" s="292"/>
      <c r="C1363" s="314"/>
      <c r="D1363" s="293"/>
      <c r="E1363" s="28" t="s">
        <v>4148</v>
      </c>
      <c r="F1363" s="235"/>
      <c r="G1363" s="270"/>
      <c r="H1363" s="236"/>
      <c r="I1363" s="155">
        <v>16</v>
      </c>
      <c r="J1363" s="157"/>
      <c r="K1363" s="104" t="s">
        <v>4144</v>
      </c>
      <c r="L1363" s="105"/>
      <c r="M1363" s="173" t="s">
        <v>4145</v>
      </c>
      <c r="N1363" s="276"/>
      <c r="O1363" s="174"/>
      <c r="P1363" s="280" t="s">
        <v>4146</v>
      </c>
      <c r="Q1363" s="281"/>
      <c r="R1363" s="126" t="s">
        <v>903</v>
      </c>
      <c r="S1363" s="127"/>
      <c r="T1363" s="155">
        <v>12</v>
      </c>
      <c r="U1363" s="157"/>
      <c r="V1363" s="173" t="s">
        <v>4147</v>
      </c>
      <c r="W1363" s="174"/>
      <c r="X1363" s="297"/>
      <c r="Y1363" s="298"/>
      <c r="Z1363" s="299"/>
      <c r="AA1363" s="235"/>
      <c r="AB1363" s="236"/>
      <c r="AC1363" s="401"/>
      <c r="AD1363" s="403"/>
      <c r="AE1363" s="36"/>
      <c r="AF1363" s="167"/>
      <c r="AG1363" s="168"/>
      <c r="AH1363" s="169"/>
      <c r="AI1363" s="167"/>
      <c r="AJ1363" s="48"/>
      <c r="AK1363" s="15"/>
      <c r="AL1363" s="15"/>
    </row>
    <row r="1364" spans="1:38" ht="120" x14ac:dyDescent="0.25">
      <c r="A1364" s="179"/>
      <c r="B1364" s="292"/>
      <c r="C1364" s="314"/>
      <c r="D1364" s="293"/>
      <c r="E1364" s="28" t="s">
        <v>4149</v>
      </c>
      <c r="F1364" s="235"/>
      <c r="G1364" s="270"/>
      <c r="H1364" s="236"/>
      <c r="I1364" s="155">
        <v>16</v>
      </c>
      <c r="J1364" s="157"/>
      <c r="K1364" s="104" t="s">
        <v>4144</v>
      </c>
      <c r="L1364" s="105"/>
      <c r="M1364" s="173" t="s">
        <v>4145</v>
      </c>
      <c r="N1364" s="276"/>
      <c r="O1364" s="174"/>
      <c r="P1364" s="280" t="s">
        <v>4146</v>
      </c>
      <c r="Q1364" s="281"/>
      <c r="R1364" s="126" t="s">
        <v>903</v>
      </c>
      <c r="S1364" s="127"/>
      <c r="T1364" s="155">
        <v>12</v>
      </c>
      <c r="U1364" s="157"/>
      <c r="V1364" s="173" t="s">
        <v>4147</v>
      </c>
      <c r="W1364" s="174"/>
      <c r="X1364" s="297"/>
      <c r="Y1364" s="298"/>
      <c r="Z1364" s="299"/>
      <c r="AA1364" s="235"/>
      <c r="AB1364" s="236"/>
      <c r="AC1364" s="401"/>
      <c r="AD1364" s="403"/>
      <c r="AE1364" s="36"/>
      <c r="AF1364" s="167"/>
      <c r="AG1364" s="168"/>
      <c r="AH1364" s="169"/>
      <c r="AI1364" s="167"/>
      <c r="AJ1364" s="48"/>
      <c r="AK1364" s="15"/>
      <c r="AL1364" s="15"/>
    </row>
    <row r="1365" spans="1:38" ht="135" x14ac:dyDescent="0.25">
      <c r="A1365" s="179"/>
      <c r="B1365" s="292"/>
      <c r="C1365" s="314"/>
      <c r="D1365" s="293"/>
      <c r="E1365" s="28" t="s">
        <v>4150</v>
      </c>
      <c r="F1365" s="235"/>
      <c r="G1365" s="270"/>
      <c r="H1365" s="236"/>
      <c r="I1365" s="155">
        <v>16</v>
      </c>
      <c r="J1365" s="157"/>
      <c r="K1365" s="104" t="s">
        <v>4144</v>
      </c>
      <c r="L1365" s="105"/>
      <c r="M1365" s="173" t="s">
        <v>4145</v>
      </c>
      <c r="N1365" s="276"/>
      <c r="O1365" s="174"/>
      <c r="P1365" s="280" t="s">
        <v>4146</v>
      </c>
      <c r="Q1365" s="281"/>
      <c r="R1365" s="126" t="s">
        <v>903</v>
      </c>
      <c r="S1365" s="127"/>
      <c r="T1365" s="155">
        <v>12</v>
      </c>
      <c r="U1365" s="157"/>
      <c r="V1365" s="173" t="s">
        <v>4147</v>
      </c>
      <c r="W1365" s="174"/>
      <c r="X1365" s="297"/>
      <c r="Y1365" s="298"/>
      <c r="Z1365" s="299"/>
      <c r="AA1365" s="235"/>
      <c r="AB1365" s="236"/>
      <c r="AC1365" s="401"/>
      <c r="AD1365" s="403"/>
      <c r="AE1365" s="36"/>
      <c r="AF1365" s="167"/>
      <c r="AG1365" s="168"/>
      <c r="AH1365" s="169"/>
      <c r="AI1365" s="167"/>
      <c r="AJ1365" s="48"/>
      <c r="AK1365" s="15"/>
      <c r="AL1365" s="15"/>
    </row>
    <row r="1366" spans="1:38" ht="120" x14ac:dyDescent="0.25">
      <c r="A1366" s="179"/>
      <c r="B1366" s="292"/>
      <c r="C1366" s="314"/>
      <c r="D1366" s="293"/>
      <c r="E1366" s="28" t="s">
        <v>4151</v>
      </c>
      <c r="F1366" s="235"/>
      <c r="G1366" s="270"/>
      <c r="H1366" s="236"/>
      <c r="I1366" s="155">
        <v>16</v>
      </c>
      <c r="J1366" s="157"/>
      <c r="K1366" s="104" t="s">
        <v>4144</v>
      </c>
      <c r="L1366" s="105"/>
      <c r="M1366" s="173" t="s">
        <v>4145</v>
      </c>
      <c r="N1366" s="276"/>
      <c r="O1366" s="174"/>
      <c r="P1366" s="280" t="s">
        <v>4146</v>
      </c>
      <c r="Q1366" s="281"/>
      <c r="R1366" s="126" t="s">
        <v>903</v>
      </c>
      <c r="S1366" s="127"/>
      <c r="T1366" s="155">
        <v>12</v>
      </c>
      <c r="U1366" s="157"/>
      <c r="V1366" s="173" t="s">
        <v>4147</v>
      </c>
      <c r="W1366" s="174"/>
      <c r="X1366" s="297"/>
      <c r="Y1366" s="298"/>
      <c r="Z1366" s="299"/>
      <c r="AA1366" s="235"/>
      <c r="AB1366" s="236"/>
      <c r="AC1366" s="401"/>
      <c r="AD1366" s="403"/>
      <c r="AE1366" s="36"/>
      <c r="AF1366" s="167"/>
      <c r="AG1366" s="168"/>
      <c r="AH1366" s="169"/>
      <c r="AI1366" s="167"/>
      <c r="AJ1366" s="48"/>
      <c r="AK1366" s="15"/>
      <c r="AL1366" s="15"/>
    </row>
    <row r="1367" spans="1:38" ht="120" x14ac:dyDescent="0.25">
      <c r="A1367" s="179"/>
      <c r="B1367" s="292"/>
      <c r="C1367" s="314"/>
      <c r="D1367" s="293"/>
      <c r="E1367" s="28" t="s">
        <v>4152</v>
      </c>
      <c r="F1367" s="237"/>
      <c r="G1367" s="306"/>
      <c r="H1367" s="238"/>
      <c r="I1367" s="160">
        <v>16</v>
      </c>
      <c r="J1367" s="161"/>
      <c r="K1367" s="146" t="s">
        <v>4144</v>
      </c>
      <c r="L1367" s="148"/>
      <c r="M1367" s="173" t="s">
        <v>4145</v>
      </c>
      <c r="N1367" s="276"/>
      <c r="O1367" s="174"/>
      <c r="P1367" s="210" t="s">
        <v>4146</v>
      </c>
      <c r="Q1367" s="211"/>
      <c r="R1367" s="117" t="s">
        <v>903</v>
      </c>
      <c r="S1367" s="118"/>
      <c r="T1367" s="160">
        <v>12</v>
      </c>
      <c r="U1367" s="161"/>
      <c r="V1367" s="173" t="s">
        <v>4147</v>
      </c>
      <c r="W1367" s="174"/>
      <c r="X1367" s="300"/>
      <c r="Y1367" s="301"/>
      <c r="Z1367" s="302"/>
      <c r="AA1367" s="237"/>
      <c r="AB1367" s="238"/>
      <c r="AC1367" s="401"/>
      <c r="AD1367" s="403"/>
      <c r="AE1367" s="36"/>
      <c r="AF1367" s="167"/>
      <c r="AG1367" s="168"/>
      <c r="AH1367" s="169"/>
      <c r="AI1367" s="167"/>
      <c r="AJ1367" s="48"/>
      <c r="AK1367" s="15"/>
      <c r="AL1367" s="15"/>
    </row>
    <row r="1368" spans="1:38" ht="120" x14ac:dyDescent="0.25">
      <c r="A1368" s="179"/>
      <c r="B1368" s="292"/>
      <c r="C1368" s="314"/>
      <c r="D1368" s="293"/>
      <c r="E1368" s="28" t="s">
        <v>4153</v>
      </c>
      <c r="F1368" s="233" t="s">
        <v>4154</v>
      </c>
      <c r="G1368" s="305"/>
      <c r="H1368" s="234"/>
      <c r="I1368" s="112">
        <v>22</v>
      </c>
      <c r="J1368" s="113"/>
      <c r="K1368" s="88" t="s">
        <v>4155</v>
      </c>
      <c r="L1368" s="89"/>
      <c r="M1368" s="180" t="s">
        <v>4156</v>
      </c>
      <c r="N1368" s="450"/>
      <c r="O1368" s="181"/>
      <c r="P1368" s="208" t="s">
        <v>1087</v>
      </c>
      <c r="Q1368" s="209"/>
      <c r="R1368" s="88" t="s">
        <v>3973</v>
      </c>
      <c r="S1368" s="89"/>
      <c r="T1368" s="112">
        <v>14</v>
      </c>
      <c r="U1368" s="113"/>
      <c r="V1368" s="173" t="s">
        <v>4157</v>
      </c>
      <c r="W1368" s="174"/>
      <c r="X1368" s="294">
        <v>199</v>
      </c>
      <c r="Y1368" s="295"/>
      <c r="Z1368" s="296"/>
      <c r="AA1368" s="233" t="s">
        <v>1174</v>
      </c>
      <c r="AB1368" s="234"/>
      <c r="AC1368" s="401"/>
      <c r="AD1368" s="403"/>
      <c r="AE1368" s="36"/>
      <c r="AF1368" s="167"/>
      <c r="AG1368" s="168"/>
      <c r="AH1368" s="169"/>
      <c r="AI1368" s="167"/>
      <c r="AJ1368" s="48"/>
      <c r="AK1368" s="15"/>
      <c r="AL1368" s="15"/>
    </row>
    <row r="1369" spans="1:38" ht="120" x14ac:dyDescent="0.25">
      <c r="A1369" s="179"/>
      <c r="B1369" s="292"/>
      <c r="C1369" s="314"/>
      <c r="D1369" s="293"/>
      <c r="E1369" s="28" t="s">
        <v>4158</v>
      </c>
      <c r="F1369" s="235"/>
      <c r="G1369" s="270"/>
      <c r="H1369" s="236"/>
      <c r="I1369" s="155">
        <v>22</v>
      </c>
      <c r="J1369" s="157"/>
      <c r="K1369" s="126" t="s">
        <v>4155</v>
      </c>
      <c r="L1369" s="127"/>
      <c r="M1369" s="180" t="s">
        <v>4156</v>
      </c>
      <c r="N1369" s="450"/>
      <c r="O1369" s="181"/>
      <c r="P1369" s="280" t="s">
        <v>1087</v>
      </c>
      <c r="Q1369" s="281"/>
      <c r="R1369" s="126" t="s">
        <v>3973</v>
      </c>
      <c r="S1369" s="127"/>
      <c r="T1369" s="155">
        <v>14</v>
      </c>
      <c r="U1369" s="157"/>
      <c r="V1369" s="173" t="s">
        <v>4157</v>
      </c>
      <c r="W1369" s="174"/>
      <c r="X1369" s="297"/>
      <c r="Y1369" s="298"/>
      <c r="Z1369" s="299"/>
      <c r="AA1369" s="235"/>
      <c r="AB1369" s="236"/>
      <c r="AC1369" s="401"/>
      <c r="AD1369" s="403"/>
      <c r="AE1369" s="36"/>
      <c r="AF1369" s="167"/>
      <c r="AG1369" s="168"/>
      <c r="AH1369" s="169"/>
      <c r="AI1369" s="167"/>
      <c r="AJ1369" s="48"/>
      <c r="AK1369" s="15"/>
      <c r="AL1369" s="15"/>
    </row>
    <row r="1370" spans="1:38" ht="120" x14ac:dyDescent="0.25">
      <c r="A1370" s="179"/>
      <c r="B1370" s="292"/>
      <c r="C1370" s="314"/>
      <c r="D1370" s="293"/>
      <c r="E1370" s="28" t="s">
        <v>4159</v>
      </c>
      <c r="F1370" s="235"/>
      <c r="G1370" s="270"/>
      <c r="H1370" s="236"/>
      <c r="I1370" s="155">
        <v>22</v>
      </c>
      <c r="J1370" s="157"/>
      <c r="K1370" s="126" t="s">
        <v>4155</v>
      </c>
      <c r="L1370" s="127"/>
      <c r="M1370" s="180" t="s">
        <v>4156</v>
      </c>
      <c r="N1370" s="450"/>
      <c r="O1370" s="181"/>
      <c r="P1370" s="280" t="s">
        <v>1087</v>
      </c>
      <c r="Q1370" s="281"/>
      <c r="R1370" s="126" t="s">
        <v>3973</v>
      </c>
      <c r="S1370" s="127"/>
      <c r="T1370" s="155">
        <v>14</v>
      </c>
      <c r="U1370" s="157"/>
      <c r="V1370" s="173" t="s">
        <v>4157</v>
      </c>
      <c r="W1370" s="174"/>
      <c r="X1370" s="297"/>
      <c r="Y1370" s="298"/>
      <c r="Z1370" s="299"/>
      <c r="AA1370" s="235"/>
      <c r="AB1370" s="236"/>
      <c r="AC1370" s="401"/>
      <c r="AD1370" s="403"/>
      <c r="AE1370" s="36"/>
      <c r="AF1370" s="167"/>
      <c r="AG1370" s="168"/>
      <c r="AH1370" s="169"/>
      <c r="AI1370" s="167"/>
      <c r="AJ1370" s="48"/>
      <c r="AK1370" s="15"/>
      <c r="AL1370" s="15"/>
    </row>
    <row r="1371" spans="1:38" ht="120" x14ac:dyDescent="0.25">
      <c r="A1371" s="179"/>
      <c r="B1371" s="292"/>
      <c r="C1371" s="314"/>
      <c r="D1371" s="293"/>
      <c r="E1371" s="28" t="s">
        <v>4160</v>
      </c>
      <c r="F1371" s="235"/>
      <c r="G1371" s="270"/>
      <c r="H1371" s="236"/>
      <c r="I1371" s="155">
        <v>22</v>
      </c>
      <c r="J1371" s="157"/>
      <c r="K1371" s="126" t="s">
        <v>4155</v>
      </c>
      <c r="L1371" s="127"/>
      <c r="M1371" s="180" t="s">
        <v>4156</v>
      </c>
      <c r="N1371" s="450"/>
      <c r="O1371" s="181"/>
      <c r="P1371" s="280" t="s">
        <v>1087</v>
      </c>
      <c r="Q1371" s="281"/>
      <c r="R1371" s="126" t="s">
        <v>3973</v>
      </c>
      <c r="S1371" s="127"/>
      <c r="T1371" s="155">
        <v>14</v>
      </c>
      <c r="U1371" s="157"/>
      <c r="V1371" s="173" t="s">
        <v>4157</v>
      </c>
      <c r="W1371" s="174"/>
      <c r="X1371" s="297"/>
      <c r="Y1371" s="298"/>
      <c r="Z1371" s="299"/>
      <c r="AA1371" s="235"/>
      <c r="AB1371" s="236"/>
      <c r="AC1371" s="401"/>
      <c r="AD1371" s="403"/>
      <c r="AE1371" s="36"/>
      <c r="AF1371" s="167"/>
      <c r="AG1371" s="168"/>
      <c r="AH1371" s="169"/>
      <c r="AI1371" s="167"/>
      <c r="AJ1371" s="48"/>
      <c r="AK1371" s="15"/>
      <c r="AL1371" s="15"/>
    </row>
    <row r="1372" spans="1:38" ht="120" x14ac:dyDescent="0.25">
      <c r="A1372" s="179"/>
      <c r="B1372" s="292"/>
      <c r="C1372" s="314"/>
      <c r="D1372" s="293"/>
      <c r="E1372" s="28" t="s">
        <v>4161</v>
      </c>
      <c r="F1372" s="235"/>
      <c r="G1372" s="270"/>
      <c r="H1372" s="236"/>
      <c r="I1372" s="155">
        <v>22</v>
      </c>
      <c r="J1372" s="157"/>
      <c r="K1372" s="126" t="s">
        <v>4155</v>
      </c>
      <c r="L1372" s="127"/>
      <c r="M1372" s="180" t="s">
        <v>4156</v>
      </c>
      <c r="N1372" s="450"/>
      <c r="O1372" s="181"/>
      <c r="P1372" s="280" t="s">
        <v>1087</v>
      </c>
      <c r="Q1372" s="281"/>
      <c r="R1372" s="126" t="s">
        <v>3973</v>
      </c>
      <c r="S1372" s="127"/>
      <c r="T1372" s="155">
        <v>14</v>
      </c>
      <c r="U1372" s="157"/>
      <c r="V1372" s="173" t="s">
        <v>4157</v>
      </c>
      <c r="W1372" s="174"/>
      <c r="X1372" s="297"/>
      <c r="Y1372" s="298"/>
      <c r="Z1372" s="299"/>
      <c r="AA1372" s="235"/>
      <c r="AB1372" s="236"/>
      <c r="AC1372" s="401"/>
      <c r="AD1372" s="403"/>
      <c r="AE1372" s="36"/>
      <c r="AF1372" s="167"/>
      <c r="AG1372" s="168"/>
      <c r="AH1372" s="169"/>
      <c r="AI1372" s="167"/>
      <c r="AJ1372" s="48"/>
      <c r="AK1372" s="15"/>
      <c r="AL1372" s="15"/>
    </row>
    <row r="1373" spans="1:38" ht="120" x14ac:dyDescent="0.25">
      <c r="A1373" s="230"/>
      <c r="B1373" s="290"/>
      <c r="C1373" s="345"/>
      <c r="D1373" s="291"/>
      <c r="E1373" s="28" t="s">
        <v>4162</v>
      </c>
      <c r="F1373" s="237"/>
      <c r="G1373" s="306"/>
      <c r="H1373" s="238"/>
      <c r="I1373" s="160">
        <v>22</v>
      </c>
      <c r="J1373" s="161"/>
      <c r="K1373" s="117" t="s">
        <v>4155</v>
      </c>
      <c r="L1373" s="118"/>
      <c r="M1373" s="180" t="s">
        <v>4156</v>
      </c>
      <c r="N1373" s="450"/>
      <c r="O1373" s="181"/>
      <c r="P1373" s="210" t="s">
        <v>1087</v>
      </c>
      <c r="Q1373" s="211"/>
      <c r="R1373" s="117" t="s">
        <v>3973</v>
      </c>
      <c r="S1373" s="118"/>
      <c r="T1373" s="160">
        <v>14</v>
      </c>
      <c r="U1373" s="161"/>
      <c r="V1373" s="173" t="s">
        <v>4157</v>
      </c>
      <c r="W1373" s="174"/>
      <c r="X1373" s="300"/>
      <c r="Y1373" s="301"/>
      <c r="Z1373" s="302"/>
      <c r="AA1373" s="237"/>
      <c r="AB1373" s="238"/>
      <c r="AC1373" s="404"/>
      <c r="AD1373" s="406"/>
      <c r="AE1373" s="36"/>
      <c r="AF1373" s="214"/>
      <c r="AG1373" s="215"/>
      <c r="AH1373" s="216"/>
      <c r="AI1373" s="167"/>
      <c r="AJ1373" s="48"/>
      <c r="AK1373" s="15"/>
      <c r="AL1373" s="15"/>
    </row>
    <row r="1374" spans="1:38" ht="75" x14ac:dyDescent="0.25">
      <c r="A1374" s="178"/>
      <c r="B1374" s="303" t="s">
        <v>4163</v>
      </c>
      <c r="C1374" s="344"/>
      <c r="D1374" s="304"/>
      <c r="E1374" s="19" t="s">
        <v>4164</v>
      </c>
      <c r="F1374" s="233" t="s">
        <v>4165</v>
      </c>
      <c r="G1374" s="305"/>
      <c r="H1374" s="234"/>
      <c r="I1374" s="143" t="s">
        <v>674</v>
      </c>
      <c r="J1374" s="145"/>
      <c r="K1374" s="143" t="s">
        <v>4166</v>
      </c>
      <c r="L1374" s="145"/>
      <c r="M1374" s="349">
        <v>28</v>
      </c>
      <c r="N1374" s="423"/>
      <c r="O1374" s="350"/>
      <c r="P1374" s="208" t="s">
        <v>768</v>
      </c>
      <c r="Q1374" s="209"/>
      <c r="R1374" s="112">
        <v>5</v>
      </c>
      <c r="S1374" s="113"/>
      <c r="T1374" s="112">
        <v>5</v>
      </c>
      <c r="U1374" s="113"/>
      <c r="V1374" s="353" t="s">
        <v>3934</v>
      </c>
      <c r="W1374" s="355"/>
      <c r="X1374" s="252">
        <v>69</v>
      </c>
      <c r="Y1374" s="253"/>
      <c r="Z1374" s="254"/>
      <c r="AA1374" s="233" t="s">
        <v>768</v>
      </c>
      <c r="AB1374" s="234"/>
      <c r="AC1374" s="171" t="s">
        <v>3194</v>
      </c>
      <c r="AD1374" s="172"/>
      <c r="AE1374" s="24" t="s">
        <v>4168</v>
      </c>
      <c r="AF1374" s="303" t="s">
        <v>734</v>
      </c>
      <c r="AG1374" s="344"/>
      <c r="AH1374" s="304"/>
      <c r="AI1374" s="167"/>
      <c r="AJ1374" s="48"/>
      <c r="AK1374" s="15"/>
      <c r="AL1374" s="15"/>
    </row>
    <row r="1375" spans="1:38" ht="60" x14ac:dyDescent="0.25">
      <c r="A1375" s="179"/>
      <c r="B1375" s="292"/>
      <c r="C1375" s="314"/>
      <c r="D1375" s="293"/>
      <c r="E1375" s="19" t="s">
        <v>4170</v>
      </c>
      <c r="F1375" s="235"/>
      <c r="G1375" s="270"/>
      <c r="H1375" s="236"/>
      <c r="I1375" s="104" t="s">
        <v>674</v>
      </c>
      <c r="J1375" s="105"/>
      <c r="K1375" s="104" t="s">
        <v>4166</v>
      </c>
      <c r="L1375" s="105"/>
      <c r="M1375" s="349">
        <v>28</v>
      </c>
      <c r="N1375" s="423"/>
      <c r="O1375" s="350"/>
      <c r="P1375" s="280" t="s">
        <v>768</v>
      </c>
      <c r="Q1375" s="281"/>
      <c r="R1375" s="155">
        <v>5</v>
      </c>
      <c r="S1375" s="157"/>
      <c r="T1375" s="155">
        <v>5</v>
      </c>
      <c r="U1375" s="157"/>
      <c r="V1375" s="353" t="s">
        <v>3934</v>
      </c>
      <c r="W1375" s="355"/>
      <c r="X1375" s="311"/>
      <c r="Y1375" s="312"/>
      <c r="Z1375" s="313"/>
      <c r="AA1375" s="235"/>
      <c r="AB1375" s="236"/>
      <c r="AC1375" s="162" t="s">
        <v>4167</v>
      </c>
      <c r="AD1375" s="163"/>
      <c r="AE1375" s="31" t="s">
        <v>1356</v>
      </c>
      <c r="AF1375" s="292" t="s">
        <v>3401</v>
      </c>
      <c r="AG1375" s="314"/>
      <c r="AH1375" s="293"/>
      <c r="AI1375" s="167"/>
      <c r="AJ1375" s="48"/>
      <c r="AK1375" s="15"/>
      <c r="AL1375" s="15"/>
    </row>
    <row r="1376" spans="1:38" ht="60" x14ac:dyDescent="0.25">
      <c r="A1376" s="179"/>
      <c r="B1376" s="292"/>
      <c r="C1376" s="314"/>
      <c r="D1376" s="293"/>
      <c r="E1376" s="19" t="s">
        <v>4171</v>
      </c>
      <c r="F1376" s="237"/>
      <c r="G1376" s="306"/>
      <c r="H1376" s="238"/>
      <c r="I1376" s="146" t="s">
        <v>674</v>
      </c>
      <c r="J1376" s="148"/>
      <c r="K1376" s="146" t="s">
        <v>4166</v>
      </c>
      <c r="L1376" s="148"/>
      <c r="M1376" s="349">
        <v>28</v>
      </c>
      <c r="N1376" s="423"/>
      <c r="O1376" s="350"/>
      <c r="P1376" s="210" t="s">
        <v>768</v>
      </c>
      <c r="Q1376" s="211"/>
      <c r="R1376" s="160">
        <v>5</v>
      </c>
      <c r="S1376" s="161"/>
      <c r="T1376" s="160">
        <v>5</v>
      </c>
      <c r="U1376" s="161"/>
      <c r="V1376" s="353" t="s">
        <v>3934</v>
      </c>
      <c r="W1376" s="355"/>
      <c r="X1376" s="255"/>
      <c r="Y1376" s="256"/>
      <c r="Z1376" s="257"/>
      <c r="AA1376" s="237"/>
      <c r="AB1376" s="238"/>
      <c r="AC1376" s="162"/>
      <c r="AD1376" s="163"/>
      <c r="AE1376" s="31" t="s">
        <v>4169</v>
      </c>
      <c r="AF1376" s="292"/>
      <c r="AG1376" s="314"/>
      <c r="AH1376" s="293"/>
      <c r="AI1376" s="167"/>
      <c r="AJ1376" s="48"/>
      <c r="AK1376" s="15"/>
      <c r="AL1376" s="15"/>
    </row>
    <row r="1377" spans="1:38" ht="60" x14ac:dyDescent="0.25">
      <c r="A1377" s="179"/>
      <c r="B1377" s="292"/>
      <c r="C1377" s="314"/>
      <c r="D1377" s="293"/>
      <c r="E1377" s="19" t="s">
        <v>4172</v>
      </c>
      <c r="F1377" s="233" t="s">
        <v>4173</v>
      </c>
      <c r="G1377" s="305"/>
      <c r="H1377" s="234"/>
      <c r="I1377" s="143" t="s">
        <v>4174</v>
      </c>
      <c r="J1377" s="145"/>
      <c r="K1377" s="143" t="s">
        <v>3352</v>
      </c>
      <c r="L1377" s="145"/>
      <c r="M1377" s="349">
        <v>34</v>
      </c>
      <c r="N1377" s="423"/>
      <c r="O1377" s="350"/>
      <c r="P1377" s="208" t="s">
        <v>4175</v>
      </c>
      <c r="Q1377" s="209"/>
      <c r="R1377" s="112">
        <v>7</v>
      </c>
      <c r="S1377" s="113"/>
      <c r="T1377" s="112">
        <v>5</v>
      </c>
      <c r="U1377" s="113"/>
      <c r="V1377" s="353" t="s">
        <v>4176</v>
      </c>
      <c r="W1377" s="355"/>
      <c r="X1377" s="252">
        <v>89</v>
      </c>
      <c r="Y1377" s="253"/>
      <c r="Z1377" s="254"/>
      <c r="AA1377" s="233" t="s">
        <v>706</v>
      </c>
      <c r="AB1377" s="234"/>
      <c r="AC1377" s="162"/>
      <c r="AD1377" s="163"/>
      <c r="AE1377" s="31"/>
      <c r="AF1377" s="292"/>
      <c r="AG1377" s="314"/>
      <c r="AH1377" s="293"/>
      <c r="AI1377" s="167"/>
      <c r="AJ1377" s="48"/>
      <c r="AK1377" s="15"/>
      <c r="AL1377" s="15"/>
    </row>
    <row r="1378" spans="1:38" ht="60" x14ac:dyDescent="0.25">
      <c r="A1378" s="179"/>
      <c r="B1378" s="292"/>
      <c r="C1378" s="314"/>
      <c r="D1378" s="293"/>
      <c r="E1378" s="19" t="s">
        <v>4177</v>
      </c>
      <c r="F1378" s="235"/>
      <c r="G1378" s="270"/>
      <c r="H1378" s="236"/>
      <c r="I1378" s="104" t="s">
        <v>4174</v>
      </c>
      <c r="J1378" s="105"/>
      <c r="K1378" s="104" t="s">
        <v>3352</v>
      </c>
      <c r="L1378" s="105"/>
      <c r="M1378" s="349">
        <v>34</v>
      </c>
      <c r="N1378" s="423"/>
      <c r="O1378" s="350"/>
      <c r="P1378" s="280" t="s">
        <v>4175</v>
      </c>
      <c r="Q1378" s="281"/>
      <c r="R1378" s="155">
        <v>7</v>
      </c>
      <c r="S1378" s="157"/>
      <c r="T1378" s="155">
        <v>5</v>
      </c>
      <c r="U1378" s="157"/>
      <c r="V1378" s="353" t="s">
        <v>4176</v>
      </c>
      <c r="W1378" s="355"/>
      <c r="X1378" s="311"/>
      <c r="Y1378" s="312"/>
      <c r="Z1378" s="313"/>
      <c r="AA1378" s="235"/>
      <c r="AB1378" s="236"/>
      <c r="AC1378" s="162"/>
      <c r="AD1378" s="163"/>
      <c r="AE1378" s="31"/>
      <c r="AF1378" s="292"/>
      <c r="AG1378" s="314"/>
      <c r="AH1378" s="293"/>
      <c r="AI1378" s="167"/>
      <c r="AJ1378" s="48"/>
      <c r="AK1378" s="15"/>
      <c r="AL1378" s="15"/>
    </row>
    <row r="1379" spans="1:38" ht="60" x14ac:dyDescent="0.25">
      <c r="A1379" s="230"/>
      <c r="B1379" s="290"/>
      <c r="C1379" s="345"/>
      <c r="D1379" s="291"/>
      <c r="E1379" s="19" t="s">
        <v>4178</v>
      </c>
      <c r="F1379" s="237"/>
      <c r="G1379" s="306"/>
      <c r="H1379" s="238"/>
      <c r="I1379" s="146" t="s">
        <v>4174</v>
      </c>
      <c r="J1379" s="148"/>
      <c r="K1379" s="146" t="s">
        <v>3352</v>
      </c>
      <c r="L1379" s="148"/>
      <c r="M1379" s="349">
        <v>34</v>
      </c>
      <c r="N1379" s="423"/>
      <c r="O1379" s="350"/>
      <c r="P1379" s="210" t="s">
        <v>4175</v>
      </c>
      <c r="Q1379" s="211"/>
      <c r="R1379" s="160">
        <v>7</v>
      </c>
      <c r="S1379" s="161"/>
      <c r="T1379" s="160">
        <v>5</v>
      </c>
      <c r="U1379" s="161"/>
      <c r="V1379" s="353" t="s">
        <v>4176</v>
      </c>
      <c r="W1379" s="355"/>
      <c r="X1379" s="255"/>
      <c r="Y1379" s="256"/>
      <c r="Z1379" s="257"/>
      <c r="AA1379" s="237"/>
      <c r="AB1379" s="238"/>
      <c r="AC1379" s="212"/>
      <c r="AD1379" s="213"/>
      <c r="AE1379" s="31"/>
      <c r="AF1379" s="290"/>
      <c r="AG1379" s="345"/>
      <c r="AH1379" s="291"/>
      <c r="AI1379" s="167"/>
      <c r="AJ1379" s="48"/>
      <c r="AK1379" s="15"/>
      <c r="AL1379" s="15"/>
    </row>
    <row r="1380" spans="1:38" ht="75" x14ac:dyDescent="0.25">
      <c r="A1380" s="178"/>
      <c r="B1380" s="303" t="s">
        <v>4179</v>
      </c>
      <c r="C1380" s="344"/>
      <c r="D1380" s="304"/>
      <c r="E1380" s="28" t="s">
        <v>4180</v>
      </c>
      <c r="F1380" s="233" t="s">
        <v>4181</v>
      </c>
      <c r="G1380" s="305"/>
      <c r="H1380" s="234"/>
      <c r="I1380" s="143" t="s">
        <v>4182</v>
      </c>
      <c r="J1380" s="145"/>
      <c r="K1380" s="88" t="s">
        <v>4183</v>
      </c>
      <c r="L1380" s="89"/>
      <c r="M1380" s="180" t="s">
        <v>4184</v>
      </c>
      <c r="N1380" s="450"/>
      <c r="O1380" s="181"/>
      <c r="P1380" s="88" t="s">
        <v>4185</v>
      </c>
      <c r="Q1380" s="89"/>
      <c r="R1380" s="112">
        <v>23</v>
      </c>
      <c r="S1380" s="113"/>
      <c r="T1380" s="183">
        <v>10</v>
      </c>
      <c r="U1380" s="185"/>
      <c r="V1380" s="173" t="s">
        <v>4186</v>
      </c>
      <c r="W1380" s="174"/>
      <c r="X1380" s="294">
        <v>159</v>
      </c>
      <c r="Y1380" s="295"/>
      <c r="Z1380" s="296"/>
      <c r="AA1380" s="233" t="s">
        <v>1038</v>
      </c>
      <c r="AB1380" s="234"/>
      <c r="AC1380" s="171" t="s">
        <v>675</v>
      </c>
      <c r="AD1380" s="172"/>
      <c r="AE1380" s="24" t="s">
        <v>4188</v>
      </c>
      <c r="AF1380" s="303" t="s">
        <v>3058</v>
      </c>
      <c r="AG1380" s="344"/>
      <c r="AH1380" s="304"/>
      <c r="AI1380" s="167"/>
      <c r="AJ1380" s="48"/>
      <c r="AK1380" s="15"/>
      <c r="AL1380" s="15"/>
    </row>
    <row r="1381" spans="1:38" ht="75" x14ac:dyDescent="0.25">
      <c r="A1381" s="179"/>
      <c r="B1381" s="292"/>
      <c r="C1381" s="314"/>
      <c r="D1381" s="293"/>
      <c r="E1381" s="28" t="s">
        <v>4190</v>
      </c>
      <c r="F1381" s="235"/>
      <c r="G1381" s="270"/>
      <c r="H1381" s="236"/>
      <c r="I1381" s="104" t="s">
        <v>4182</v>
      </c>
      <c r="J1381" s="105"/>
      <c r="K1381" s="126" t="s">
        <v>4183</v>
      </c>
      <c r="L1381" s="127"/>
      <c r="M1381" s="180" t="s">
        <v>4184</v>
      </c>
      <c r="N1381" s="450"/>
      <c r="O1381" s="181"/>
      <c r="P1381" s="126" t="s">
        <v>4185</v>
      </c>
      <c r="Q1381" s="127"/>
      <c r="R1381" s="155">
        <v>23</v>
      </c>
      <c r="S1381" s="157"/>
      <c r="T1381" s="183">
        <v>10</v>
      </c>
      <c r="U1381" s="185"/>
      <c r="V1381" s="173" t="s">
        <v>4186</v>
      </c>
      <c r="W1381" s="174"/>
      <c r="X1381" s="297"/>
      <c r="Y1381" s="298"/>
      <c r="Z1381" s="299"/>
      <c r="AA1381" s="235"/>
      <c r="AB1381" s="236"/>
      <c r="AC1381" s="162" t="s">
        <v>4187</v>
      </c>
      <c r="AD1381" s="163"/>
      <c r="AE1381" s="31" t="s">
        <v>848</v>
      </c>
      <c r="AF1381" s="292" t="s">
        <v>3401</v>
      </c>
      <c r="AG1381" s="314"/>
      <c r="AH1381" s="293"/>
      <c r="AI1381" s="167"/>
      <c r="AJ1381" s="48"/>
      <c r="AK1381" s="15"/>
      <c r="AL1381" s="15"/>
    </row>
    <row r="1382" spans="1:38" ht="75" x14ac:dyDescent="0.25">
      <c r="A1382" s="179"/>
      <c r="B1382" s="292"/>
      <c r="C1382" s="314"/>
      <c r="D1382" s="293"/>
      <c r="E1382" s="28" t="s">
        <v>4191</v>
      </c>
      <c r="F1382" s="235"/>
      <c r="G1382" s="270"/>
      <c r="H1382" s="236"/>
      <c r="I1382" s="104" t="s">
        <v>4182</v>
      </c>
      <c r="J1382" s="105"/>
      <c r="K1382" s="126" t="s">
        <v>4183</v>
      </c>
      <c r="L1382" s="127"/>
      <c r="M1382" s="180" t="s">
        <v>4192</v>
      </c>
      <c r="N1382" s="450"/>
      <c r="O1382" s="181"/>
      <c r="P1382" s="126" t="s">
        <v>4185</v>
      </c>
      <c r="Q1382" s="127"/>
      <c r="R1382" s="155">
        <v>23</v>
      </c>
      <c r="S1382" s="157"/>
      <c r="T1382" s="183">
        <v>10</v>
      </c>
      <c r="U1382" s="185"/>
      <c r="V1382" s="173" t="s">
        <v>4193</v>
      </c>
      <c r="W1382" s="174"/>
      <c r="X1382" s="297"/>
      <c r="Y1382" s="298"/>
      <c r="Z1382" s="299"/>
      <c r="AA1382" s="235"/>
      <c r="AB1382" s="236"/>
      <c r="AC1382" s="162"/>
      <c r="AD1382" s="163"/>
      <c r="AE1382" s="31" t="s">
        <v>1356</v>
      </c>
      <c r="AF1382" s="292"/>
      <c r="AG1382" s="314"/>
      <c r="AH1382" s="293"/>
      <c r="AI1382" s="167"/>
      <c r="AJ1382" s="48"/>
      <c r="AK1382" s="15"/>
      <c r="AL1382" s="15"/>
    </row>
    <row r="1383" spans="1:38" ht="75" x14ac:dyDescent="0.25">
      <c r="A1383" s="179"/>
      <c r="B1383" s="292"/>
      <c r="C1383" s="314"/>
      <c r="D1383" s="293"/>
      <c r="E1383" s="28" t="s">
        <v>4194</v>
      </c>
      <c r="F1383" s="235"/>
      <c r="G1383" s="270"/>
      <c r="H1383" s="236"/>
      <c r="I1383" s="104" t="s">
        <v>4182</v>
      </c>
      <c r="J1383" s="105"/>
      <c r="K1383" s="126" t="s">
        <v>4183</v>
      </c>
      <c r="L1383" s="127"/>
      <c r="M1383" s="180" t="s">
        <v>4192</v>
      </c>
      <c r="N1383" s="450"/>
      <c r="O1383" s="181"/>
      <c r="P1383" s="126" t="s">
        <v>4185</v>
      </c>
      <c r="Q1383" s="127"/>
      <c r="R1383" s="155">
        <v>23</v>
      </c>
      <c r="S1383" s="157"/>
      <c r="T1383" s="183">
        <v>10</v>
      </c>
      <c r="U1383" s="185"/>
      <c r="V1383" s="173" t="s">
        <v>4193</v>
      </c>
      <c r="W1383" s="174"/>
      <c r="X1383" s="297"/>
      <c r="Y1383" s="298"/>
      <c r="Z1383" s="299"/>
      <c r="AA1383" s="235"/>
      <c r="AB1383" s="236"/>
      <c r="AC1383" s="162"/>
      <c r="AD1383" s="163"/>
      <c r="AE1383" s="31" t="s">
        <v>4189</v>
      </c>
      <c r="AF1383" s="292"/>
      <c r="AG1383" s="314"/>
      <c r="AH1383" s="293"/>
      <c r="AI1383" s="167"/>
      <c r="AJ1383" s="48"/>
      <c r="AK1383" s="15"/>
      <c r="AL1383" s="15"/>
    </row>
    <row r="1384" spans="1:38" ht="90" x14ac:dyDescent="0.25">
      <c r="A1384" s="179"/>
      <c r="B1384" s="292"/>
      <c r="C1384" s="314"/>
      <c r="D1384" s="293"/>
      <c r="E1384" s="28" t="s">
        <v>4195</v>
      </c>
      <c r="F1384" s="235"/>
      <c r="G1384" s="270"/>
      <c r="H1384" s="236"/>
      <c r="I1384" s="104" t="s">
        <v>4182</v>
      </c>
      <c r="J1384" s="105"/>
      <c r="K1384" s="126" t="s">
        <v>4183</v>
      </c>
      <c r="L1384" s="127"/>
      <c r="M1384" s="180" t="s">
        <v>4196</v>
      </c>
      <c r="N1384" s="450"/>
      <c r="O1384" s="181"/>
      <c r="P1384" s="126" t="s">
        <v>4185</v>
      </c>
      <c r="Q1384" s="127"/>
      <c r="R1384" s="155">
        <v>23</v>
      </c>
      <c r="S1384" s="157"/>
      <c r="T1384" s="183">
        <v>10</v>
      </c>
      <c r="U1384" s="185"/>
      <c r="V1384" s="173" t="s">
        <v>4197</v>
      </c>
      <c r="W1384" s="174"/>
      <c r="X1384" s="297"/>
      <c r="Y1384" s="298"/>
      <c r="Z1384" s="299"/>
      <c r="AA1384" s="235"/>
      <c r="AB1384" s="236"/>
      <c r="AC1384" s="162"/>
      <c r="AD1384" s="163"/>
      <c r="AE1384" s="31"/>
      <c r="AF1384" s="292"/>
      <c r="AG1384" s="314"/>
      <c r="AH1384" s="293"/>
      <c r="AI1384" s="167"/>
      <c r="AJ1384" s="48"/>
      <c r="AK1384" s="15"/>
      <c r="AL1384" s="15"/>
    </row>
    <row r="1385" spans="1:38" ht="90" x14ac:dyDescent="0.25">
      <c r="A1385" s="230"/>
      <c r="B1385" s="290"/>
      <c r="C1385" s="345"/>
      <c r="D1385" s="291"/>
      <c r="E1385" s="28" t="s">
        <v>4198</v>
      </c>
      <c r="F1385" s="237"/>
      <c r="G1385" s="306"/>
      <c r="H1385" s="238"/>
      <c r="I1385" s="146" t="s">
        <v>4182</v>
      </c>
      <c r="J1385" s="148"/>
      <c r="K1385" s="117" t="s">
        <v>4183</v>
      </c>
      <c r="L1385" s="118"/>
      <c r="M1385" s="180" t="s">
        <v>4196</v>
      </c>
      <c r="N1385" s="450"/>
      <c r="O1385" s="181"/>
      <c r="P1385" s="117" t="s">
        <v>4185</v>
      </c>
      <c r="Q1385" s="118"/>
      <c r="R1385" s="160">
        <v>23</v>
      </c>
      <c r="S1385" s="161"/>
      <c r="T1385" s="183">
        <v>10</v>
      </c>
      <c r="U1385" s="185"/>
      <c r="V1385" s="173" t="s">
        <v>4197</v>
      </c>
      <c r="W1385" s="174"/>
      <c r="X1385" s="300"/>
      <c r="Y1385" s="301"/>
      <c r="Z1385" s="302"/>
      <c r="AA1385" s="237"/>
      <c r="AB1385" s="238"/>
      <c r="AC1385" s="212"/>
      <c r="AD1385" s="213"/>
      <c r="AE1385" s="31"/>
      <c r="AF1385" s="290"/>
      <c r="AG1385" s="345"/>
      <c r="AH1385" s="291"/>
      <c r="AI1385" s="167"/>
      <c r="AJ1385" s="48"/>
      <c r="AK1385" s="15"/>
      <c r="AL1385" s="15"/>
    </row>
    <row r="1386" spans="1:38" ht="135" x14ac:dyDescent="0.3">
      <c r="A1386" s="178"/>
      <c r="B1386" s="303" t="s">
        <v>4199</v>
      </c>
      <c r="C1386" s="344"/>
      <c r="D1386" s="304"/>
      <c r="E1386" s="28" t="s">
        <v>4200</v>
      </c>
      <c r="F1386" s="233" t="s">
        <v>3673</v>
      </c>
      <c r="G1386" s="305"/>
      <c r="H1386" s="234"/>
      <c r="I1386" s="112">
        <v>17</v>
      </c>
      <c r="J1386" s="113"/>
      <c r="K1386" s="88" t="s">
        <v>4201</v>
      </c>
      <c r="L1386" s="89"/>
      <c r="M1386" s="173" t="s">
        <v>4202</v>
      </c>
      <c r="N1386" s="276"/>
      <c r="O1386" s="174"/>
      <c r="P1386" s="208" t="s">
        <v>2101</v>
      </c>
      <c r="Q1386" s="209"/>
      <c r="R1386" s="112">
        <v>25</v>
      </c>
      <c r="S1386" s="113"/>
      <c r="T1386" s="112">
        <v>10</v>
      </c>
      <c r="U1386" s="113"/>
      <c r="V1386" s="173" t="s">
        <v>4203</v>
      </c>
      <c r="W1386" s="174"/>
      <c r="X1386" s="294">
        <v>209</v>
      </c>
      <c r="Y1386" s="295"/>
      <c r="Z1386" s="296"/>
      <c r="AA1386" s="233" t="s">
        <v>1038</v>
      </c>
      <c r="AB1386" s="234"/>
      <c r="AC1386" s="171" t="s">
        <v>3194</v>
      </c>
      <c r="AD1386" s="172"/>
      <c r="AE1386" s="16" t="s">
        <v>4206</v>
      </c>
      <c r="AF1386" s="164"/>
      <c r="AG1386" s="165"/>
      <c r="AH1386" s="166"/>
      <c r="AI1386" s="167"/>
      <c r="AJ1386" s="48"/>
      <c r="AK1386" s="15"/>
      <c r="AL1386" s="15"/>
    </row>
    <row r="1387" spans="1:38" ht="120" x14ac:dyDescent="0.3">
      <c r="A1387" s="179"/>
      <c r="B1387" s="292"/>
      <c r="C1387" s="314"/>
      <c r="D1387" s="293"/>
      <c r="E1387" s="28" t="s">
        <v>4208</v>
      </c>
      <c r="F1387" s="235"/>
      <c r="G1387" s="270"/>
      <c r="H1387" s="236"/>
      <c r="I1387" s="155">
        <v>17</v>
      </c>
      <c r="J1387" s="157"/>
      <c r="K1387" s="126" t="s">
        <v>4201</v>
      </c>
      <c r="L1387" s="127"/>
      <c r="M1387" s="173" t="s">
        <v>4202</v>
      </c>
      <c r="N1387" s="276"/>
      <c r="O1387" s="174"/>
      <c r="P1387" s="280" t="s">
        <v>2101</v>
      </c>
      <c r="Q1387" s="281"/>
      <c r="R1387" s="155">
        <v>25</v>
      </c>
      <c r="S1387" s="157"/>
      <c r="T1387" s="155">
        <v>10</v>
      </c>
      <c r="U1387" s="157"/>
      <c r="V1387" s="173" t="s">
        <v>4203</v>
      </c>
      <c r="W1387" s="174"/>
      <c r="X1387" s="297"/>
      <c r="Y1387" s="298"/>
      <c r="Z1387" s="299"/>
      <c r="AA1387" s="235"/>
      <c r="AB1387" s="236"/>
      <c r="AC1387" s="162" t="s">
        <v>4204</v>
      </c>
      <c r="AD1387" s="163"/>
      <c r="AE1387" s="43" t="s">
        <v>4207</v>
      </c>
      <c r="AF1387" s="167"/>
      <c r="AG1387" s="168"/>
      <c r="AH1387" s="169"/>
      <c r="AI1387" s="167"/>
      <c r="AJ1387" s="48"/>
      <c r="AK1387" s="15"/>
      <c r="AL1387" s="15"/>
    </row>
    <row r="1388" spans="1:38" ht="120" x14ac:dyDescent="0.3">
      <c r="A1388" s="179"/>
      <c r="B1388" s="292"/>
      <c r="C1388" s="314"/>
      <c r="D1388" s="293"/>
      <c r="E1388" s="28" t="s">
        <v>4209</v>
      </c>
      <c r="F1388" s="235"/>
      <c r="G1388" s="270"/>
      <c r="H1388" s="236"/>
      <c r="I1388" s="155">
        <v>17</v>
      </c>
      <c r="J1388" s="157"/>
      <c r="K1388" s="126" t="s">
        <v>4201</v>
      </c>
      <c r="L1388" s="127"/>
      <c r="M1388" s="173" t="s">
        <v>4202</v>
      </c>
      <c r="N1388" s="276"/>
      <c r="O1388" s="174"/>
      <c r="P1388" s="280" t="s">
        <v>2101</v>
      </c>
      <c r="Q1388" s="281"/>
      <c r="R1388" s="155">
        <v>25</v>
      </c>
      <c r="S1388" s="157"/>
      <c r="T1388" s="155">
        <v>10</v>
      </c>
      <c r="U1388" s="157"/>
      <c r="V1388" s="173" t="s">
        <v>4203</v>
      </c>
      <c r="W1388" s="174"/>
      <c r="X1388" s="297"/>
      <c r="Y1388" s="298"/>
      <c r="Z1388" s="299"/>
      <c r="AA1388" s="235"/>
      <c r="AB1388" s="236"/>
      <c r="AC1388" s="162" t="s">
        <v>2211</v>
      </c>
      <c r="AD1388" s="163"/>
      <c r="AE1388" s="43"/>
      <c r="AF1388" s="167"/>
      <c r="AG1388" s="168"/>
      <c r="AH1388" s="169"/>
      <c r="AI1388" s="167"/>
      <c r="AJ1388" s="48"/>
      <c r="AK1388" s="15"/>
      <c r="AL1388" s="15"/>
    </row>
    <row r="1389" spans="1:38" ht="120" x14ac:dyDescent="0.3">
      <c r="A1389" s="179"/>
      <c r="B1389" s="292"/>
      <c r="C1389" s="314"/>
      <c r="D1389" s="293"/>
      <c r="E1389" s="28" t="s">
        <v>4210</v>
      </c>
      <c r="F1389" s="235"/>
      <c r="G1389" s="270"/>
      <c r="H1389" s="236"/>
      <c r="I1389" s="155">
        <v>17</v>
      </c>
      <c r="J1389" s="157"/>
      <c r="K1389" s="126" t="s">
        <v>4201</v>
      </c>
      <c r="L1389" s="127"/>
      <c r="M1389" s="173" t="s">
        <v>4202</v>
      </c>
      <c r="N1389" s="276"/>
      <c r="O1389" s="174"/>
      <c r="P1389" s="280" t="s">
        <v>2101</v>
      </c>
      <c r="Q1389" s="281"/>
      <c r="R1389" s="155">
        <v>25</v>
      </c>
      <c r="S1389" s="157"/>
      <c r="T1389" s="155">
        <v>10</v>
      </c>
      <c r="U1389" s="157"/>
      <c r="V1389" s="173" t="s">
        <v>4203</v>
      </c>
      <c r="W1389" s="174"/>
      <c r="X1389" s="297"/>
      <c r="Y1389" s="298"/>
      <c r="Z1389" s="299"/>
      <c r="AA1389" s="235"/>
      <c r="AB1389" s="236"/>
      <c r="AC1389" s="162" t="s">
        <v>4205</v>
      </c>
      <c r="AD1389" s="163"/>
      <c r="AE1389" s="43"/>
      <c r="AF1389" s="167"/>
      <c r="AG1389" s="168"/>
      <c r="AH1389" s="169"/>
      <c r="AI1389" s="167"/>
      <c r="AJ1389" s="48"/>
      <c r="AK1389" s="15"/>
      <c r="AL1389" s="15"/>
    </row>
    <row r="1390" spans="1:38" ht="120" x14ac:dyDescent="0.3">
      <c r="A1390" s="179"/>
      <c r="B1390" s="292"/>
      <c r="C1390" s="314"/>
      <c r="D1390" s="293"/>
      <c r="E1390" s="28" t="s">
        <v>4211</v>
      </c>
      <c r="F1390" s="235"/>
      <c r="G1390" s="270"/>
      <c r="H1390" s="236"/>
      <c r="I1390" s="155">
        <v>17</v>
      </c>
      <c r="J1390" s="157"/>
      <c r="K1390" s="126" t="s">
        <v>4201</v>
      </c>
      <c r="L1390" s="127"/>
      <c r="M1390" s="173" t="s">
        <v>4202</v>
      </c>
      <c r="N1390" s="276"/>
      <c r="O1390" s="174"/>
      <c r="P1390" s="280" t="s">
        <v>2101</v>
      </c>
      <c r="Q1390" s="281"/>
      <c r="R1390" s="155">
        <v>25</v>
      </c>
      <c r="S1390" s="157"/>
      <c r="T1390" s="155">
        <v>10</v>
      </c>
      <c r="U1390" s="157"/>
      <c r="V1390" s="173" t="s">
        <v>4203</v>
      </c>
      <c r="W1390" s="174"/>
      <c r="X1390" s="297"/>
      <c r="Y1390" s="298"/>
      <c r="Z1390" s="299"/>
      <c r="AA1390" s="235"/>
      <c r="AB1390" s="236"/>
      <c r="AC1390" s="162"/>
      <c r="AD1390" s="163"/>
      <c r="AE1390" s="43"/>
      <c r="AF1390" s="167"/>
      <c r="AG1390" s="168"/>
      <c r="AH1390" s="169"/>
      <c r="AI1390" s="167"/>
      <c r="AJ1390" s="48"/>
      <c r="AK1390" s="15"/>
      <c r="AL1390" s="15"/>
    </row>
    <row r="1391" spans="1:38" ht="120" x14ac:dyDescent="0.3">
      <c r="A1391" s="179"/>
      <c r="B1391" s="292"/>
      <c r="C1391" s="314"/>
      <c r="D1391" s="293"/>
      <c r="E1391" s="28" t="s">
        <v>4212</v>
      </c>
      <c r="F1391" s="237"/>
      <c r="G1391" s="306"/>
      <c r="H1391" s="238"/>
      <c r="I1391" s="160">
        <v>17</v>
      </c>
      <c r="J1391" s="161"/>
      <c r="K1391" s="117" t="s">
        <v>4201</v>
      </c>
      <c r="L1391" s="118"/>
      <c r="M1391" s="173" t="s">
        <v>4202</v>
      </c>
      <c r="N1391" s="276"/>
      <c r="O1391" s="174"/>
      <c r="P1391" s="210" t="s">
        <v>2101</v>
      </c>
      <c r="Q1391" s="211"/>
      <c r="R1391" s="160">
        <v>25</v>
      </c>
      <c r="S1391" s="161"/>
      <c r="T1391" s="160">
        <v>10</v>
      </c>
      <c r="U1391" s="161"/>
      <c r="V1391" s="173" t="s">
        <v>4203</v>
      </c>
      <c r="W1391" s="174"/>
      <c r="X1391" s="300"/>
      <c r="Y1391" s="301"/>
      <c r="Z1391" s="302"/>
      <c r="AA1391" s="237"/>
      <c r="AB1391" s="238"/>
      <c r="AC1391" s="162"/>
      <c r="AD1391" s="163"/>
      <c r="AE1391" s="43"/>
      <c r="AF1391" s="167"/>
      <c r="AG1391" s="168"/>
      <c r="AH1391" s="169"/>
      <c r="AI1391" s="167"/>
      <c r="AJ1391" s="48"/>
      <c r="AK1391" s="15"/>
      <c r="AL1391" s="15"/>
    </row>
    <row r="1392" spans="1:38" ht="135" x14ac:dyDescent="0.3">
      <c r="A1392" s="179"/>
      <c r="B1392" s="292"/>
      <c r="C1392" s="314"/>
      <c r="D1392" s="293"/>
      <c r="E1392" s="28" t="s">
        <v>4213</v>
      </c>
      <c r="F1392" s="233" t="s">
        <v>3689</v>
      </c>
      <c r="G1392" s="305"/>
      <c r="H1392" s="234"/>
      <c r="I1392" s="112">
        <v>25</v>
      </c>
      <c r="J1392" s="113"/>
      <c r="K1392" s="88" t="s">
        <v>4214</v>
      </c>
      <c r="L1392" s="89"/>
      <c r="M1392" s="173" t="s">
        <v>4215</v>
      </c>
      <c r="N1392" s="276"/>
      <c r="O1392" s="174"/>
      <c r="P1392" s="208" t="s">
        <v>2092</v>
      </c>
      <c r="Q1392" s="209"/>
      <c r="R1392" s="112">
        <v>40</v>
      </c>
      <c r="S1392" s="113"/>
      <c r="T1392" s="112">
        <v>15</v>
      </c>
      <c r="U1392" s="113"/>
      <c r="V1392" s="173" t="s">
        <v>4216</v>
      </c>
      <c r="W1392" s="174"/>
      <c r="X1392" s="252">
        <v>309</v>
      </c>
      <c r="Y1392" s="253"/>
      <c r="Z1392" s="254"/>
      <c r="AA1392" s="233" t="s">
        <v>1338</v>
      </c>
      <c r="AB1392" s="234"/>
      <c r="AC1392" s="162"/>
      <c r="AD1392" s="163"/>
      <c r="AE1392" s="43"/>
      <c r="AF1392" s="167"/>
      <c r="AG1392" s="168"/>
      <c r="AH1392" s="169"/>
      <c r="AI1392" s="167"/>
      <c r="AJ1392" s="48"/>
      <c r="AK1392" s="15"/>
      <c r="AL1392" s="15"/>
    </row>
    <row r="1393" spans="1:38" ht="135" x14ac:dyDescent="0.3">
      <c r="A1393" s="179"/>
      <c r="B1393" s="292"/>
      <c r="C1393" s="314"/>
      <c r="D1393" s="293"/>
      <c r="E1393" s="28" t="s">
        <v>4217</v>
      </c>
      <c r="F1393" s="235"/>
      <c r="G1393" s="270"/>
      <c r="H1393" s="236"/>
      <c r="I1393" s="155">
        <v>25</v>
      </c>
      <c r="J1393" s="157"/>
      <c r="K1393" s="126" t="s">
        <v>4214</v>
      </c>
      <c r="L1393" s="127"/>
      <c r="M1393" s="173" t="s">
        <v>4215</v>
      </c>
      <c r="N1393" s="276"/>
      <c r="O1393" s="174"/>
      <c r="P1393" s="280" t="s">
        <v>2092</v>
      </c>
      <c r="Q1393" s="281"/>
      <c r="R1393" s="155">
        <v>40</v>
      </c>
      <c r="S1393" s="157"/>
      <c r="T1393" s="155">
        <v>15</v>
      </c>
      <c r="U1393" s="157"/>
      <c r="V1393" s="173" t="s">
        <v>4216</v>
      </c>
      <c r="W1393" s="174"/>
      <c r="X1393" s="311"/>
      <c r="Y1393" s="312"/>
      <c r="Z1393" s="313"/>
      <c r="AA1393" s="235"/>
      <c r="AB1393" s="236"/>
      <c r="AC1393" s="162"/>
      <c r="AD1393" s="163"/>
      <c r="AE1393" s="43"/>
      <c r="AF1393" s="167"/>
      <c r="AG1393" s="168"/>
      <c r="AH1393" s="169"/>
      <c r="AI1393" s="167"/>
      <c r="AJ1393" s="48"/>
      <c r="AK1393" s="15"/>
      <c r="AL1393" s="15"/>
    </row>
    <row r="1394" spans="1:38" ht="120" x14ac:dyDescent="0.3">
      <c r="A1394" s="179"/>
      <c r="B1394" s="292"/>
      <c r="C1394" s="314"/>
      <c r="D1394" s="293"/>
      <c r="E1394" s="28" t="s">
        <v>4218</v>
      </c>
      <c r="F1394" s="235"/>
      <c r="G1394" s="270"/>
      <c r="H1394" s="236"/>
      <c r="I1394" s="155">
        <v>25</v>
      </c>
      <c r="J1394" s="157"/>
      <c r="K1394" s="126" t="s">
        <v>4214</v>
      </c>
      <c r="L1394" s="127"/>
      <c r="M1394" s="173" t="s">
        <v>4215</v>
      </c>
      <c r="N1394" s="276"/>
      <c r="O1394" s="174"/>
      <c r="P1394" s="280" t="s">
        <v>2092</v>
      </c>
      <c r="Q1394" s="281"/>
      <c r="R1394" s="155">
        <v>40</v>
      </c>
      <c r="S1394" s="157"/>
      <c r="T1394" s="155">
        <v>15</v>
      </c>
      <c r="U1394" s="157"/>
      <c r="V1394" s="173" t="s">
        <v>4216</v>
      </c>
      <c r="W1394" s="174"/>
      <c r="X1394" s="311"/>
      <c r="Y1394" s="312"/>
      <c r="Z1394" s="313"/>
      <c r="AA1394" s="235"/>
      <c r="AB1394" s="236"/>
      <c r="AC1394" s="162"/>
      <c r="AD1394" s="163"/>
      <c r="AE1394" s="43"/>
      <c r="AF1394" s="167"/>
      <c r="AG1394" s="168"/>
      <c r="AH1394" s="169"/>
      <c r="AI1394" s="167"/>
      <c r="AJ1394" s="48"/>
      <c r="AK1394" s="15"/>
      <c r="AL1394" s="15"/>
    </row>
    <row r="1395" spans="1:38" ht="120" x14ac:dyDescent="0.3">
      <c r="A1395" s="179"/>
      <c r="B1395" s="292"/>
      <c r="C1395" s="314"/>
      <c r="D1395" s="293"/>
      <c r="E1395" s="28" t="s">
        <v>4219</v>
      </c>
      <c r="F1395" s="235"/>
      <c r="G1395" s="270"/>
      <c r="H1395" s="236"/>
      <c r="I1395" s="155">
        <v>25</v>
      </c>
      <c r="J1395" s="157"/>
      <c r="K1395" s="126" t="s">
        <v>4214</v>
      </c>
      <c r="L1395" s="127"/>
      <c r="M1395" s="173" t="s">
        <v>4215</v>
      </c>
      <c r="N1395" s="276"/>
      <c r="O1395" s="174"/>
      <c r="P1395" s="280" t="s">
        <v>2092</v>
      </c>
      <c r="Q1395" s="281"/>
      <c r="R1395" s="155">
        <v>40</v>
      </c>
      <c r="S1395" s="157"/>
      <c r="T1395" s="155">
        <v>15</v>
      </c>
      <c r="U1395" s="157"/>
      <c r="V1395" s="173" t="s">
        <v>4216</v>
      </c>
      <c r="W1395" s="174"/>
      <c r="X1395" s="311"/>
      <c r="Y1395" s="312"/>
      <c r="Z1395" s="313"/>
      <c r="AA1395" s="235"/>
      <c r="AB1395" s="236"/>
      <c r="AC1395" s="162"/>
      <c r="AD1395" s="163"/>
      <c r="AE1395" s="43"/>
      <c r="AF1395" s="167"/>
      <c r="AG1395" s="168"/>
      <c r="AH1395" s="169"/>
      <c r="AI1395" s="167"/>
      <c r="AJ1395" s="48"/>
      <c r="AK1395" s="15"/>
      <c r="AL1395" s="15"/>
    </row>
    <row r="1396" spans="1:38" ht="135" x14ac:dyDescent="0.3">
      <c r="A1396" s="179"/>
      <c r="B1396" s="292"/>
      <c r="C1396" s="314"/>
      <c r="D1396" s="293"/>
      <c r="E1396" s="28" t="s">
        <v>4220</v>
      </c>
      <c r="F1396" s="235"/>
      <c r="G1396" s="270"/>
      <c r="H1396" s="236"/>
      <c r="I1396" s="155">
        <v>25</v>
      </c>
      <c r="J1396" s="157"/>
      <c r="K1396" s="126" t="s">
        <v>4214</v>
      </c>
      <c r="L1396" s="127"/>
      <c r="M1396" s="173" t="s">
        <v>4215</v>
      </c>
      <c r="N1396" s="276"/>
      <c r="O1396" s="174"/>
      <c r="P1396" s="280" t="s">
        <v>2092</v>
      </c>
      <c r="Q1396" s="281"/>
      <c r="R1396" s="155">
        <v>40</v>
      </c>
      <c r="S1396" s="157"/>
      <c r="T1396" s="155">
        <v>15</v>
      </c>
      <c r="U1396" s="157"/>
      <c r="V1396" s="173" t="s">
        <v>4216</v>
      </c>
      <c r="W1396" s="174"/>
      <c r="X1396" s="311"/>
      <c r="Y1396" s="312"/>
      <c r="Z1396" s="313"/>
      <c r="AA1396" s="235"/>
      <c r="AB1396" s="236"/>
      <c r="AC1396" s="162"/>
      <c r="AD1396" s="163"/>
      <c r="AE1396" s="43"/>
      <c r="AF1396" s="167"/>
      <c r="AG1396" s="168"/>
      <c r="AH1396" s="169"/>
      <c r="AI1396" s="167"/>
      <c r="AJ1396" s="48"/>
      <c r="AK1396" s="15"/>
      <c r="AL1396" s="15"/>
    </row>
    <row r="1397" spans="1:38" ht="120" x14ac:dyDescent="0.3">
      <c r="A1397" s="230"/>
      <c r="B1397" s="290"/>
      <c r="C1397" s="345"/>
      <c r="D1397" s="291"/>
      <c r="E1397" s="28" t="s">
        <v>4221</v>
      </c>
      <c r="F1397" s="237"/>
      <c r="G1397" s="306"/>
      <c r="H1397" s="238"/>
      <c r="I1397" s="160">
        <v>25</v>
      </c>
      <c r="J1397" s="161"/>
      <c r="K1397" s="117" t="s">
        <v>4214</v>
      </c>
      <c r="L1397" s="118"/>
      <c r="M1397" s="173" t="s">
        <v>4215</v>
      </c>
      <c r="N1397" s="276"/>
      <c r="O1397" s="174"/>
      <c r="P1397" s="210" t="s">
        <v>2092</v>
      </c>
      <c r="Q1397" s="211"/>
      <c r="R1397" s="160">
        <v>40</v>
      </c>
      <c r="S1397" s="161"/>
      <c r="T1397" s="160">
        <v>15</v>
      </c>
      <c r="U1397" s="161"/>
      <c r="V1397" s="173" t="s">
        <v>4216</v>
      </c>
      <c r="W1397" s="174"/>
      <c r="X1397" s="255"/>
      <c r="Y1397" s="256"/>
      <c r="Z1397" s="257"/>
      <c r="AA1397" s="237"/>
      <c r="AB1397" s="238"/>
      <c r="AC1397" s="212"/>
      <c r="AD1397" s="213"/>
      <c r="AE1397" s="43"/>
      <c r="AF1397" s="214"/>
      <c r="AG1397" s="215"/>
      <c r="AH1397" s="216"/>
      <c r="AI1397" s="214"/>
      <c r="AJ1397" s="48"/>
      <c r="AK1397" s="15"/>
      <c r="AL1397" s="15"/>
    </row>
    <row r="1398" spans="1:38" ht="75" x14ac:dyDescent="0.3">
      <c r="A1398" s="178"/>
      <c r="B1398" s="303" t="s">
        <v>4222</v>
      </c>
      <c r="C1398" s="344"/>
      <c r="D1398" s="304"/>
      <c r="E1398" s="19" t="s">
        <v>4223</v>
      </c>
      <c r="F1398" s="233" t="s">
        <v>4224</v>
      </c>
      <c r="G1398" s="305"/>
      <c r="H1398" s="234"/>
      <c r="I1398" s="349">
        <v>16</v>
      </c>
      <c r="J1398" s="350"/>
      <c r="K1398" s="351" t="s">
        <v>4225</v>
      </c>
      <c r="L1398" s="352"/>
      <c r="M1398" s="332" t="s">
        <v>4226</v>
      </c>
      <c r="N1398" s="374"/>
      <c r="O1398" s="333"/>
      <c r="P1398" s="349">
        <v>21</v>
      </c>
      <c r="Q1398" s="350"/>
      <c r="R1398" s="349">
        <v>61</v>
      </c>
      <c r="S1398" s="350"/>
      <c r="T1398" s="349">
        <v>6</v>
      </c>
      <c r="U1398" s="350"/>
      <c r="V1398" s="332" t="s">
        <v>4227</v>
      </c>
      <c r="W1398" s="333"/>
      <c r="X1398" s="252">
        <v>238</v>
      </c>
      <c r="Y1398" s="253"/>
      <c r="Z1398" s="254"/>
      <c r="AA1398" s="233" t="s">
        <v>1759</v>
      </c>
      <c r="AB1398" s="234"/>
      <c r="AC1398" s="223" t="s">
        <v>675</v>
      </c>
      <c r="AD1398" s="224"/>
      <c r="AE1398" s="16" t="s">
        <v>4230</v>
      </c>
      <c r="AF1398" s="164"/>
      <c r="AG1398" s="165"/>
      <c r="AH1398" s="166"/>
      <c r="AI1398" s="24" t="s">
        <v>4233</v>
      </c>
      <c r="AJ1398" s="48"/>
      <c r="AK1398" s="15"/>
      <c r="AL1398" s="15"/>
    </row>
    <row r="1399" spans="1:38" ht="75" x14ac:dyDescent="0.3">
      <c r="A1399" s="179"/>
      <c r="B1399" s="292"/>
      <c r="C1399" s="314"/>
      <c r="D1399" s="293"/>
      <c r="E1399" s="19" t="s">
        <v>4236</v>
      </c>
      <c r="F1399" s="237"/>
      <c r="G1399" s="306"/>
      <c r="H1399" s="238"/>
      <c r="I1399" s="349">
        <v>16</v>
      </c>
      <c r="J1399" s="350"/>
      <c r="K1399" s="351" t="s">
        <v>4225</v>
      </c>
      <c r="L1399" s="352"/>
      <c r="M1399" s="332" t="s">
        <v>4226</v>
      </c>
      <c r="N1399" s="374"/>
      <c r="O1399" s="333"/>
      <c r="P1399" s="349">
        <v>21</v>
      </c>
      <c r="Q1399" s="350"/>
      <c r="R1399" s="349">
        <v>61</v>
      </c>
      <c r="S1399" s="350"/>
      <c r="T1399" s="349">
        <v>6</v>
      </c>
      <c r="U1399" s="350"/>
      <c r="V1399" s="332" t="s">
        <v>4227</v>
      </c>
      <c r="W1399" s="333"/>
      <c r="X1399" s="255"/>
      <c r="Y1399" s="256"/>
      <c r="Z1399" s="257"/>
      <c r="AA1399" s="237"/>
      <c r="AB1399" s="238"/>
      <c r="AC1399" s="239" t="s">
        <v>4228</v>
      </c>
      <c r="AD1399" s="240"/>
      <c r="AE1399" s="43" t="s">
        <v>4231</v>
      </c>
      <c r="AF1399" s="167"/>
      <c r="AG1399" s="168"/>
      <c r="AH1399" s="169"/>
      <c r="AI1399" s="31" t="s">
        <v>4234</v>
      </c>
      <c r="AJ1399" s="48"/>
      <c r="AK1399" s="15"/>
      <c r="AL1399" s="15"/>
    </row>
    <row r="1400" spans="1:38" ht="120" x14ac:dyDescent="0.3">
      <c r="A1400" s="179"/>
      <c r="B1400" s="292"/>
      <c r="C1400" s="314"/>
      <c r="D1400" s="293"/>
      <c r="E1400" s="19" t="s">
        <v>70</v>
      </c>
      <c r="F1400" s="346" t="s">
        <v>4237</v>
      </c>
      <c r="G1400" s="347"/>
      <c r="H1400" s="348"/>
      <c r="I1400" s="349">
        <v>14</v>
      </c>
      <c r="J1400" s="350"/>
      <c r="K1400" s="337" t="s">
        <v>4238</v>
      </c>
      <c r="L1400" s="338"/>
      <c r="M1400" s="349">
        <v>68</v>
      </c>
      <c r="N1400" s="423"/>
      <c r="O1400" s="350"/>
      <c r="P1400" s="349">
        <v>10</v>
      </c>
      <c r="Q1400" s="350"/>
      <c r="R1400" s="351" t="s">
        <v>977</v>
      </c>
      <c r="S1400" s="352"/>
      <c r="T1400" s="349">
        <v>10</v>
      </c>
      <c r="U1400" s="350"/>
      <c r="V1400" s="332" t="s">
        <v>4239</v>
      </c>
      <c r="W1400" s="333"/>
      <c r="X1400" s="227">
        <v>158</v>
      </c>
      <c r="Y1400" s="228"/>
      <c r="Z1400" s="229"/>
      <c r="AA1400" s="337" t="s">
        <v>1090</v>
      </c>
      <c r="AB1400" s="338"/>
      <c r="AC1400" s="239" t="s">
        <v>677</v>
      </c>
      <c r="AD1400" s="240"/>
      <c r="AE1400" s="43" t="s">
        <v>1356</v>
      </c>
      <c r="AF1400" s="167"/>
      <c r="AG1400" s="168"/>
      <c r="AH1400" s="169"/>
      <c r="AI1400" s="31" t="s">
        <v>4235</v>
      </c>
      <c r="AJ1400" s="48"/>
      <c r="AK1400" s="15"/>
      <c r="AL1400" s="15"/>
    </row>
    <row r="1401" spans="1:38" ht="105" x14ac:dyDescent="0.3">
      <c r="A1401" s="179"/>
      <c r="B1401" s="292"/>
      <c r="C1401" s="314"/>
      <c r="D1401" s="293"/>
      <c r="E1401" s="19" t="s">
        <v>4240</v>
      </c>
      <c r="F1401" s="346" t="s">
        <v>4241</v>
      </c>
      <c r="G1401" s="347"/>
      <c r="H1401" s="348"/>
      <c r="I1401" s="349">
        <v>46</v>
      </c>
      <c r="J1401" s="350"/>
      <c r="K1401" s="337" t="s">
        <v>4242</v>
      </c>
      <c r="L1401" s="338"/>
      <c r="M1401" s="332" t="s">
        <v>4243</v>
      </c>
      <c r="N1401" s="374"/>
      <c r="O1401" s="333"/>
      <c r="P1401" s="349">
        <v>52</v>
      </c>
      <c r="Q1401" s="350"/>
      <c r="R1401" s="349">
        <v>160</v>
      </c>
      <c r="S1401" s="350"/>
      <c r="T1401" s="349">
        <v>22</v>
      </c>
      <c r="U1401" s="350"/>
      <c r="V1401" s="332" t="s">
        <v>4244</v>
      </c>
      <c r="W1401" s="333"/>
      <c r="X1401" s="227">
        <v>608</v>
      </c>
      <c r="Y1401" s="228"/>
      <c r="Z1401" s="229"/>
      <c r="AA1401" s="337" t="s">
        <v>1583</v>
      </c>
      <c r="AB1401" s="338"/>
      <c r="AC1401" s="239" t="s">
        <v>678</v>
      </c>
      <c r="AD1401" s="240"/>
      <c r="AE1401" s="43" t="s">
        <v>4232</v>
      </c>
      <c r="AF1401" s="167"/>
      <c r="AG1401" s="168"/>
      <c r="AH1401" s="169"/>
      <c r="AI1401" s="31"/>
      <c r="AJ1401" s="48"/>
      <c r="AK1401" s="15"/>
      <c r="AL1401" s="15"/>
    </row>
    <row r="1402" spans="1:38" ht="105" x14ac:dyDescent="0.3">
      <c r="A1402" s="230"/>
      <c r="B1402" s="290"/>
      <c r="C1402" s="345"/>
      <c r="D1402" s="291"/>
      <c r="E1402" s="19" t="s">
        <v>4245</v>
      </c>
      <c r="F1402" s="346" t="s">
        <v>4241</v>
      </c>
      <c r="G1402" s="347"/>
      <c r="H1402" s="348"/>
      <c r="I1402" s="349">
        <v>46</v>
      </c>
      <c r="J1402" s="350"/>
      <c r="K1402" s="351" t="s">
        <v>4246</v>
      </c>
      <c r="L1402" s="352"/>
      <c r="M1402" s="332" t="s">
        <v>4243</v>
      </c>
      <c r="N1402" s="374"/>
      <c r="O1402" s="333"/>
      <c r="P1402" s="349">
        <v>52</v>
      </c>
      <c r="Q1402" s="350"/>
      <c r="R1402" s="349">
        <v>160</v>
      </c>
      <c r="S1402" s="350"/>
      <c r="T1402" s="349">
        <v>22</v>
      </c>
      <c r="U1402" s="350"/>
      <c r="V1402" s="332" t="s">
        <v>4244</v>
      </c>
      <c r="W1402" s="333"/>
      <c r="X1402" s="334">
        <v>608</v>
      </c>
      <c r="Y1402" s="335"/>
      <c r="Z1402" s="336"/>
      <c r="AA1402" s="337" t="s">
        <v>1583</v>
      </c>
      <c r="AB1402" s="338"/>
      <c r="AC1402" s="225" t="s">
        <v>4229</v>
      </c>
      <c r="AD1402" s="226"/>
      <c r="AE1402" s="43"/>
      <c r="AF1402" s="214"/>
      <c r="AG1402" s="215"/>
      <c r="AH1402" s="216"/>
      <c r="AI1402" s="31"/>
      <c r="AJ1402" s="48"/>
      <c r="AK1402" s="15"/>
      <c r="AL1402" s="15"/>
    </row>
    <row r="1403" spans="1:38" ht="75" x14ac:dyDescent="0.3">
      <c r="A1403" s="178"/>
      <c r="B1403" s="303" t="s">
        <v>4247</v>
      </c>
      <c r="C1403" s="344"/>
      <c r="D1403" s="304"/>
      <c r="E1403" s="28" t="s">
        <v>4248</v>
      </c>
      <c r="F1403" s="124" t="s">
        <v>3332</v>
      </c>
      <c r="G1403" s="182"/>
      <c r="H1403" s="125"/>
      <c r="I1403" s="110" t="s">
        <v>842</v>
      </c>
      <c r="J1403" s="111"/>
      <c r="K1403" s="143" t="s">
        <v>2700</v>
      </c>
      <c r="L1403" s="145"/>
      <c r="M1403" s="173" t="s">
        <v>4249</v>
      </c>
      <c r="N1403" s="276"/>
      <c r="O1403" s="174"/>
      <c r="P1403" s="88" t="s">
        <v>688</v>
      </c>
      <c r="Q1403" s="89"/>
      <c r="R1403" s="112">
        <v>7</v>
      </c>
      <c r="S1403" s="113"/>
      <c r="T1403" s="112">
        <v>3</v>
      </c>
      <c r="U1403" s="113"/>
      <c r="V1403" s="173" t="s">
        <v>4250</v>
      </c>
      <c r="W1403" s="174"/>
      <c r="X1403" s="294">
        <v>49</v>
      </c>
      <c r="Y1403" s="295"/>
      <c r="Z1403" s="296"/>
      <c r="AA1403" s="233" t="s">
        <v>1090</v>
      </c>
      <c r="AB1403" s="234"/>
      <c r="AC1403" s="171" t="s">
        <v>3194</v>
      </c>
      <c r="AD1403" s="172"/>
      <c r="AE1403" s="24" t="s">
        <v>4253</v>
      </c>
      <c r="AF1403" s="164"/>
      <c r="AG1403" s="165"/>
      <c r="AH1403" s="166"/>
      <c r="AI1403" s="164"/>
      <c r="AJ1403" s="48"/>
      <c r="AK1403" s="15"/>
      <c r="AL1403" s="15"/>
    </row>
    <row r="1404" spans="1:38" ht="75" x14ac:dyDescent="0.3">
      <c r="A1404" s="179"/>
      <c r="B1404" s="292"/>
      <c r="C1404" s="314"/>
      <c r="D1404" s="293"/>
      <c r="E1404" s="28" t="s">
        <v>4256</v>
      </c>
      <c r="F1404" s="124" t="s">
        <v>4257</v>
      </c>
      <c r="G1404" s="182"/>
      <c r="H1404" s="125"/>
      <c r="I1404" s="110" t="s">
        <v>1090</v>
      </c>
      <c r="J1404" s="111"/>
      <c r="K1404" s="104" t="s">
        <v>2700</v>
      </c>
      <c r="L1404" s="105"/>
      <c r="M1404" s="173" t="s">
        <v>4249</v>
      </c>
      <c r="N1404" s="276"/>
      <c r="O1404" s="174"/>
      <c r="P1404" s="126" t="s">
        <v>688</v>
      </c>
      <c r="Q1404" s="127"/>
      <c r="R1404" s="155">
        <v>7</v>
      </c>
      <c r="S1404" s="157"/>
      <c r="T1404" s="155">
        <v>3</v>
      </c>
      <c r="U1404" s="157"/>
      <c r="V1404" s="173" t="s">
        <v>4250</v>
      </c>
      <c r="W1404" s="174"/>
      <c r="X1404" s="297"/>
      <c r="Y1404" s="298"/>
      <c r="Z1404" s="299"/>
      <c r="AA1404" s="235"/>
      <c r="AB1404" s="236"/>
      <c r="AC1404" s="162" t="s">
        <v>4251</v>
      </c>
      <c r="AD1404" s="163"/>
      <c r="AE1404" s="31" t="s">
        <v>4254</v>
      </c>
      <c r="AF1404" s="167"/>
      <c r="AG1404" s="168"/>
      <c r="AH1404" s="169"/>
      <c r="AI1404" s="167"/>
      <c r="AJ1404" s="48"/>
      <c r="AK1404" s="15"/>
      <c r="AL1404" s="15"/>
    </row>
    <row r="1405" spans="1:38" ht="75" x14ac:dyDescent="0.3">
      <c r="A1405" s="179"/>
      <c r="B1405" s="292"/>
      <c r="C1405" s="314"/>
      <c r="D1405" s="293"/>
      <c r="E1405" s="28" t="s">
        <v>4258</v>
      </c>
      <c r="F1405" s="124" t="s">
        <v>3332</v>
      </c>
      <c r="G1405" s="182"/>
      <c r="H1405" s="125"/>
      <c r="I1405" s="110" t="s">
        <v>842</v>
      </c>
      <c r="J1405" s="111"/>
      <c r="K1405" s="104" t="s">
        <v>2700</v>
      </c>
      <c r="L1405" s="105"/>
      <c r="M1405" s="173" t="s">
        <v>4249</v>
      </c>
      <c r="N1405" s="276"/>
      <c r="O1405" s="174"/>
      <c r="P1405" s="126" t="s">
        <v>688</v>
      </c>
      <c r="Q1405" s="127"/>
      <c r="R1405" s="155">
        <v>7</v>
      </c>
      <c r="S1405" s="157"/>
      <c r="T1405" s="155">
        <v>3</v>
      </c>
      <c r="U1405" s="157"/>
      <c r="V1405" s="173" t="s">
        <v>4250</v>
      </c>
      <c r="W1405" s="174"/>
      <c r="X1405" s="297"/>
      <c r="Y1405" s="298"/>
      <c r="Z1405" s="299"/>
      <c r="AA1405" s="235"/>
      <c r="AB1405" s="236"/>
      <c r="AC1405" s="162" t="s">
        <v>4252</v>
      </c>
      <c r="AD1405" s="163"/>
      <c r="AE1405" s="31" t="s">
        <v>1356</v>
      </c>
      <c r="AF1405" s="167"/>
      <c r="AG1405" s="168"/>
      <c r="AH1405" s="169"/>
      <c r="AI1405" s="167"/>
      <c r="AJ1405" s="48"/>
      <c r="AK1405" s="15"/>
      <c r="AL1405" s="15"/>
    </row>
    <row r="1406" spans="1:38" ht="75" x14ac:dyDescent="0.3">
      <c r="A1406" s="179"/>
      <c r="B1406" s="292"/>
      <c r="C1406" s="314"/>
      <c r="D1406" s="293"/>
      <c r="E1406" s="28" t="s">
        <v>4259</v>
      </c>
      <c r="F1406" s="124" t="s">
        <v>4257</v>
      </c>
      <c r="G1406" s="182"/>
      <c r="H1406" s="125"/>
      <c r="I1406" s="110" t="s">
        <v>1090</v>
      </c>
      <c r="J1406" s="111"/>
      <c r="K1406" s="104" t="s">
        <v>2700</v>
      </c>
      <c r="L1406" s="105"/>
      <c r="M1406" s="173" t="s">
        <v>4249</v>
      </c>
      <c r="N1406" s="276"/>
      <c r="O1406" s="174"/>
      <c r="P1406" s="126" t="s">
        <v>688</v>
      </c>
      <c r="Q1406" s="127"/>
      <c r="R1406" s="155">
        <v>7</v>
      </c>
      <c r="S1406" s="157"/>
      <c r="T1406" s="155">
        <v>3</v>
      </c>
      <c r="U1406" s="157"/>
      <c r="V1406" s="173" t="s">
        <v>4250</v>
      </c>
      <c r="W1406" s="174"/>
      <c r="X1406" s="297"/>
      <c r="Y1406" s="298"/>
      <c r="Z1406" s="299"/>
      <c r="AA1406" s="235"/>
      <c r="AB1406" s="236"/>
      <c r="AC1406" s="162"/>
      <c r="AD1406" s="163"/>
      <c r="AE1406" s="31" t="s">
        <v>4255</v>
      </c>
      <c r="AF1406" s="167"/>
      <c r="AG1406" s="168"/>
      <c r="AH1406" s="169"/>
      <c r="AI1406" s="167"/>
      <c r="AJ1406" s="48"/>
      <c r="AK1406" s="15"/>
      <c r="AL1406" s="15"/>
    </row>
    <row r="1407" spans="1:38" ht="75" x14ac:dyDescent="0.3">
      <c r="A1407" s="179"/>
      <c r="B1407" s="292"/>
      <c r="C1407" s="314"/>
      <c r="D1407" s="293"/>
      <c r="E1407" s="28" t="s">
        <v>4260</v>
      </c>
      <c r="F1407" s="124" t="s">
        <v>3332</v>
      </c>
      <c r="G1407" s="182"/>
      <c r="H1407" s="125"/>
      <c r="I1407" s="110" t="s">
        <v>842</v>
      </c>
      <c r="J1407" s="111"/>
      <c r="K1407" s="104" t="s">
        <v>2700</v>
      </c>
      <c r="L1407" s="105"/>
      <c r="M1407" s="173" t="s">
        <v>4249</v>
      </c>
      <c r="N1407" s="276"/>
      <c r="O1407" s="174"/>
      <c r="P1407" s="126" t="s">
        <v>688</v>
      </c>
      <c r="Q1407" s="127"/>
      <c r="R1407" s="155">
        <v>7</v>
      </c>
      <c r="S1407" s="157"/>
      <c r="T1407" s="155">
        <v>3</v>
      </c>
      <c r="U1407" s="157"/>
      <c r="V1407" s="173" t="s">
        <v>4250</v>
      </c>
      <c r="W1407" s="174"/>
      <c r="X1407" s="297"/>
      <c r="Y1407" s="298"/>
      <c r="Z1407" s="299"/>
      <c r="AA1407" s="235"/>
      <c r="AB1407" s="236"/>
      <c r="AC1407" s="162"/>
      <c r="AD1407" s="163"/>
      <c r="AE1407" s="31"/>
      <c r="AF1407" s="167"/>
      <c r="AG1407" s="168"/>
      <c r="AH1407" s="169"/>
      <c r="AI1407" s="167"/>
      <c r="AJ1407" s="48"/>
      <c r="AK1407" s="15"/>
      <c r="AL1407" s="15"/>
    </row>
    <row r="1408" spans="1:38" ht="75" x14ac:dyDescent="0.3">
      <c r="A1408" s="179"/>
      <c r="B1408" s="292"/>
      <c r="C1408" s="314"/>
      <c r="D1408" s="293"/>
      <c r="E1408" s="28" t="s">
        <v>4261</v>
      </c>
      <c r="F1408" s="124" t="s">
        <v>4257</v>
      </c>
      <c r="G1408" s="182"/>
      <c r="H1408" s="125"/>
      <c r="I1408" s="110" t="s">
        <v>1090</v>
      </c>
      <c r="J1408" s="111"/>
      <c r="K1408" s="146" t="s">
        <v>2700</v>
      </c>
      <c r="L1408" s="148"/>
      <c r="M1408" s="173" t="s">
        <v>4249</v>
      </c>
      <c r="N1408" s="276"/>
      <c r="O1408" s="174"/>
      <c r="P1408" s="117" t="s">
        <v>688</v>
      </c>
      <c r="Q1408" s="118"/>
      <c r="R1408" s="155">
        <v>7</v>
      </c>
      <c r="S1408" s="157"/>
      <c r="T1408" s="160">
        <v>3</v>
      </c>
      <c r="U1408" s="161"/>
      <c r="V1408" s="173" t="s">
        <v>4250</v>
      </c>
      <c r="W1408" s="174"/>
      <c r="X1408" s="300"/>
      <c r="Y1408" s="301"/>
      <c r="Z1408" s="302"/>
      <c r="AA1408" s="237"/>
      <c r="AB1408" s="238"/>
      <c r="AC1408" s="162"/>
      <c r="AD1408" s="163"/>
      <c r="AE1408" s="31"/>
      <c r="AF1408" s="167"/>
      <c r="AG1408" s="168"/>
      <c r="AH1408" s="169"/>
      <c r="AI1408" s="167"/>
      <c r="AJ1408" s="48"/>
      <c r="AK1408" s="15"/>
      <c r="AL1408" s="15"/>
    </row>
    <row r="1409" spans="1:38" ht="75" x14ac:dyDescent="0.3">
      <c r="A1409" s="179"/>
      <c r="B1409" s="292"/>
      <c r="C1409" s="314"/>
      <c r="D1409" s="293"/>
      <c r="E1409" s="28" t="s">
        <v>4262</v>
      </c>
      <c r="F1409" s="124" t="s">
        <v>3332</v>
      </c>
      <c r="G1409" s="182"/>
      <c r="H1409" s="125"/>
      <c r="I1409" s="110" t="s">
        <v>842</v>
      </c>
      <c r="J1409" s="111"/>
      <c r="K1409" s="143" t="s">
        <v>2700</v>
      </c>
      <c r="L1409" s="145"/>
      <c r="M1409" s="173" t="s">
        <v>4249</v>
      </c>
      <c r="N1409" s="276"/>
      <c r="O1409" s="174"/>
      <c r="P1409" s="88" t="s">
        <v>688</v>
      </c>
      <c r="Q1409" s="89"/>
      <c r="R1409" s="155">
        <v>7</v>
      </c>
      <c r="S1409" s="157"/>
      <c r="T1409" s="112">
        <v>3</v>
      </c>
      <c r="U1409" s="113"/>
      <c r="V1409" s="173" t="s">
        <v>4250</v>
      </c>
      <c r="W1409" s="174"/>
      <c r="X1409" s="294">
        <v>49</v>
      </c>
      <c r="Y1409" s="295"/>
      <c r="Z1409" s="296"/>
      <c r="AA1409" s="233" t="s">
        <v>1090</v>
      </c>
      <c r="AB1409" s="234"/>
      <c r="AC1409" s="162"/>
      <c r="AD1409" s="163"/>
      <c r="AE1409" s="31"/>
      <c r="AF1409" s="167"/>
      <c r="AG1409" s="168"/>
      <c r="AH1409" s="169"/>
      <c r="AI1409" s="167"/>
      <c r="AJ1409" s="48"/>
      <c r="AK1409" s="15"/>
      <c r="AL1409" s="15"/>
    </row>
    <row r="1410" spans="1:38" ht="75" x14ac:dyDescent="0.3">
      <c r="A1410" s="179"/>
      <c r="B1410" s="292"/>
      <c r="C1410" s="314"/>
      <c r="D1410" s="293"/>
      <c r="E1410" s="28" t="s">
        <v>4263</v>
      </c>
      <c r="F1410" s="124" t="s">
        <v>4257</v>
      </c>
      <c r="G1410" s="182"/>
      <c r="H1410" s="125"/>
      <c r="I1410" s="110" t="s">
        <v>1090</v>
      </c>
      <c r="J1410" s="111"/>
      <c r="K1410" s="104" t="s">
        <v>2700</v>
      </c>
      <c r="L1410" s="105"/>
      <c r="M1410" s="173" t="s">
        <v>4249</v>
      </c>
      <c r="N1410" s="276"/>
      <c r="O1410" s="174"/>
      <c r="P1410" s="126" t="s">
        <v>688</v>
      </c>
      <c r="Q1410" s="127"/>
      <c r="R1410" s="155">
        <v>7</v>
      </c>
      <c r="S1410" s="157"/>
      <c r="T1410" s="155">
        <v>3</v>
      </c>
      <c r="U1410" s="157"/>
      <c r="V1410" s="173" t="s">
        <v>4250</v>
      </c>
      <c r="W1410" s="174"/>
      <c r="X1410" s="297"/>
      <c r="Y1410" s="298"/>
      <c r="Z1410" s="299"/>
      <c r="AA1410" s="235"/>
      <c r="AB1410" s="236"/>
      <c r="AC1410" s="162"/>
      <c r="AD1410" s="163"/>
      <c r="AE1410" s="31"/>
      <c r="AF1410" s="167"/>
      <c r="AG1410" s="168"/>
      <c r="AH1410" s="169"/>
      <c r="AI1410" s="167"/>
      <c r="AJ1410" s="48"/>
      <c r="AK1410" s="15"/>
      <c r="AL1410" s="15"/>
    </row>
    <row r="1411" spans="1:38" ht="75" x14ac:dyDescent="0.3">
      <c r="A1411" s="179"/>
      <c r="B1411" s="292"/>
      <c r="C1411" s="314"/>
      <c r="D1411" s="293"/>
      <c r="E1411" s="28" t="s">
        <v>4264</v>
      </c>
      <c r="F1411" s="124" t="s">
        <v>3332</v>
      </c>
      <c r="G1411" s="182"/>
      <c r="H1411" s="125"/>
      <c r="I1411" s="110" t="s">
        <v>842</v>
      </c>
      <c r="J1411" s="111"/>
      <c r="K1411" s="104" t="s">
        <v>2700</v>
      </c>
      <c r="L1411" s="105"/>
      <c r="M1411" s="173" t="s">
        <v>4249</v>
      </c>
      <c r="N1411" s="276"/>
      <c r="O1411" s="174"/>
      <c r="P1411" s="126" t="s">
        <v>688</v>
      </c>
      <c r="Q1411" s="127"/>
      <c r="R1411" s="155">
        <v>7</v>
      </c>
      <c r="S1411" s="157"/>
      <c r="T1411" s="155">
        <v>3</v>
      </c>
      <c r="U1411" s="157"/>
      <c r="V1411" s="173" t="s">
        <v>4250</v>
      </c>
      <c r="W1411" s="174"/>
      <c r="X1411" s="297"/>
      <c r="Y1411" s="298"/>
      <c r="Z1411" s="299"/>
      <c r="AA1411" s="235"/>
      <c r="AB1411" s="236"/>
      <c r="AC1411" s="162"/>
      <c r="AD1411" s="163"/>
      <c r="AE1411" s="31"/>
      <c r="AF1411" s="167"/>
      <c r="AG1411" s="168"/>
      <c r="AH1411" s="169"/>
      <c r="AI1411" s="167"/>
      <c r="AJ1411" s="48"/>
      <c r="AK1411" s="15"/>
      <c r="AL1411" s="15"/>
    </row>
    <row r="1412" spans="1:38" ht="75" x14ac:dyDescent="0.3">
      <c r="A1412" s="179"/>
      <c r="B1412" s="292"/>
      <c r="C1412" s="314"/>
      <c r="D1412" s="293"/>
      <c r="E1412" s="28" t="s">
        <v>4265</v>
      </c>
      <c r="F1412" s="124" t="s">
        <v>4257</v>
      </c>
      <c r="G1412" s="182"/>
      <c r="H1412" s="125"/>
      <c r="I1412" s="110" t="s">
        <v>1090</v>
      </c>
      <c r="J1412" s="111"/>
      <c r="K1412" s="104" t="s">
        <v>2700</v>
      </c>
      <c r="L1412" s="105"/>
      <c r="M1412" s="173" t="s">
        <v>4249</v>
      </c>
      <c r="N1412" s="276"/>
      <c r="O1412" s="174"/>
      <c r="P1412" s="126" t="s">
        <v>688</v>
      </c>
      <c r="Q1412" s="127"/>
      <c r="R1412" s="155">
        <v>7</v>
      </c>
      <c r="S1412" s="157"/>
      <c r="T1412" s="155">
        <v>3</v>
      </c>
      <c r="U1412" s="157"/>
      <c r="V1412" s="173" t="s">
        <v>4250</v>
      </c>
      <c r="W1412" s="174"/>
      <c r="X1412" s="297"/>
      <c r="Y1412" s="298"/>
      <c r="Z1412" s="299"/>
      <c r="AA1412" s="235"/>
      <c r="AB1412" s="236"/>
      <c r="AC1412" s="162"/>
      <c r="AD1412" s="163"/>
      <c r="AE1412" s="31"/>
      <c r="AF1412" s="167"/>
      <c r="AG1412" s="168"/>
      <c r="AH1412" s="169"/>
      <c r="AI1412" s="167"/>
      <c r="AJ1412" s="48"/>
      <c r="AK1412" s="15"/>
      <c r="AL1412" s="15"/>
    </row>
    <row r="1413" spans="1:38" ht="75" x14ac:dyDescent="0.3">
      <c r="A1413" s="179"/>
      <c r="B1413" s="292"/>
      <c r="C1413" s="314"/>
      <c r="D1413" s="293"/>
      <c r="E1413" s="28" t="s">
        <v>4266</v>
      </c>
      <c r="F1413" s="124" t="s">
        <v>3332</v>
      </c>
      <c r="G1413" s="182"/>
      <c r="H1413" s="125"/>
      <c r="I1413" s="110" t="s">
        <v>842</v>
      </c>
      <c r="J1413" s="111"/>
      <c r="K1413" s="104" t="s">
        <v>2700</v>
      </c>
      <c r="L1413" s="105"/>
      <c r="M1413" s="173" t="s">
        <v>4249</v>
      </c>
      <c r="N1413" s="276"/>
      <c r="O1413" s="174"/>
      <c r="P1413" s="126" t="s">
        <v>688</v>
      </c>
      <c r="Q1413" s="127"/>
      <c r="R1413" s="155">
        <v>7</v>
      </c>
      <c r="S1413" s="157"/>
      <c r="T1413" s="155">
        <v>3</v>
      </c>
      <c r="U1413" s="157"/>
      <c r="V1413" s="173" t="s">
        <v>4250</v>
      </c>
      <c r="W1413" s="174"/>
      <c r="X1413" s="297"/>
      <c r="Y1413" s="298"/>
      <c r="Z1413" s="299"/>
      <c r="AA1413" s="235"/>
      <c r="AB1413" s="236"/>
      <c r="AC1413" s="162"/>
      <c r="AD1413" s="163"/>
      <c r="AE1413" s="31"/>
      <c r="AF1413" s="167"/>
      <c r="AG1413" s="168"/>
      <c r="AH1413" s="169"/>
      <c r="AI1413" s="167"/>
      <c r="AJ1413" s="48"/>
      <c r="AK1413" s="15"/>
      <c r="AL1413" s="15"/>
    </row>
    <row r="1414" spans="1:38" ht="75" x14ac:dyDescent="0.3">
      <c r="A1414" s="230"/>
      <c r="B1414" s="290"/>
      <c r="C1414" s="345"/>
      <c r="D1414" s="291"/>
      <c r="E1414" s="28" t="s">
        <v>4267</v>
      </c>
      <c r="F1414" s="124" t="s">
        <v>4257</v>
      </c>
      <c r="G1414" s="182"/>
      <c r="H1414" s="125"/>
      <c r="I1414" s="110" t="s">
        <v>1090</v>
      </c>
      <c r="J1414" s="111"/>
      <c r="K1414" s="146" t="s">
        <v>2700</v>
      </c>
      <c r="L1414" s="148"/>
      <c r="M1414" s="173" t="s">
        <v>4249</v>
      </c>
      <c r="N1414" s="276"/>
      <c r="O1414" s="174"/>
      <c r="P1414" s="117" t="s">
        <v>688</v>
      </c>
      <c r="Q1414" s="118"/>
      <c r="R1414" s="160">
        <v>7</v>
      </c>
      <c r="S1414" s="161"/>
      <c r="T1414" s="160">
        <v>3</v>
      </c>
      <c r="U1414" s="161"/>
      <c r="V1414" s="173" t="s">
        <v>4250</v>
      </c>
      <c r="W1414" s="174"/>
      <c r="X1414" s="300"/>
      <c r="Y1414" s="301"/>
      <c r="Z1414" s="302"/>
      <c r="AA1414" s="237"/>
      <c r="AB1414" s="238"/>
      <c r="AC1414" s="212"/>
      <c r="AD1414" s="213"/>
      <c r="AE1414" s="31"/>
      <c r="AF1414" s="214"/>
      <c r="AG1414" s="215"/>
      <c r="AH1414" s="216"/>
      <c r="AI1414" s="167"/>
      <c r="AJ1414" s="48"/>
      <c r="AK1414" s="15"/>
      <c r="AL1414" s="15"/>
    </row>
    <row r="1415" spans="1:38" ht="90" x14ac:dyDescent="0.3">
      <c r="A1415" s="178"/>
      <c r="B1415" s="303" t="s">
        <v>4268</v>
      </c>
      <c r="C1415" s="344"/>
      <c r="D1415" s="304"/>
      <c r="E1415" s="28" t="s">
        <v>4269</v>
      </c>
      <c r="F1415" s="233" t="s">
        <v>4270</v>
      </c>
      <c r="G1415" s="305"/>
      <c r="H1415" s="234"/>
      <c r="I1415" s="110" t="s">
        <v>1854</v>
      </c>
      <c r="J1415" s="111"/>
      <c r="K1415" s="143" t="s">
        <v>4271</v>
      </c>
      <c r="L1415" s="145"/>
      <c r="M1415" s="183">
        <v>55</v>
      </c>
      <c r="N1415" s="184"/>
      <c r="O1415" s="185"/>
      <c r="P1415" s="208" t="s">
        <v>4272</v>
      </c>
      <c r="Q1415" s="209"/>
      <c r="R1415" s="114" t="s">
        <v>1463</v>
      </c>
      <c r="S1415" s="116"/>
      <c r="T1415" s="112">
        <v>7</v>
      </c>
      <c r="U1415" s="113"/>
      <c r="V1415" s="173" t="s">
        <v>4273</v>
      </c>
      <c r="W1415" s="174"/>
      <c r="X1415" s="252">
        <v>109</v>
      </c>
      <c r="Y1415" s="253"/>
      <c r="Z1415" s="254"/>
      <c r="AA1415" s="233" t="s">
        <v>826</v>
      </c>
      <c r="AB1415" s="234"/>
      <c r="AC1415" s="223" t="s">
        <v>3194</v>
      </c>
      <c r="AD1415" s="224"/>
      <c r="AE1415" s="24" t="s">
        <v>4276</v>
      </c>
      <c r="AF1415" s="164"/>
      <c r="AG1415" s="165"/>
      <c r="AH1415" s="166"/>
      <c r="AI1415" s="167"/>
      <c r="AJ1415" s="48"/>
      <c r="AK1415" s="15"/>
      <c r="AL1415" s="15"/>
    </row>
    <row r="1416" spans="1:38" ht="90" x14ac:dyDescent="0.3">
      <c r="A1416" s="179"/>
      <c r="B1416" s="292"/>
      <c r="C1416" s="314"/>
      <c r="D1416" s="293"/>
      <c r="E1416" s="28" t="s">
        <v>4278</v>
      </c>
      <c r="F1416" s="235"/>
      <c r="G1416" s="270"/>
      <c r="H1416" s="236"/>
      <c r="I1416" s="110" t="s">
        <v>1685</v>
      </c>
      <c r="J1416" s="111"/>
      <c r="K1416" s="104" t="s">
        <v>4271</v>
      </c>
      <c r="L1416" s="105"/>
      <c r="M1416" s="183">
        <v>55</v>
      </c>
      <c r="N1416" s="184"/>
      <c r="O1416" s="185"/>
      <c r="P1416" s="280" t="s">
        <v>4272</v>
      </c>
      <c r="Q1416" s="281"/>
      <c r="R1416" s="183">
        <v>9</v>
      </c>
      <c r="S1416" s="185"/>
      <c r="T1416" s="155">
        <v>7</v>
      </c>
      <c r="U1416" s="157"/>
      <c r="V1416" s="173" t="s">
        <v>4279</v>
      </c>
      <c r="W1416" s="174"/>
      <c r="X1416" s="311"/>
      <c r="Y1416" s="312"/>
      <c r="Z1416" s="313"/>
      <c r="AA1416" s="235"/>
      <c r="AB1416" s="236"/>
      <c r="AC1416" s="239" t="s">
        <v>4274</v>
      </c>
      <c r="AD1416" s="240"/>
      <c r="AE1416" s="31" t="s">
        <v>1356</v>
      </c>
      <c r="AF1416" s="167"/>
      <c r="AG1416" s="168"/>
      <c r="AH1416" s="169"/>
      <c r="AI1416" s="167"/>
      <c r="AJ1416" s="48"/>
      <c r="AK1416" s="15"/>
      <c r="AL1416" s="15"/>
    </row>
    <row r="1417" spans="1:38" ht="90" x14ac:dyDescent="0.3">
      <c r="A1417" s="179"/>
      <c r="B1417" s="292"/>
      <c r="C1417" s="314"/>
      <c r="D1417" s="293"/>
      <c r="E1417" s="28" t="s">
        <v>4280</v>
      </c>
      <c r="F1417" s="235"/>
      <c r="G1417" s="270"/>
      <c r="H1417" s="236"/>
      <c r="I1417" s="110" t="s">
        <v>1854</v>
      </c>
      <c r="J1417" s="111"/>
      <c r="K1417" s="104" t="s">
        <v>4271</v>
      </c>
      <c r="L1417" s="105"/>
      <c r="M1417" s="183">
        <v>55</v>
      </c>
      <c r="N1417" s="184"/>
      <c r="O1417" s="185"/>
      <c r="P1417" s="280" t="s">
        <v>4272</v>
      </c>
      <c r="Q1417" s="281"/>
      <c r="R1417" s="114" t="s">
        <v>1463</v>
      </c>
      <c r="S1417" s="116"/>
      <c r="T1417" s="155">
        <v>7</v>
      </c>
      <c r="U1417" s="157"/>
      <c r="V1417" s="173" t="s">
        <v>4273</v>
      </c>
      <c r="W1417" s="174"/>
      <c r="X1417" s="311"/>
      <c r="Y1417" s="312"/>
      <c r="Z1417" s="313"/>
      <c r="AA1417" s="235"/>
      <c r="AB1417" s="236"/>
      <c r="AC1417" s="239" t="s">
        <v>2211</v>
      </c>
      <c r="AD1417" s="240"/>
      <c r="AE1417" s="31" t="s">
        <v>4277</v>
      </c>
      <c r="AF1417" s="167"/>
      <c r="AG1417" s="168"/>
      <c r="AH1417" s="169"/>
      <c r="AI1417" s="167"/>
      <c r="AJ1417" s="48"/>
      <c r="AK1417" s="15"/>
      <c r="AL1417" s="15"/>
    </row>
    <row r="1418" spans="1:38" ht="90" x14ac:dyDescent="0.3">
      <c r="A1418" s="179"/>
      <c r="B1418" s="292"/>
      <c r="C1418" s="314"/>
      <c r="D1418" s="293"/>
      <c r="E1418" s="28" t="s">
        <v>4281</v>
      </c>
      <c r="F1418" s="235"/>
      <c r="G1418" s="270"/>
      <c r="H1418" s="236"/>
      <c r="I1418" s="110" t="s">
        <v>1685</v>
      </c>
      <c r="J1418" s="111"/>
      <c r="K1418" s="104" t="s">
        <v>4271</v>
      </c>
      <c r="L1418" s="105"/>
      <c r="M1418" s="183">
        <v>55</v>
      </c>
      <c r="N1418" s="184"/>
      <c r="O1418" s="185"/>
      <c r="P1418" s="280" t="s">
        <v>4272</v>
      </c>
      <c r="Q1418" s="281"/>
      <c r="R1418" s="183">
        <v>9</v>
      </c>
      <c r="S1418" s="185"/>
      <c r="T1418" s="155">
        <v>7</v>
      </c>
      <c r="U1418" s="157"/>
      <c r="V1418" s="173" t="s">
        <v>4279</v>
      </c>
      <c r="W1418" s="174"/>
      <c r="X1418" s="311"/>
      <c r="Y1418" s="312"/>
      <c r="Z1418" s="313"/>
      <c r="AA1418" s="235"/>
      <c r="AB1418" s="236"/>
      <c r="AC1418" s="239" t="s">
        <v>4275</v>
      </c>
      <c r="AD1418" s="240"/>
      <c r="AE1418" s="31"/>
      <c r="AF1418" s="167"/>
      <c r="AG1418" s="168"/>
      <c r="AH1418" s="169"/>
      <c r="AI1418" s="167"/>
      <c r="AJ1418" s="48"/>
      <c r="AK1418" s="15"/>
      <c r="AL1418" s="15"/>
    </row>
    <row r="1419" spans="1:38" ht="90" x14ac:dyDescent="0.3">
      <c r="A1419" s="179"/>
      <c r="B1419" s="292"/>
      <c r="C1419" s="314"/>
      <c r="D1419" s="293"/>
      <c r="E1419" s="28" t="s">
        <v>4282</v>
      </c>
      <c r="F1419" s="235"/>
      <c r="G1419" s="270"/>
      <c r="H1419" s="236"/>
      <c r="I1419" s="110" t="s">
        <v>1854</v>
      </c>
      <c r="J1419" s="111"/>
      <c r="K1419" s="104" t="s">
        <v>4271</v>
      </c>
      <c r="L1419" s="105"/>
      <c r="M1419" s="183">
        <v>55</v>
      </c>
      <c r="N1419" s="184"/>
      <c r="O1419" s="185"/>
      <c r="P1419" s="280" t="s">
        <v>4272</v>
      </c>
      <c r="Q1419" s="281"/>
      <c r="R1419" s="114" t="s">
        <v>1463</v>
      </c>
      <c r="S1419" s="116"/>
      <c r="T1419" s="155">
        <v>7</v>
      </c>
      <c r="U1419" s="157"/>
      <c r="V1419" s="173" t="s">
        <v>4273</v>
      </c>
      <c r="W1419" s="174"/>
      <c r="X1419" s="311"/>
      <c r="Y1419" s="312"/>
      <c r="Z1419" s="313"/>
      <c r="AA1419" s="235"/>
      <c r="AB1419" s="236"/>
      <c r="AC1419" s="239"/>
      <c r="AD1419" s="240"/>
      <c r="AE1419" s="31"/>
      <c r="AF1419" s="167"/>
      <c r="AG1419" s="168"/>
      <c r="AH1419" s="169"/>
      <c r="AI1419" s="167"/>
      <c r="AJ1419" s="48"/>
      <c r="AK1419" s="15"/>
      <c r="AL1419" s="15"/>
    </row>
    <row r="1420" spans="1:38" ht="90" x14ac:dyDescent="0.3">
      <c r="A1420" s="179"/>
      <c r="B1420" s="292"/>
      <c r="C1420" s="314"/>
      <c r="D1420" s="293"/>
      <c r="E1420" s="28" t="s">
        <v>4283</v>
      </c>
      <c r="F1420" s="237"/>
      <c r="G1420" s="306"/>
      <c r="H1420" s="238"/>
      <c r="I1420" s="110" t="s">
        <v>1685</v>
      </c>
      <c r="J1420" s="111"/>
      <c r="K1420" s="146" t="s">
        <v>4271</v>
      </c>
      <c r="L1420" s="148"/>
      <c r="M1420" s="183">
        <v>55</v>
      </c>
      <c r="N1420" s="184"/>
      <c r="O1420" s="185"/>
      <c r="P1420" s="210" t="s">
        <v>4272</v>
      </c>
      <c r="Q1420" s="211"/>
      <c r="R1420" s="183">
        <v>9</v>
      </c>
      <c r="S1420" s="185"/>
      <c r="T1420" s="160">
        <v>7</v>
      </c>
      <c r="U1420" s="161"/>
      <c r="V1420" s="173" t="s">
        <v>4279</v>
      </c>
      <c r="W1420" s="174"/>
      <c r="X1420" s="255"/>
      <c r="Y1420" s="256"/>
      <c r="Z1420" s="257"/>
      <c r="AA1420" s="237"/>
      <c r="AB1420" s="238"/>
      <c r="AC1420" s="239"/>
      <c r="AD1420" s="240"/>
      <c r="AE1420" s="31"/>
      <c r="AF1420" s="167"/>
      <c r="AG1420" s="168"/>
      <c r="AH1420" s="169"/>
      <c r="AI1420" s="167"/>
      <c r="AJ1420" s="48"/>
      <c r="AK1420" s="15"/>
      <c r="AL1420" s="15"/>
    </row>
    <row r="1421" spans="1:38" ht="90" x14ac:dyDescent="0.3">
      <c r="A1421" s="179"/>
      <c r="B1421" s="292"/>
      <c r="C1421" s="314"/>
      <c r="D1421" s="293"/>
      <c r="E1421" s="28" t="s">
        <v>4284</v>
      </c>
      <c r="F1421" s="233" t="s">
        <v>4285</v>
      </c>
      <c r="G1421" s="305"/>
      <c r="H1421" s="234"/>
      <c r="I1421" s="110" t="s">
        <v>901</v>
      </c>
      <c r="J1421" s="111"/>
      <c r="K1421" s="143" t="s">
        <v>4286</v>
      </c>
      <c r="L1421" s="145"/>
      <c r="M1421" s="183">
        <v>57</v>
      </c>
      <c r="N1421" s="184"/>
      <c r="O1421" s="185"/>
      <c r="P1421" s="208" t="s">
        <v>4272</v>
      </c>
      <c r="Q1421" s="209"/>
      <c r="R1421" s="114" t="s">
        <v>3478</v>
      </c>
      <c r="S1421" s="116"/>
      <c r="T1421" s="112">
        <v>7</v>
      </c>
      <c r="U1421" s="113"/>
      <c r="V1421" s="173" t="s">
        <v>4287</v>
      </c>
      <c r="W1421" s="174"/>
      <c r="X1421" s="252">
        <v>109</v>
      </c>
      <c r="Y1421" s="253"/>
      <c r="Z1421" s="254"/>
      <c r="AA1421" s="233" t="s">
        <v>1023</v>
      </c>
      <c r="AB1421" s="234"/>
      <c r="AC1421" s="239"/>
      <c r="AD1421" s="240"/>
      <c r="AE1421" s="31"/>
      <c r="AF1421" s="167"/>
      <c r="AG1421" s="168"/>
      <c r="AH1421" s="169"/>
      <c r="AI1421" s="167"/>
      <c r="AJ1421" s="48"/>
      <c r="AK1421" s="15"/>
      <c r="AL1421" s="15"/>
    </row>
    <row r="1422" spans="1:38" ht="90" x14ac:dyDescent="0.3">
      <c r="A1422" s="179"/>
      <c r="B1422" s="292"/>
      <c r="C1422" s="314"/>
      <c r="D1422" s="293"/>
      <c r="E1422" s="28" t="s">
        <v>4288</v>
      </c>
      <c r="F1422" s="235"/>
      <c r="G1422" s="270"/>
      <c r="H1422" s="236"/>
      <c r="I1422" s="110" t="s">
        <v>1071</v>
      </c>
      <c r="J1422" s="111"/>
      <c r="K1422" s="104" t="s">
        <v>4286</v>
      </c>
      <c r="L1422" s="105"/>
      <c r="M1422" s="183">
        <v>57</v>
      </c>
      <c r="N1422" s="184"/>
      <c r="O1422" s="185"/>
      <c r="P1422" s="280" t="s">
        <v>4272</v>
      </c>
      <c r="Q1422" s="281"/>
      <c r="R1422" s="114" t="s">
        <v>3532</v>
      </c>
      <c r="S1422" s="116"/>
      <c r="T1422" s="155">
        <v>7</v>
      </c>
      <c r="U1422" s="157"/>
      <c r="V1422" s="173" t="s">
        <v>4289</v>
      </c>
      <c r="W1422" s="174"/>
      <c r="X1422" s="311"/>
      <c r="Y1422" s="312"/>
      <c r="Z1422" s="313"/>
      <c r="AA1422" s="235"/>
      <c r="AB1422" s="236"/>
      <c r="AC1422" s="239"/>
      <c r="AD1422" s="240"/>
      <c r="AE1422" s="31"/>
      <c r="AF1422" s="167"/>
      <c r="AG1422" s="168"/>
      <c r="AH1422" s="169"/>
      <c r="AI1422" s="167"/>
      <c r="AJ1422" s="48"/>
      <c r="AK1422" s="15"/>
      <c r="AL1422" s="15"/>
    </row>
    <row r="1423" spans="1:38" ht="90" x14ac:dyDescent="0.3">
      <c r="A1423" s="179"/>
      <c r="B1423" s="292"/>
      <c r="C1423" s="314"/>
      <c r="D1423" s="293"/>
      <c r="E1423" s="28" t="s">
        <v>4290</v>
      </c>
      <c r="F1423" s="235"/>
      <c r="G1423" s="270"/>
      <c r="H1423" s="236"/>
      <c r="I1423" s="110" t="s">
        <v>901</v>
      </c>
      <c r="J1423" s="111"/>
      <c r="K1423" s="104" t="s">
        <v>4286</v>
      </c>
      <c r="L1423" s="105"/>
      <c r="M1423" s="183">
        <v>57</v>
      </c>
      <c r="N1423" s="184"/>
      <c r="O1423" s="185"/>
      <c r="P1423" s="280" t="s">
        <v>4272</v>
      </c>
      <c r="Q1423" s="281"/>
      <c r="R1423" s="114" t="s">
        <v>3478</v>
      </c>
      <c r="S1423" s="116"/>
      <c r="T1423" s="155">
        <v>7</v>
      </c>
      <c r="U1423" s="157"/>
      <c r="V1423" s="173" t="s">
        <v>4287</v>
      </c>
      <c r="W1423" s="174"/>
      <c r="X1423" s="311"/>
      <c r="Y1423" s="312"/>
      <c r="Z1423" s="313"/>
      <c r="AA1423" s="235"/>
      <c r="AB1423" s="236"/>
      <c r="AC1423" s="239"/>
      <c r="AD1423" s="240"/>
      <c r="AE1423" s="31"/>
      <c r="AF1423" s="167"/>
      <c r="AG1423" s="168"/>
      <c r="AH1423" s="169"/>
      <c r="AI1423" s="167"/>
      <c r="AJ1423" s="48"/>
      <c r="AK1423" s="15"/>
      <c r="AL1423" s="15"/>
    </row>
    <row r="1424" spans="1:38" ht="90" x14ac:dyDescent="0.3">
      <c r="A1424" s="179"/>
      <c r="B1424" s="292"/>
      <c r="C1424" s="314"/>
      <c r="D1424" s="293"/>
      <c r="E1424" s="28" t="s">
        <v>4291</v>
      </c>
      <c r="F1424" s="235"/>
      <c r="G1424" s="270"/>
      <c r="H1424" s="236"/>
      <c r="I1424" s="110" t="s">
        <v>1071</v>
      </c>
      <c r="J1424" s="111"/>
      <c r="K1424" s="104" t="s">
        <v>4286</v>
      </c>
      <c r="L1424" s="105"/>
      <c r="M1424" s="183">
        <v>57</v>
      </c>
      <c r="N1424" s="184"/>
      <c r="O1424" s="185"/>
      <c r="P1424" s="280" t="s">
        <v>4272</v>
      </c>
      <c r="Q1424" s="281"/>
      <c r="R1424" s="114" t="s">
        <v>3532</v>
      </c>
      <c r="S1424" s="116"/>
      <c r="T1424" s="155">
        <v>7</v>
      </c>
      <c r="U1424" s="157"/>
      <c r="V1424" s="173" t="s">
        <v>4289</v>
      </c>
      <c r="W1424" s="174"/>
      <c r="X1424" s="311"/>
      <c r="Y1424" s="312"/>
      <c r="Z1424" s="313"/>
      <c r="AA1424" s="235"/>
      <c r="AB1424" s="236"/>
      <c r="AC1424" s="239"/>
      <c r="AD1424" s="240"/>
      <c r="AE1424" s="31"/>
      <c r="AF1424" s="167"/>
      <c r="AG1424" s="168"/>
      <c r="AH1424" s="169"/>
      <c r="AI1424" s="167"/>
      <c r="AJ1424" s="48"/>
      <c r="AK1424" s="15"/>
      <c r="AL1424" s="15"/>
    </row>
    <row r="1425" spans="1:38" ht="90" x14ac:dyDescent="0.3">
      <c r="A1425" s="179"/>
      <c r="B1425" s="292"/>
      <c r="C1425" s="314"/>
      <c r="D1425" s="293"/>
      <c r="E1425" s="28" t="s">
        <v>4292</v>
      </c>
      <c r="F1425" s="235"/>
      <c r="G1425" s="270"/>
      <c r="H1425" s="236"/>
      <c r="I1425" s="110" t="s">
        <v>901</v>
      </c>
      <c r="J1425" s="111"/>
      <c r="K1425" s="104" t="s">
        <v>4286</v>
      </c>
      <c r="L1425" s="105"/>
      <c r="M1425" s="183">
        <v>57</v>
      </c>
      <c r="N1425" s="184"/>
      <c r="O1425" s="185"/>
      <c r="P1425" s="280" t="s">
        <v>4272</v>
      </c>
      <c r="Q1425" s="281"/>
      <c r="R1425" s="114" t="s">
        <v>3478</v>
      </c>
      <c r="S1425" s="116"/>
      <c r="T1425" s="155">
        <v>7</v>
      </c>
      <c r="U1425" s="157"/>
      <c r="V1425" s="173" t="s">
        <v>4287</v>
      </c>
      <c r="W1425" s="174"/>
      <c r="X1425" s="311"/>
      <c r="Y1425" s="312"/>
      <c r="Z1425" s="313"/>
      <c r="AA1425" s="235"/>
      <c r="AB1425" s="236"/>
      <c r="AC1425" s="239"/>
      <c r="AD1425" s="240"/>
      <c r="AE1425" s="31"/>
      <c r="AF1425" s="167"/>
      <c r="AG1425" s="168"/>
      <c r="AH1425" s="169"/>
      <c r="AI1425" s="167"/>
      <c r="AJ1425" s="48"/>
      <c r="AK1425" s="15"/>
      <c r="AL1425" s="15"/>
    </row>
    <row r="1426" spans="1:38" ht="90" x14ac:dyDescent="0.3">
      <c r="A1426" s="230"/>
      <c r="B1426" s="290"/>
      <c r="C1426" s="345"/>
      <c r="D1426" s="291"/>
      <c r="E1426" s="28" t="s">
        <v>4293</v>
      </c>
      <c r="F1426" s="237"/>
      <c r="G1426" s="306"/>
      <c r="H1426" s="238"/>
      <c r="I1426" s="110" t="s">
        <v>1071</v>
      </c>
      <c r="J1426" s="111"/>
      <c r="K1426" s="146" t="s">
        <v>4286</v>
      </c>
      <c r="L1426" s="148"/>
      <c r="M1426" s="183">
        <v>57</v>
      </c>
      <c r="N1426" s="184"/>
      <c r="O1426" s="185"/>
      <c r="P1426" s="210" t="s">
        <v>4272</v>
      </c>
      <c r="Q1426" s="211"/>
      <c r="R1426" s="114" t="s">
        <v>3532</v>
      </c>
      <c r="S1426" s="116"/>
      <c r="T1426" s="160">
        <v>7</v>
      </c>
      <c r="U1426" s="161"/>
      <c r="V1426" s="173" t="s">
        <v>4289</v>
      </c>
      <c r="W1426" s="174"/>
      <c r="X1426" s="255"/>
      <c r="Y1426" s="256"/>
      <c r="Z1426" s="257"/>
      <c r="AA1426" s="237"/>
      <c r="AB1426" s="238"/>
      <c r="AC1426" s="225"/>
      <c r="AD1426" s="226"/>
      <c r="AE1426" s="31"/>
      <c r="AF1426" s="214"/>
      <c r="AG1426" s="215"/>
      <c r="AH1426" s="216"/>
      <c r="AI1426" s="214"/>
      <c r="AJ1426" s="48"/>
      <c r="AK1426" s="15"/>
      <c r="AL1426" s="15"/>
    </row>
    <row r="1427" spans="1:38" ht="75" x14ac:dyDescent="0.3">
      <c r="A1427" s="178"/>
      <c r="B1427" s="303" t="s">
        <v>4294</v>
      </c>
      <c r="C1427" s="344"/>
      <c r="D1427" s="304"/>
      <c r="E1427" s="28" t="s">
        <v>4295</v>
      </c>
      <c r="F1427" s="124" t="s">
        <v>4296</v>
      </c>
      <c r="G1427" s="182"/>
      <c r="H1427" s="125"/>
      <c r="I1427" s="110" t="s">
        <v>3205</v>
      </c>
      <c r="J1427" s="111"/>
      <c r="K1427" s="110" t="s">
        <v>4297</v>
      </c>
      <c r="L1427" s="111"/>
      <c r="M1427" s="183">
        <v>4</v>
      </c>
      <c r="N1427" s="184"/>
      <c r="O1427" s="185"/>
      <c r="P1427" s="285">
        <v>1</v>
      </c>
      <c r="Q1427" s="286"/>
      <c r="R1427" s="88">
        <v>3</v>
      </c>
      <c r="S1427" s="89"/>
      <c r="T1427" s="183">
        <v>1</v>
      </c>
      <c r="U1427" s="185"/>
      <c r="V1427" s="180" t="s">
        <v>3478</v>
      </c>
      <c r="W1427" s="181"/>
      <c r="X1427" s="488" t="s">
        <v>4298</v>
      </c>
      <c r="Y1427" s="489"/>
      <c r="Z1427" s="490"/>
      <c r="AA1427" s="110" t="s">
        <v>4299</v>
      </c>
      <c r="AB1427" s="111"/>
      <c r="AC1427" s="88" t="s">
        <v>3194</v>
      </c>
      <c r="AD1427" s="89"/>
      <c r="AE1427" s="24" t="s">
        <v>4302</v>
      </c>
      <c r="AF1427" s="164"/>
      <c r="AG1427" s="165"/>
      <c r="AH1427" s="166"/>
      <c r="AI1427" s="24" t="s">
        <v>4304</v>
      </c>
      <c r="AJ1427" s="48"/>
      <c r="AK1427" s="15"/>
      <c r="AL1427" s="15"/>
    </row>
    <row r="1428" spans="1:38" ht="45" x14ac:dyDescent="0.3">
      <c r="A1428" s="179"/>
      <c r="B1428" s="292"/>
      <c r="C1428" s="314"/>
      <c r="D1428" s="293"/>
      <c r="E1428" s="28" t="s">
        <v>4306</v>
      </c>
      <c r="F1428" s="124" t="s">
        <v>4307</v>
      </c>
      <c r="G1428" s="182"/>
      <c r="H1428" s="125"/>
      <c r="I1428" s="110" t="s">
        <v>4308</v>
      </c>
      <c r="J1428" s="111"/>
      <c r="K1428" s="110" t="s">
        <v>4309</v>
      </c>
      <c r="L1428" s="111"/>
      <c r="M1428" s="110" t="s">
        <v>1124</v>
      </c>
      <c r="N1428" s="138"/>
      <c r="O1428" s="111"/>
      <c r="P1428" s="180" t="s">
        <v>4086</v>
      </c>
      <c r="Q1428" s="181"/>
      <c r="R1428" s="126" t="s">
        <v>1127</v>
      </c>
      <c r="S1428" s="127"/>
      <c r="T1428" s="183">
        <v>1</v>
      </c>
      <c r="U1428" s="185"/>
      <c r="V1428" s="180" t="s">
        <v>4310</v>
      </c>
      <c r="W1428" s="181"/>
      <c r="X1428" s="175" t="s">
        <v>4102</v>
      </c>
      <c r="Y1428" s="176"/>
      <c r="Z1428" s="177"/>
      <c r="AA1428" s="110" t="s">
        <v>1537</v>
      </c>
      <c r="AB1428" s="111"/>
      <c r="AC1428" s="126" t="s">
        <v>4300</v>
      </c>
      <c r="AD1428" s="127"/>
      <c r="AE1428" s="31" t="s">
        <v>1356</v>
      </c>
      <c r="AF1428" s="167"/>
      <c r="AG1428" s="168"/>
      <c r="AH1428" s="169"/>
      <c r="AI1428" s="31" t="s">
        <v>681</v>
      </c>
      <c r="AJ1428" s="48"/>
      <c r="AK1428" s="15"/>
      <c r="AL1428" s="15"/>
    </row>
    <row r="1429" spans="1:38" ht="60" x14ac:dyDescent="0.3">
      <c r="A1429" s="179"/>
      <c r="B1429" s="292"/>
      <c r="C1429" s="314"/>
      <c r="D1429" s="293"/>
      <c r="E1429" s="28" t="s">
        <v>4311</v>
      </c>
      <c r="F1429" s="124" t="s">
        <v>4296</v>
      </c>
      <c r="G1429" s="182"/>
      <c r="H1429" s="125"/>
      <c r="I1429" s="110" t="s">
        <v>3205</v>
      </c>
      <c r="J1429" s="111"/>
      <c r="K1429" s="110" t="s">
        <v>4297</v>
      </c>
      <c r="L1429" s="111"/>
      <c r="M1429" s="183">
        <v>4</v>
      </c>
      <c r="N1429" s="184"/>
      <c r="O1429" s="185"/>
      <c r="P1429" s="285">
        <v>1</v>
      </c>
      <c r="Q1429" s="286"/>
      <c r="R1429" s="126">
        <v>3</v>
      </c>
      <c r="S1429" s="127"/>
      <c r="T1429" s="183">
        <v>1</v>
      </c>
      <c r="U1429" s="185"/>
      <c r="V1429" s="180" t="s">
        <v>3478</v>
      </c>
      <c r="W1429" s="181"/>
      <c r="X1429" s="488" t="s">
        <v>4298</v>
      </c>
      <c r="Y1429" s="489"/>
      <c r="Z1429" s="490"/>
      <c r="AA1429" s="110" t="s">
        <v>4299</v>
      </c>
      <c r="AB1429" s="111"/>
      <c r="AC1429" s="126" t="s">
        <v>4301</v>
      </c>
      <c r="AD1429" s="127"/>
      <c r="AE1429" s="31" t="s">
        <v>4303</v>
      </c>
      <c r="AF1429" s="167"/>
      <c r="AG1429" s="168"/>
      <c r="AH1429" s="169"/>
      <c r="AI1429" s="31" t="s">
        <v>4305</v>
      </c>
      <c r="AJ1429" s="48"/>
      <c r="AK1429" s="15"/>
      <c r="AL1429" s="15"/>
    </row>
    <row r="1430" spans="1:38" ht="45" x14ac:dyDescent="0.3">
      <c r="A1430" s="179"/>
      <c r="B1430" s="292"/>
      <c r="C1430" s="314"/>
      <c r="D1430" s="293"/>
      <c r="E1430" s="28" t="s">
        <v>4312</v>
      </c>
      <c r="F1430" s="124" t="s">
        <v>4307</v>
      </c>
      <c r="G1430" s="182"/>
      <c r="H1430" s="125"/>
      <c r="I1430" s="110" t="s">
        <v>4308</v>
      </c>
      <c r="J1430" s="111"/>
      <c r="K1430" s="110" t="s">
        <v>4309</v>
      </c>
      <c r="L1430" s="111"/>
      <c r="M1430" s="110" t="s">
        <v>1124</v>
      </c>
      <c r="N1430" s="138"/>
      <c r="O1430" s="111"/>
      <c r="P1430" s="180" t="s">
        <v>4086</v>
      </c>
      <c r="Q1430" s="181"/>
      <c r="R1430" s="126" t="s">
        <v>1127</v>
      </c>
      <c r="S1430" s="127"/>
      <c r="T1430" s="183">
        <v>1</v>
      </c>
      <c r="U1430" s="185"/>
      <c r="V1430" s="180" t="s">
        <v>4310</v>
      </c>
      <c r="W1430" s="181"/>
      <c r="X1430" s="175" t="s">
        <v>4102</v>
      </c>
      <c r="Y1430" s="176"/>
      <c r="Z1430" s="177"/>
      <c r="AA1430" s="110" t="s">
        <v>1537</v>
      </c>
      <c r="AB1430" s="111"/>
      <c r="AC1430" s="126"/>
      <c r="AD1430" s="127"/>
      <c r="AE1430" s="31"/>
      <c r="AF1430" s="167"/>
      <c r="AG1430" s="168"/>
      <c r="AH1430" s="169"/>
      <c r="AI1430" s="31"/>
      <c r="AJ1430" s="48"/>
      <c r="AK1430" s="15"/>
      <c r="AL1430" s="15"/>
    </row>
    <row r="1431" spans="1:38" ht="60" x14ac:dyDescent="0.3">
      <c r="A1431" s="179"/>
      <c r="B1431" s="292"/>
      <c r="C1431" s="314"/>
      <c r="D1431" s="293"/>
      <c r="E1431" s="28" t="s">
        <v>4313</v>
      </c>
      <c r="F1431" s="124" t="s">
        <v>4296</v>
      </c>
      <c r="G1431" s="182"/>
      <c r="H1431" s="125"/>
      <c r="I1431" s="110" t="s">
        <v>3205</v>
      </c>
      <c r="J1431" s="111"/>
      <c r="K1431" s="110" t="s">
        <v>4297</v>
      </c>
      <c r="L1431" s="111"/>
      <c r="M1431" s="110" t="s">
        <v>1127</v>
      </c>
      <c r="N1431" s="138"/>
      <c r="O1431" s="111"/>
      <c r="P1431" s="285">
        <v>1</v>
      </c>
      <c r="Q1431" s="286"/>
      <c r="R1431" s="126">
        <v>3</v>
      </c>
      <c r="S1431" s="127"/>
      <c r="T1431" s="183">
        <v>1</v>
      </c>
      <c r="U1431" s="185"/>
      <c r="V1431" s="180" t="s">
        <v>1087</v>
      </c>
      <c r="W1431" s="181"/>
      <c r="X1431" s="175" t="s">
        <v>2092</v>
      </c>
      <c r="Y1431" s="176"/>
      <c r="Z1431" s="177"/>
      <c r="AA1431" s="110" t="s">
        <v>1298</v>
      </c>
      <c r="AB1431" s="111"/>
      <c r="AC1431" s="126"/>
      <c r="AD1431" s="127"/>
      <c r="AE1431" s="31"/>
      <c r="AF1431" s="167"/>
      <c r="AG1431" s="168"/>
      <c r="AH1431" s="169"/>
      <c r="AI1431" s="31"/>
      <c r="AJ1431" s="48"/>
      <c r="AK1431" s="15"/>
      <c r="AL1431" s="15"/>
    </row>
    <row r="1432" spans="1:38" ht="45" x14ac:dyDescent="0.3">
      <c r="A1432" s="230"/>
      <c r="B1432" s="290"/>
      <c r="C1432" s="345"/>
      <c r="D1432" s="291"/>
      <c r="E1432" s="28" t="s">
        <v>4314</v>
      </c>
      <c r="F1432" s="124" t="s">
        <v>4307</v>
      </c>
      <c r="G1432" s="182"/>
      <c r="H1432" s="125"/>
      <c r="I1432" s="110" t="s">
        <v>4308</v>
      </c>
      <c r="J1432" s="111"/>
      <c r="K1432" s="110" t="s">
        <v>4309</v>
      </c>
      <c r="L1432" s="111"/>
      <c r="M1432" s="110" t="s">
        <v>1152</v>
      </c>
      <c r="N1432" s="138"/>
      <c r="O1432" s="111"/>
      <c r="P1432" s="180" t="s">
        <v>4086</v>
      </c>
      <c r="Q1432" s="181"/>
      <c r="R1432" s="117" t="s">
        <v>1127</v>
      </c>
      <c r="S1432" s="118"/>
      <c r="T1432" s="183">
        <v>1</v>
      </c>
      <c r="U1432" s="185"/>
      <c r="V1432" s="180" t="s">
        <v>1472</v>
      </c>
      <c r="W1432" s="181"/>
      <c r="X1432" s="175" t="s">
        <v>4094</v>
      </c>
      <c r="Y1432" s="176"/>
      <c r="Z1432" s="177"/>
      <c r="AA1432" s="110" t="s">
        <v>1062</v>
      </c>
      <c r="AB1432" s="111"/>
      <c r="AC1432" s="117"/>
      <c r="AD1432" s="118"/>
      <c r="AE1432" s="31"/>
      <c r="AF1432" s="214"/>
      <c r="AG1432" s="215"/>
      <c r="AH1432" s="216"/>
      <c r="AI1432" s="31"/>
      <c r="AJ1432" s="48"/>
      <c r="AK1432" s="15"/>
      <c r="AL1432" s="15"/>
    </row>
    <row r="1433" spans="1:38" ht="90" x14ac:dyDescent="0.25">
      <c r="A1433" s="178"/>
      <c r="B1433" s="303" t="s">
        <v>4315</v>
      </c>
      <c r="C1433" s="344"/>
      <c r="D1433" s="304"/>
      <c r="E1433" s="28" t="s">
        <v>4316</v>
      </c>
      <c r="F1433" s="124" t="s">
        <v>4317</v>
      </c>
      <c r="G1433" s="182"/>
      <c r="H1433" s="125"/>
      <c r="I1433" s="183">
        <v>1</v>
      </c>
      <c r="J1433" s="185"/>
      <c r="K1433" s="110" t="s">
        <v>4318</v>
      </c>
      <c r="L1433" s="111"/>
      <c r="M1433" s="183">
        <v>12</v>
      </c>
      <c r="N1433" s="184"/>
      <c r="O1433" s="185"/>
      <c r="P1433" s="173" t="s">
        <v>4319</v>
      </c>
      <c r="Q1433" s="174"/>
      <c r="R1433" s="112">
        <v>4</v>
      </c>
      <c r="S1433" s="113"/>
      <c r="T1433" s="183">
        <v>3</v>
      </c>
      <c r="U1433" s="185"/>
      <c r="V1433" s="173" t="s">
        <v>4320</v>
      </c>
      <c r="W1433" s="174"/>
      <c r="X1433" s="227">
        <v>25</v>
      </c>
      <c r="Y1433" s="228"/>
      <c r="Z1433" s="229"/>
      <c r="AA1433" s="110" t="s">
        <v>1369</v>
      </c>
      <c r="AB1433" s="111"/>
      <c r="AC1433" s="409" t="s">
        <v>3194</v>
      </c>
      <c r="AD1433" s="411"/>
      <c r="AE1433" s="35" t="s">
        <v>4323</v>
      </c>
      <c r="AF1433" s="303" t="s">
        <v>711</v>
      </c>
      <c r="AG1433" s="344"/>
      <c r="AH1433" s="304"/>
      <c r="AI1433" s="164"/>
      <c r="AJ1433" s="48"/>
      <c r="AK1433" s="15"/>
      <c r="AL1433" s="15"/>
    </row>
    <row r="1434" spans="1:38" ht="75" x14ac:dyDescent="0.25">
      <c r="A1434" s="179"/>
      <c r="B1434" s="292"/>
      <c r="C1434" s="314"/>
      <c r="D1434" s="293"/>
      <c r="E1434" s="28" t="s">
        <v>4325</v>
      </c>
      <c r="F1434" s="124" t="s">
        <v>4326</v>
      </c>
      <c r="G1434" s="182"/>
      <c r="H1434" s="125"/>
      <c r="I1434" s="110" t="s">
        <v>922</v>
      </c>
      <c r="J1434" s="111"/>
      <c r="K1434" s="110" t="s">
        <v>4327</v>
      </c>
      <c r="L1434" s="111"/>
      <c r="M1434" s="183">
        <v>14</v>
      </c>
      <c r="N1434" s="184"/>
      <c r="O1434" s="185"/>
      <c r="P1434" s="173" t="s">
        <v>2510</v>
      </c>
      <c r="Q1434" s="174"/>
      <c r="R1434" s="160">
        <v>4</v>
      </c>
      <c r="S1434" s="161"/>
      <c r="T1434" s="183">
        <v>3</v>
      </c>
      <c r="U1434" s="185"/>
      <c r="V1434" s="173" t="s">
        <v>4328</v>
      </c>
      <c r="W1434" s="174"/>
      <c r="X1434" s="227">
        <v>35</v>
      </c>
      <c r="Y1434" s="228"/>
      <c r="Z1434" s="229"/>
      <c r="AA1434" s="110" t="s">
        <v>717</v>
      </c>
      <c r="AB1434" s="111"/>
      <c r="AC1434" s="401" t="s">
        <v>4321</v>
      </c>
      <c r="AD1434" s="403"/>
      <c r="AE1434" s="36" t="s">
        <v>1356</v>
      </c>
      <c r="AF1434" s="292" t="s">
        <v>3401</v>
      </c>
      <c r="AG1434" s="314"/>
      <c r="AH1434" s="293"/>
      <c r="AI1434" s="167"/>
      <c r="AJ1434" s="48"/>
      <c r="AK1434" s="15"/>
      <c r="AL1434" s="15"/>
    </row>
    <row r="1435" spans="1:38" ht="75" x14ac:dyDescent="0.25">
      <c r="A1435" s="179"/>
      <c r="B1435" s="292"/>
      <c r="C1435" s="314"/>
      <c r="D1435" s="293"/>
      <c r="E1435" s="28" t="s">
        <v>4329</v>
      </c>
      <c r="F1435" s="124" t="s">
        <v>4330</v>
      </c>
      <c r="G1435" s="182"/>
      <c r="H1435" s="125"/>
      <c r="I1435" s="110" t="s">
        <v>924</v>
      </c>
      <c r="J1435" s="111"/>
      <c r="K1435" s="110" t="s">
        <v>4331</v>
      </c>
      <c r="L1435" s="111"/>
      <c r="M1435" s="183">
        <v>17</v>
      </c>
      <c r="N1435" s="184"/>
      <c r="O1435" s="185"/>
      <c r="P1435" s="173" t="s">
        <v>4332</v>
      </c>
      <c r="Q1435" s="174"/>
      <c r="R1435" s="112">
        <v>5</v>
      </c>
      <c r="S1435" s="113"/>
      <c r="T1435" s="183">
        <v>3</v>
      </c>
      <c r="U1435" s="185"/>
      <c r="V1435" s="180" t="s">
        <v>3933</v>
      </c>
      <c r="W1435" s="181"/>
      <c r="X1435" s="227">
        <v>45</v>
      </c>
      <c r="Y1435" s="228"/>
      <c r="Z1435" s="229"/>
      <c r="AA1435" s="110" t="s">
        <v>688</v>
      </c>
      <c r="AB1435" s="111"/>
      <c r="AC1435" s="401" t="s">
        <v>2211</v>
      </c>
      <c r="AD1435" s="403"/>
      <c r="AE1435" s="36" t="s">
        <v>4324</v>
      </c>
      <c r="AF1435" s="292"/>
      <c r="AG1435" s="314"/>
      <c r="AH1435" s="293"/>
      <c r="AI1435" s="167"/>
      <c r="AJ1435" s="48"/>
      <c r="AK1435" s="15"/>
      <c r="AL1435" s="15"/>
    </row>
    <row r="1436" spans="1:38" ht="75" x14ac:dyDescent="0.25">
      <c r="A1436" s="179"/>
      <c r="B1436" s="292"/>
      <c r="C1436" s="314"/>
      <c r="D1436" s="293"/>
      <c r="E1436" s="28" t="s">
        <v>4333</v>
      </c>
      <c r="F1436" s="124" t="s">
        <v>4334</v>
      </c>
      <c r="G1436" s="182"/>
      <c r="H1436" s="125"/>
      <c r="I1436" s="110" t="s">
        <v>706</v>
      </c>
      <c r="J1436" s="111"/>
      <c r="K1436" s="110" t="s">
        <v>4335</v>
      </c>
      <c r="L1436" s="111"/>
      <c r="M1436" s="183">
        <v>19</v>
      </c>
      <c r="N1436" s="184"/>
      <c r="O1436" s="185"/>
      <c r="P1436" s="183">
        <v>2</v>
      </c>
      <c r="Q1436" s="185"/>
      <c r="R1436" s="155">
        <v>5</v>
      </c>
      <c r="S1436" s="157"/>
      <c r="T1436" s="183">
        <v>3</v>
      </c>
      <c r="U1436" s="185"/>
      <c r="V1436" s="180" t="s">
        <v>3450</v>
      </c>
      <c r="W1436" s="181"/>
      <c r="X1436" s="227">
        <v>55</v>
      </c>
      <c r="Y1436" s="228"/>
      <c r="Z1436" s="229"/>
      <c r="AA1436" s="110" t="s">
        <v>889</v>
      </c>
      <c r="AB1436" s="111"/>
      <c r="AC1436" s="401" t="s">
        <v>4322</v>
      </c>
      <c r="AD1436" s="403"/>
      <c r="AE1436" s="36"/>
      <c r="AF1436" s="292"/>
      <c r="AG1436" s="314"/>
      <c r="AH1436" s="293"/>
      <c r="AI1436" s="167"/>
      <c r="AJ1436" s="48"/>
      <c r="AK1436" s="15"/>
      <c r="AL1436" s="15"/>
    </row>
    <row r="1437" spans="1:38" ht="75" x14ac:dyDescent="0.25">
      <c r="A1437" s="179"/>
      <c r="B1437" s="292"/>
      <c r="C1437" s="314"/>
      <c r="D1437" s="293"/>
      <c r="E1437" s="28" t="s">
        <v>4336</v>
      </c>
      <c r="F1437" s="124" t="s">
        <v>4337</v>
      </c>
      <c r="G1437" s="182"/>
      <c r="H1437" s="125"/>
      <c r="I1437" s="110" t="s">
        <v>688</v>
      </c>
      <c r="J1437" s="111"/>
      <c r="K1437" s="110" t="s">
        <v>4338</v>
      </c>
      <c r="L1437" s="111"/>
      <c r="M1437" s="183">
        <v>22</v>
      </c>
      <c r="N1437" s="184"/>
      <c r="O1437" s="185"/>
      <c r="P1437" s="180" t="s">
        <v>4339</v>
      </c>
      <c r="Q1437" s="181"/>
      <c r="R1437" s="160">
        <v>5</v>
      </c>
      <c r="S1437" s="161"/>
      <c r="T1437" s="183">
        <v>3</v>
      </c>
      <c r="U1437" s="185"/>
      <c r="V1437" s="180" t="s">
        <v>4340</v>
      </c>
      <c r="W1437" s="181"/>
      <c r="X1437" s="227">
        <v>65</v>
      </c>
      <c r="Y1437" s="228"/>
      <c r="Z1437" s="229"/>
      <c r="AA1437" s="110" t="s">
        <v>873</v>
      </c>
      <c r="AB1437" s="111"/>
      <c r="AC1437" s="401"/>
      <c r="AD1437" s="403"/>
      <c r="AE1437" s="36"/>
      <c r="AF1437" s="292"/>
      <c r="AG1437" s="314"/>
      <c r="AH1437" s="293"/>
      <c r="AI1437" s="167"/>
      <c r="AJ1437" s="48"/>
      <c r="AK1437" s="15"/>
      <c r="AL1437" s="15"/>
    </row>
    <row r="1438" spans="1:38" ht="75" x14ac:dyDescent="0.25">
      <c r="A1438" s="179"/>
      <c r="B1438" s="292"/>
      <c r="C1438" s="314"/>
      <c r="D1438" s="293"/>
      <c r="E1438" s="28" t="s">
        <v>4341</v>
      </c>
      <c r="F1438" s="124" t="s">
        <v>4317</v>
      </c>
      <c r="G1438" s="182"/>
      <c r="H1438" s="125"/>
      <c r="I1438" s="183">
        <v>1</v>
      </c>
      <c r="J1438" s="185"/>
      <c r="K1438" s="110" t="s">
        <v>4318</v>
      </c>
      <c r="L1438" s="111"/>
      <c r="M1438" s="183">
        <v>12</v>
      </c>
      <c r="N1438" s="184"/>
      <c r="O1438" s="185"/>
      <c r="P1438" s="173" t="s">
        <v>4319</v>
      </c>
      <c r="Q1438" s="174"/>
      <c r="R1438" s="112">
        <v>4</v>
      </c>
      <c r="S1438" s="113"/>
      <c r="T1438" s="183">
        <v>3</v>
      </c>
      <c r="U1438" s="185"/>
      <c r="V1438" s="173" t="s">
        <v>4320</v>
      </c>
      <c r="W1438" s="174"/>
      <c r="X1438" s="227">
        <v>25</v>
      </c>
      <c r="Y1438" s="228"/>
      <c r="Z1438" s="229"/>
      <c r="AA1438" s="110" t="s">
        <v>1369</v>
      </c>
      <c r="AB1438" s="111"/>
      <c r="AC1438" s="401"/>
      <c r="AD1438" s="403"/>
      <c r="AE1438" s="36"/>
      <c r="AF1438" s="292"/>
      <c r="AG1438" s="314"/>
      <c r="AH1438" s="293"/>
      <c r="AI1438" s="167"/>
      <c r="AJ1438" s="48"/>
      <c r="AK1438" s="15"/>
      <c r="AL1438" s="15"/>
    </row>
    <row r="1439" spans="1:38" ht="75" x14ac:dyDescent="0.25">
      <c r="A1439" s="179"/>
      <c r="B1439" s="292"/>
      <c r="C1439" s="314"/>
      <c r="D1439" s="293"/>
      <c r="E1439" s="28" t="s">
        <v>4342</v>
      </c>
      <c r="F1439" s="124" t="s">
        <v>4326</v>
      </c>
      <c r="G1439" s="182"/>
      <c r="H1439" s="125"/>
      <c r="I1439" s="110" t="s">
        <v>922</v>
      </c>
      <c r="J1439" s="111"/>
      <c r="K1439" s="110" t="s">
        <v>4327</v>
      </c>
      <c r="L1439" s="111"/>
      <c r="M1439" s="183">
        <v>14</v>
      </c>
      <c r="N1439" s="184"/>
      <c r="O1439" s="185"/>
      <c r="P1439" s="173" t="s">
        <v>2510</v>
      </c>
      <c r="Q1439" s="174"/>
      <c r="R1439" s="160">
        <v>4</v>
      </c>
      <c r="S1439" s="161"/>
      <c r="T1439" s="183">
        <v>3</v>
      </c>
      <c r="U1439" s="185"/>
      <c r="V1439" s="173" t="s">
        <v>4328</v>
      </c>
      <c r="W1439" s="174"/>
      <c r="X1439" s="227">
        <v>35</v>
      </c>
      <c r="Y1439" s="228"/>
      <c r="Z1439" s="229"/>
      <c r="AA1439" s="110" t="s">
        <v>717</v>
      </c>
      <c r="AB1439" s="111"/>
      <c r="AC1439" s="401"/>
      <c r="AD1439" s="403"/>
      <c r="AE1439" s="36"/>
      <c r="AF1439" s="292"/>
      <c r="AG1439" s="314"/>
      <c r="AH1439" s="293"/>
      <c r="AI1439" s="167"/>
      <c r="AJ1439" s="48"/>
      <c r="AK1439" s="15"/>
      <c r="AL1439" s="15"/>
    </row>
    <row r="1440" spans="1:38" ht="75" x14ac:dyDescent="0.25">
      <c r="A1440" s="179"/>
      <c r="B1440" s="292"/>
      <c r="C1440" s="314"/>
      <c r="D1440" s="293"/>
      <c r="E1440" s="28" t="s">
        <v>4343</v>
      </c>
      <c r="F1440" s="124" t="s">
        <v>4330</v>
      </c>
      <c r="G1440" s="182"/>
      <c r="H1440" s="125"/>
      <c r="I1440" s="110" t="s">
        <v>924</v>
      </c>
      <c r="J1440" s="111"/>
      <c r="K1440" s="110" t="s">
        <v>4331</v>
      </c>
      <c r="L1440" s="111"/>
      <c r="M1440" s="183">
        <v>17</v>
      </c>
      <c r="N1440" s="184"/>
      <c r="O1440" s="185"/>
      <c r="P1440" s="173" t="s">
        <v>4332</v>
      </c>
      <c r="Q1440" s="174"/>
      <c r="R1440" s="112">
        <v>5</v>
      </c>
      <c r="S1440" s="113"/>
      <c r="T1440" s="183">
        <v>3</v>
      </c>
      <c r="U1440" s="185"/>
      <c r="V1440" s="180" t="s">
        <v>3933</v>
      </c>
      <c r="W1440" s="181"/>
      <c r="X1440" s="227">
        <v>45</v>
      </c>
      <c r="Y1440" s="228"/>
      <c r="Z1440" s="229"/>
      <c r="AA1440" s="110" t="s">
        <v>688</v>
      </c>
      <c r="AB1440" s="111"/>
      <c r="AC1440" s="401"/>
      <c r="AD1440" s="403"/>
      <c r="AE1440" s="36"/>
      <c r="AF1440" s="292"/>
      <c r="AG1440" s="314"/>
      <c r="AH1440" s="293"/>
      <c r="AI1440" s="167"/>
      <c r="AJ1440" s="48"/>
      <c r="AK1440" s="15"/>
      <c r="AL1440" s="15"/>
    </row>
    <row r="1441" spans="1:38" ht="75" x14ac:dyDescent="0.25">
      <c r="A1441" s="179"/>
      <c r="B1441" s="292"/>
      <c r="C1441" s="314"/>
      <c r="D1441" s="293"/>
      <c r="E1441" s="28" t="s">
        <v>4344</v>
      </c>
      <c r="F1441" s="124" t="s">
        <v>4334</v>
      </c>
      <c r="G1441" s="182"/>
      <c r="H1441" s="125"/>
      <c r="I1441" s="110" t="s">
        <v>706</v>
      </c>
      <c r="J1441" s="111"/>
      <c r="K1441" s="110" t="s">
        <v>4335</v>
      </c>
      <c r="L1441" s="111"/>
      <c r="M1441" s="183">
        <v>19</v>
      </c>
      <c r="N1441" s="184"/>
      <c r="O1441" s="185"/>
      <c r="P1441" s="183">
        <v>2</v>
      </c>
      <c r="Q1441" s="185"/>
      <c r="R1441" s="155">
        <v>5</v>
      </c>
      <c r="S1441" s="157"/>
      <c r="T1441" s="183">
        <v>3</v>
      </c>
      <c r="U1441" s="185"/>
      <c r="V1441" s="180" t="s">
        <v>3450</v>
      </c>
      <c r="W1441" s="181"/>
      <c r="X1441" s="227">
        <v>55</v>
      </c>
      <c r="Y1441" s="228"/>
      <c r="Z1441" s="229"/>
      <c r="AA1441" s="110" t="s">
        <v>889</v>
      </c>
      <c r="AB1441" s="111"/>
      <c r="AC1441" s="401"/>
      <c r="AD1441" s="403"/>
      <c r="AE1441" s="36"/>
      <c r="AF1441" s="292"/>
      <c r="AG1441" s="314"/>
      <c r="AH1441" s="293"/>
      <c r="AI1441" s="167"/>
      <c r="AJ1441" s="48"/>
      <c r="AK1441" s="15"/>
      <c r="AL1441" s="15"/>
    </row>
    <row r="1442" spans="1:38" ht="75" x14ac:dyDescent="0.25">
      <c r="A1442" s="179"/>
      <c r="B1442" s="292"/>
      <c r="C1442" s="314"/>
      <c r="D1442" s="293"/>
      <c r="E1442" s="28" t="s">
        <v>4345</v>
      </c>
      <c r="F1442" s="124" t="s">
        <v>4337</v>
      </c>
      <c r="G1442" s="182"/>
      <c r="H1442" s="125"/>
      <c r="I1442" s="110" t="s">
        <v>688</v>
      </c>
      <c r="J1442" s="111"/>
      <c r="K1442" s="110" t="s">
        <v>4338</v>
      </c>
      <c r="L1442" s="111"/>
      <c r="M1442" s="183">
        <v>22</v>
      </c>
      <c r="N1442" s="184"/>
      <c r="O1442" s="185"/>
      <c r="P1442" s="180" t="s">
        <v>4339</v>
      </c>
      <c r="Q1442" s="181"/>
      <c r="R1442" s="160">
        <v>5</v>
      </c>
      <c r="S1442" s="161"/>
      <c r="T1442" s="183">
        <v>3</v>
      </c>
      <c r="U1442" s="185"/>
      <c r="V1442" s="180" t="s">
        <v>4340</v>
      </c>
      <c r="W1442" s="181"/>
      <c r="X1442" s="227">
        <v>65</v>
      </c>
      <c r="Y1442" s="228"/>
      <c r="Z1442" s="229"/>
      <c r="AA1442" s="110" t="s">
        <v>873</v>
      </c>
      <c r="AB1442" s="111"/>
      <c r="AC1442" s="401"/>
      <c r="AD1442" s="403"/>
      <c r="AE1442" s="36"/>
      <c r="AF1442" s="292"/>
      <c r="AG1442" s="314"/>
      <c r="AH1442" s="293"/>
      <c r="AI1442" s="167"/>
      <c r="AJ1442" s="48"/>
      <c r="AK1442" s="15"/>
      <c r="AL1442" s="15"/>
    </row>
    <row r="1443" spans="1:38" ht="75" x14ac:dyDescent="0.25">
      <c r="A1443" s="179"/>
      <c r="B1443" s="292"/>
      <c r="C1443" s="314"/>
      <c r="D1443" s="293"/>
      <c r="E1443" s="28" t="s">
        <v>4346</v>
      </c>
      <c r="F1443" s="124" t="s">
        <v>4317</v>
      </c>
      <c r="G1443" s="182"/>
      <c r="H1443" s="125"/>
      <c r="I1443" s="183">
        <v>1</v>
      </c>
      <c r="J1443" s="185"/>
      <c r="K1443" s="110" t="s">
        <v>4318</v>
      </c>
      <c r="L1443" s="111"/>
      <c r="M1443" s="183">
        <v>13</v>
      </c>
      <c r="N1443" s="184"/>
      <c r="O1443" s="185"/>
      <c r="P1443" s="173" t="s">
        <v>4319</v>
      </c>
      <c r="Q1443" s="174"/>
      <c r="R1443" s="112">
        <v>4</v>
      </c>
      <c r="S1443" s="113"/>
      <c r="T1443" s="183">
        <v>3</v>
      </c>
      <c r="U1443" s="185"/>
      <c r="V1443" s="173" t="s">
        <v>3128</v>
      </c>
      <c r="W1443" s="174"/>
      <c r="X1443" s="227">
        <v>30</v>
      </c>
      <c r="Y1443" s="228"/>
      <c r="Z1443" s="229"/>
      <c r="AA1443" s="110" t="s">
        <v>1342</v>
      </c>
      <c r="AB1443" s="111"/>
      <c r="AC1443" s="401"/>
      <c r="AD1443" s="403"/>
      <c r="AE1443" s="36"/>
      <c r="AF1443" s="292"/>
      <c r="AG1443" s="314"/>
      <c r="AH1443" s="293"/>
      <c r="AI1443" s="167"/>
      <c r="AJ1443" s="48"/>
      <c r="AK1443" s="15"/>
      <c r="AL1443" s="15"/>
    </row>
    <row r="1444" spans="1:38" ht="75" x14ac:dyDescent="0.25">
      <c r="A1444" s="179"/>
      <c r="B1444" s="292"/>
      <c r="C1444" s="314"/>
      <c r="D1444" s="293"/>
      <c r="E1444" s="28" t="s">
        <v>4347</v>
      </c>
      <c r="F1444" s="124" t="s">
        <v>4326</v>
      </c>
      <c r="G1444" s="182"/>
      <c r="H1444" s="125"/>
      <c r="I1444" s="110" t="s">
        <v>922</v>
      </c>
      <c r="J1444" s="111"/>
      <c r="K1444" s="110" t="s">
        <v>4327</v>
      </c>
      <c r="L1444" s="111"/>
      <c r="M1444" s="183">
        <v>15</v>
      </c>
      <c r="N1444" s="184"/>
      <c r="O1444" s="185"/>
      <c r="P1444" s="173" t="s">
        <v>2510</v>
      </c>
      <c r="Q1444" s="174"/>
      <c r="R1444" s="160">
        <v>4</v>
      </c>
      <c r="S1444" s="161"/>
      <c r="T1444" s="183">
        <v>3</v>
      </c>
      <c r="U1444" s="185"/>
      <c r="V1444" s="173" t="s">
        <v>4348</v>
      </c>
      <c r="W1444" s="174"/>
      <c r="X1444" s="227">
        <v>40</v>
      </c>
      <c r="Y1444" s="228"/>
      <c r="Z1444" s="229"/>
      <c r="AA1444" s="110" t="s">
        <v>768</v>
      </c>
      <c r="AB1444" s="111"/>
      <c r="AC1444" s="401"/>
      <c r="AD1444" s="403"/>
      <c r="AE1444" s="36"/>
      <c r="AF1444" s="292"/>
      <c r="AG1444" s="314"/>
      <c r="AH1444" s="293"/>
      <c r="AI1444" s="167"/>
      <c r="AJ1444" s="48"/>
      <c r="AK1444" s="15"/>
      <c r="AL1444" s="15"/>
    </row>
    <row r="1445" spans="1:38" ht="75" x14ac:dyDescent="0.25">
      <c r="A1445" s="179"/>
      <c r="B1445" s="292"/>
      <c r="C1445" s="314"/>
      <c r="D1445" s="293"/>
      <c r="E1445" s="28" t="s">
        <v>4349</v>
      </c>
      <c r="F1445" s="124" t="s">
        <v>4330</v>
      </c>
      <c r="G1445" s="182"/>
      <c r="H1445" s="125"/>
      <c r="I1445" s="110" t="s">
        <v>924</v>
      </c>
      <c r="J1445" s="111"/>
      <c r="K1445" s="110" t="s">
        <v>4331</v>
      </c>
      <c r="L1445" s="111"/>
      <c r="M1445" s="183">
        <v>18</v>
      </c>
      <c r="N1445" s="184"/>
      <c r="O1445" s="185"/>
      <c r="P1445" s="173" t="s">
        <v>4332</v>
      </c>
      <c r="Q1445" s="174"/>
      <c r="R1445" s="112">
        <v>5</v>
      </c>
      <c r="S1445" s="113"/>
      <c r="T1445" s="183">
        <v>3</v>
      </c>
      <c r="U1445" s="185"/>
      <c r="V1445" s="180" t="s">
        <v>3458</v>
      </c>
      <c r="W1445" s="181"/>
      <c r="X1445" s="227">
        <v>50</v>
      </c>
      <c r="Y1445" s="228"/>
      <c r="Z1445" s="229"/>
      <c r="AA1445" s="110" t="s">
        <v>722</v>
      </c>
      <c r="AB1445" s="111"/>
      <c r="AC1445" s="401"/>
      <c r="AD1445" s="403"/>
      <c r="AE1445" s="36"/>
      <c r="AF1445" s="292"/>
      <c r="AG1445" s="314"/>
      <c r="AH1445" s="293"/>
      <c r="AI1445" s="167"/>
      <c r="AJ1445" s="48"/>
      <c r="AK1445" s="15"/>
      <c r="AL1445" s="15"/>
    </row>
    <row r="1446" spans="1:38" ht="75" x14ac:dyDescent="0.25">
      <c r="A1446" s="179"/>
      <c r="B1446" s="292"/>
      <c r="C1446" s="314"/>
      <c r="D1446" s="293"/>
      <c r="E1446" s="28" t="s">
        <v>4350</v>
      </c>
      <c r="F1446" s="124" t="s">
        <v>4334</v>
      </c>
      <c r="G1446" s="182"/>
      <c r="H1446" s="125"/>
      <c r="I1446" s="110" t="s">
        <v>706</v>
      </c>
      <c r="J1446" s="111"/>
      <c r="K1446" s="110" t="s">
        <v>4335</v>
      </c>
      <c r="L1446" s="111"/>
      <c r="M1446" s="183">
        <v>20</v>
      </c>
      <c r="N1446" s="184"/>
      <c r="O1446" s="185"/>
      <c r="P1446" s="183">
        <v>2</v>
      </c>
      <c r="Q1446" s="185"/>
      <c r="R1446" s="155">
        <v>5</v>
      </c>
      <c r="S1446" s="157"/>
      <c r="T1446" s="183">
        <v>3</v>
      </c>
      <c r="U1446" s="185"/>
      <c r="V1446" s="180" t="s">
        <v>4351</v>
      </c>
      <c r="W1446" s="181"/>
      <c r="X1446" s="227">
        <v>60</v>
      </c>
      <c r="Y1446" s="228"/>
      <c r="Z1446" s="229"/>
      <c r="AA1446" s="110" t="s">
        <v>873</v>
      </c>
      <c r="AB1446" s="111"/>
      <c r="AC1446" s="401"/>
      <c r="AD1446" s="403"/>
      <c r="AE1446" s="36"/>
      <c r="AF1446" s="292"/>
      <c r="AG1446" s="314"/>
      <c r="AH1446" s="293"/>
      <c r="AI1446" s="167"/>
      <c r="AJ1446" s="48"/>
      <c r="AK1446" s="15"/>
      <c r="AL1446" s="15"/>
    </row>
    <row r="1447" spans="1:38" ht="75" x14ac:dyDescent="0.35">
      <c r="A1447" s="52"/>
      <c r="B1447" s="93"/>
      <c r="C1447" s="106"/>
      <c r="D1447" s="94"/>
      <c r="E1447" s="28" t="s">
        <v>4352</v>
      </c>
      <c r="F1447" s="124" t="s">
        <v>4337</v>
      </c>
      <c r="G1447" s="182"/>
      <c r="H1447" s="125"/>
      <c r="I1447" s="110" t="s">
        <v>688</v>
      </c>
      <c r="J1447" s="111"/>
      <c r="K1447" s="110" t="s">
        <v>4338</v>
      </c>
      <c r="L1447" s="111"/>
      <c r="M1447" s="183">
        <v>24</v>
      </c>
      <c r="N1447" s="184"/>
      <c r="O1447" s="185"/>
      <c r="P1447" s="180" t="s">
        <v>4339</v>
      </c>
      <c r="Q1447" s="181"/>
      <c r="R1447" s="206">
        <v>5</v>
      </c>
      <c r="S1447" s="207"/>
      <c r="T1447" s="183">
        <v>3</v>
      </c>
      <c r="U1447" s="185"/>
      <c r="V1447" s="180" t="s">
        <v>4353</v>
      </c>
      <c r="W1447" s="181"/>
      <c r="X1447" s="227">
        <v>70</v>
      </c>
      <c r="Y1447" s="228"/>
      <c r="Z1447" s="229"/>
      <c r="AA1447" s="110" t="s">
        <v>873</v>
      </c>
      <c r="AB1447" s="111"/>
      <c r="AC1447" s="93"/>
      <c r="AD1447" s="94"/>
      <c r="AE1447" s="52"/>
      <c r="AF1447" s="93"/>
      <c r="AG1447" s="106"/>
      <c r="AH1447" s="94"/>
      <c r="AI1447" s="167"/>
      <c r="AJ1447" s="48"/>
      <c r="AK1447" s="15"/>
      <c r="AL1447" s="15"/>
    </row>
    <row r="1448" spans="1:38" ht="105" x14ac:dyDescent="0.25">
      <c r="A1448" s="178"/>
      <c r="B1448" s="303" t="s">
        <v>4354</v>
      </c>
      <c r="C1448" s="344"/>
      <c r="D1448" s="304"/>
      <c r="E1448" s="19" t="s">
        <v>4355</v>
      </c>
      <c r="F1448" s="233" t="s">
        <v>4356</v>
      </c>
      <c r="G1448" s="305"/>
      <c r="H1448" s="234"/>
      <c r="I1448" s="112">
        <v>6</v>
      </c>
      <c r="J1448" s="113"/>
      <c r="K1448" s="143" t="s">
        <v>4357</v>
      </c>
      <c r="L1448" s="145"/>
      <c r="M1448" s="332" t="s">
        <v>4358</v>
      </c>
      <c r="N1448" s="374"/>
      <c r="O1448" s="333"/>
      <c r="P1448" s="332" t="s">
        <v>4359</v>
      </c>
      <c r="Q1448" s="333"/>
      <c r="R1448" s="112">
        <v>18</v>
      </c>
      <c r="S1448" s="113"/>
      <c r="T1448" s="349">
        <v>8</v>
      </c>
      <c r="U1448" s="350"/>
      <c r="V1448" s="332" t="s">
        <v>4360</v>
      </c>
      <c r="W1448" s="333"/>
      <c r="X1448" s="294">
        <v>99</v>
      </c>
      <c r="Y1448" s="295"/>
      <c r="Z1448" s="296"/>
      <c r="AA1448" s="233" t="s">
        <v>1045</v>
      </c>
      <c r="AB1448" s="234"/>
      <c r="AC1448" s="223" t="s">
        <v>675</v>
      </c>
      <c r="AD1448" s="224"/>
      <c r="AE1448" s="24" t="s">
        <v>4363</v>
      </c>
      <c r="AF1448" s="303" t="s">
        <v>3058</v>
      </c>
      <c r="AG1448" s="344"/>
      <c r="AH1448" s="304"/>
      <c r="AI1448" s="167"/>
      <c r="AJ1448" s="48"/>
      <c r="AK1448" s="15"/>
      <c r="AL1448" s="15"/>
    </row>
    <row r="1449" spans="1:38" ht="75" x14ac:dyDescent="0.25">
      <c r="A1449" s="179"/>
      <c r="B1449" s="292"/>
      <c r="C1449" s="314"/>
      <c r="D1449" s="293"/>
      <c r="E1449" s="19" t="s">
        <v>4365</v>
      </c>
      <c r="F1449" s="235"/>
      <c r="G1449" s="270"/>
      <c r="H1449" s="236"/>
      <c r="I1449" s="155">
        <v>6</v>
      </c>
      <c r="J1449" s="157"/>
      <c r="K1449" s="104" t="s">
        <v>4357</v>
      </c>
      <c r="L1449" s="105"/>
      <c r="M1449" s="332" t="s">
        <v>4358</v>
      </c>
      <c r="N1449" s="374"/>
      <c r="O1449" s="333"/>
      <c r="P1449" s="332" t="s">
        <v>4359</v>
      </c>
      <c r="Q1449" s="333"/>
      <c r="R1449" s="155">
        <v>18</v>
      </c>
      <c r="S1449" s="157"/>
      <c r="T1449" s="349">
        <v>8</v>
      </c>
      <c r="U1449" s="350"/>
      <c r="V1449" s="332" t="s">
        <v>4360</v>
      </c>
      <c r="W1449" s="333"/>
      <c r="X1449" s="297"/>
      <c r="Y1449" s="298"/>
      <c r="Z1449" s="299"/>
      <c r="AA1449" s="235"/>
      <c r="AB1449" s="236"/>
      <c r="AC1449" s="239" t="s">
        <v>4361</v>
      </c>
      <c r="AD1449" s="240"/>
      <c r="AE1449" s="31" t="s">
        <v>1356</v>
      </c>
      <c r="AF1449" s="292" t="s">
        <v>3401</v>
      </c>
      <c r="AG1449" s="314"/>
      <c r="AH1449" s="293"/>
      <c r="AI1449" s="167"/>
      <c r="AJ1449" s="48"/>
      <c r="AK1449" s="15"/>
      <c r="AL1449" s="15"/>
    </row>
    <row r="1450" spans="1:38" ht="75" x14ac:dyDescent="0.25">
      <c r="A1450" s="179"/>
      <c r="B1450" s="292"/>
      <c r="C1450" s="314"/>
      <c r="D1450" s="293"/>
      <c r="E1450" s="19" t="s">
        <v>4366</v>
      </c>
      <c r="F1450" s="235"/>
      <c r="G1450" s="270"/>
      <c r="H1450" s="236"/>
      <c r="I1450" s="155">
        <v>6</v>
      </c>
      <c r="J1450" s="157"/>
      <c r="K1450" s="104" t="s">
        <v>4357</v>
      </c>
      <c r="L1450" s="105"/>
      <c r="M1450" s="332" t="s">
        <v>4367</v>
      </c>
      <c r="N1450" s="374"/>
      <c r="O1450" s="333"/>
      <c r="P1450" s="332" t="s">
        <v>4359</v>
      </c>
      <c r="Q1450" s="333"/>
      <c r="R1450" s="155">
        <v>18</v>
      </c>
      <c r="S1450" s="157"/>
      <c r="T1450" s="349">
        <v>8</v>
      </c>
      <c r="U1450" s="350"/>
      <c r="V1450" s="332" t="s">
        <v>4368</v>
      </c>
      <c r="W1450" s="333"/>
      <c r="X1450" s="297"/>
      <c r="Y1450" s="298"/>
      <c r="Z1450" s="299"/>
      <c r="AA1450" s="235"/>
      <c r="AB1450" s="236"/>
      <c r="AC1450" s="239" t="s">
        <v>2211</v>
      </c>
      <c r="AD1450" s="240"/>
      <c r="AE1450" s="31" t="s">
        <v>4364</v>
      </c>
      <c r="AF1450" s="292"/>
      <c r="AG1450" s="314"/>
      <c r="AH1450" s="293"/>
      <c r="AI1450" s="167"/>
      <c r="AJ1450" s="48"/>
      <c r="AK1450" s="15"/>
      <c r="AL1450" s="15"/>
    </row>
    <row r="1451" spans="1:38" ht="75" x14ac:dyDescent="0.25">
      <c r="A1451" s="179"/>
      <c r="B1451" s="292"/>
      <c r="C1451" s="314"/>
      <c r="D1451" s="293"/>
      <c r="E1451" s="19" t="s">
        <v>4369</v>
      </c>
      <c r="F1451" s="235"/>
      <c r="G1451" s="270"/>
      <c r="H1451" s="236"/>
      <c r="I1451" s="155">
        <v>6</v>
      </c>
      <c r="J1451" s="157"/>
      <c r="K1451" s="104" t="s">
        <v>4357</v>
      </c>
      <c r="L1451" s="105"/>
      <c r="M1451" s="332" t="s">
        <v>4367</v>
      </c>
      <c r="N1451" s="374"/>
      <c r="O1451" s="333"/>
      <c r="P1451" s="332" t="s">
        <v>4359</v>
      </c>
      <c r="Q1451" s="333"/>
      <c r="R1451" s="155">
        <v>18</v>
      </c>
      <c r="S1451" s="157"/>
      <c r="T1451" s="349">
        <v>8</v>
      </c>
      <c r="U1451" s="350"/>
      <c r="V1451" s="332" t="s">
        <v>4368</v>
      </c>
      <c r="W1451" s="333"/>
      <c r="X1451" s="297"/>
      <c r="Y1451" s="298"/>
      <c r="Z1451" s="299"/>
      <c r="AA1451" s="235"/>
      <c r="AB1451" s="236"/>
      <c r="AC1451" s="239" t="s">
        <v>4362</v>
      </c>
      <c r="AD1451" s="240"/>
      <c r="AE1451" s="31"/>
      <c r="AF1451" s="292"/>
      <c r="AG1451" s="314"/>
      <c r="AH1451" s="293"/>
      <c r="AI1451" s="167"/>
      <c r="AJ1451" s="48"/>
      <c r="AK1451" s="15"/>
      <c r="AL1451" s="15"/>
    </row>
    <row r="1452" spans="1:38" ht="75" x14ac:dyDescent="0.25">
      <c r="A1452" s="179"/>
      <c r="B1452" s="292"/>
      <c r="C1452" s="314"/>
      <c r="D1452" s="293"/>
      <c r="E1452" s="19" t="s">
        <v>4370</v>
      </c>
      <c r="F1452" s="235"/>
      <c r="G1452" s="270"/>
      <c r="H1452" s="236"/>
      <c r="I1452" s="155">
        <v>6</v>
      </c>
      <c r="J1452" s="157"/>
      <c r="K1452" s="104" t="s">
        <v>4357</v>
      </c>
      <c r="L1452" s="105"/>
      <c r="M1452" s="332" t="s">
        <v>4371</v>
      </c>
      <c r="N1452" s="374"/>
      <c r="O1452" s="333"/>
      <c r="P1452" s="332" t="s">
        <v>4359</v>
      </c>
      <c r="Q1452" s="333"/>
      <c r="R1452" s="155">
        <v>18</v>
      </c>
      <c r="S1452" s="157"/>
      <c r="T1452" s="349">
        <v>8</v>
      </c>
      <c r="U1452" s="350"/>
      <c r="V1452" s="332" t="s">
        <v>3363</v>
      </c>
      <c r="W1452" s="333"/>
      <c r="X1452" s="297"/>
      <c r="Y1452" s="298"/>
      <c r="Z1452" s="299"/>
      <c r="AA1452" s="235"/>
      <c r="AB1452" s="236"/>
      <c r="AC1452" s="239"/>
      <c r="AD1452" s="240"/>
      <c r="AE1452" s="31"/>
      <c r="AF1452" s="292"/>
      <c r="AG1452" s="314"/>
      <c r="AH1452" s="293"/>
      <c r="AI1452" s="167"/>
      <c r="AJ1452" s="48"/>
      <c r="AK1452" s="15"/>
      <c r="AL1452" s="15"/>
    </row>
    <row r="1453" spans="1:38" ht="75" x14ac:dyDescent="0.25">
      <c r="A1453" s="230"/>
      <c r="B1453" s="290"/>
      <c r="C1453" s="345"/>
      <c r="D1453" s="291"/>
      <c r="E1453" s="19" t="s">
        <v>4372</v>
      </c>
      <c r="F1453" s="237"/>
      <c r="G1453" s="306"/>
      <c r="H1453" s="238"/>
      <c r="I1453" s="160">
        <v>6</v>
      </c>
      <c r="J1453" s="161"/>
      <c r="K1453" s="146" t="s">
        <v>4357</v>
      </c>
      <c r="L1453" s="148"/>
      <c r="M1453" s="332" t="s">
        <v>4371</v>
      </c>
      <c r="N1453" s="374"/>
      <c r="O1453" s="333"/>
      <c r="P1453" s="332" t="s">
        <v>4359</v>
      </c>
      <c r="Q1453" s="333"/>
      <c r="R1453" s="160">
        <v>18</v>
      </c>
      <c r="S1453" s="161"/>
      <c r="T1453" s="349">
        <v>8</v>
      </c>
      <c r="U1453" s="350"/>
      <c r="V1453" s="332" t="s">
        <v>3363</v>
      </c>
      <c r="W1453" s="333"/>
      <c r="X1453" s="300"/>
      <c r="Y1453" s="301"/>
      <c r="Z1453" s="302"/>
      <c r="AA1453" s="237"/>
      <c r="AB1453" s="238"/>
      <c r="AC1453" s="225"/>
      <c r="AD1453" s="226"/>
      <c r="AE1453" s="31"/>
      <c r="AF1453" s="290"/>
      <c r="AG1453" s="345"/>
      <c r="AH1453" s="291"/>
      <c r="AI1453" s="167"/>
      <c r="AJ1453" s="48"/>
      <c r="AK1453" s="15"/>
      <c r="AL1453" s="15"/>
    </row>
    <row r="1454" spans="1:38" ht="90" x14ac:dyDescent="0.25">
      <c r="A1454" s="178"/>
      <c r="B1454" s="303" t="s">
        <v>4373</v>
      </c>
      <c r="C1454" s="344"/>
      <c r="D1454" s="304"/>
      <c r="E1454" s="28" t="s">
        <v>4374</v>
      </c>
      <c r="F1454" s="124" t="s">
        <v>4375</v>
      </c>
      <c r="G1454" s="182"/>
      <c r="H1454" s="125"/>
      <c r="I1454" s="110" t="s">
        <v>1062</v>
      </c>
      <c r="J1454" s="111"/>
      <c r="K1454" s="110" t="s">
        <v>3922</v>
      </c>
      <c r="L1454" s="111"/>
      <c r="M1454" s="173" t="s">
        <v>4376</v>
      </c>
      <c r="N1454" s="276"/>
      <c r="O1454" s="174"/>
      <c r="P1454" s="285">
        <v>3</v>
      </c>
      <c r="Q1454" s="286"/>
      <c r="R1454" s="183">
        <v>11</v>
      </c>
      <c r="S1454" s="185"/>
      <c r="T1454" s="183">
        <v>4</v>
      </c>
      <c r="U1454" s="185"/>
      <c r="V1454" s="173" t="s">
        <v>4377</v>
      </c>
      <c r="W1454" s="174"/>
      <c r="X1454" s="294">
        <v>89</v>
      </c>
      <c r="Y1454" s="295"/>
      <c r="Z1454" s="296"/>
      <c r="AA1454" s="233" t="s">
        <v>1090</v>
      </c>
      <c r="AB1454" s="234"/>
      <c r="AC1454" s="409" t="s">
        <v>675</v>
      </c>
      <c r="AD1454" s="411"/>
      <c r="AE1454" s="35" t="s">
        <v>4380</v>
      </c>
      <c r="AF1454" s="303" t="s">
        <v>2540</v>
      </c>
      <c r="AG1454" s="344"/>
      <c r="AH1454" s="304"/>
      <c r="AI1454" s="167"/>
      <c r="AJ1454" s="48"/>
      <c r="AK1454" s="15"/>
      <c r="AL1454" s="15"/>
    </row>
    <row r="1455" spans="1:38" ht="90" x14ac:dyDescent="0.25">
      <c r="A1455" s="179"/>
      <c r="B1455" s="292"/>
      <c r="C1455" s="314"/>
      <c r="D1455" s="293"/>
      <c r="E1455" s="28" t="s">
        <v>4383</v>
      </c>
      <c r="F1455" s="124" t="s">
        <v>4375</v>
      </c>
      <c r="G1455" s="182"/>
      <c r="H1455" s="125"/>
      <c r="I1455" s="183">
        <v>5</v>
      </c>
      <c r="J1455" s="185"/>
      <c r="K1455" s="110" t="s">
        <v>3922</v>
      </c>
      <c r="L1455" s="111"/>
      <c r="M1455" s="173" t="s">
        <v>4376</v>
      </c>
      <c r="N1455" s="276"/>
      <c r="O1455" s="174"/>
      <c r="P1455" s="285">
        <v>3</v>
      </c>
      <c r="Q1455" s="286"/>
      <c r="R1455" s="183">
        <v>11</v>
      </c>
      <c r="S1455" s="185"/>
      <c r="T1455" s="183">
        <v>4</v>
      </c>
      <c r="U1455" s="185"/>
      <c r="V1455" s="173" t="s">
        <v>4377</v>
      </c>
      <c r="W1455" s="174"/>
      <c r="X1455" s="297"/>
      <c r="Y1455" s="298"/>
      <c r="Z1455" s="299"/>
      <c r="AA1455" s="235"/>
      <c r="AB1455" s="236"/>
      <c r="AC1455" s="401" t="s">
        <v>4378</v>
      </c>
      <c r="AD1455" s="403"/>
      <c r="AE1455" s="36" t="s">
        <v>1356</v>
      </c>
      <c r="AF1455" s="292" t="s">
        <v>4382</v>
      </c>
      <c r="AG1455" s="314"/>
      <c r="AH1455" s="293"/>
      <c r="AI1455" s="167"/>
      <c r="AJ1455" s="48"/>
      <c r="AK1455" s="15"/>
      <c r="AL1455" s="15"/>
    </row>
    <row r="1456" spans="1:38" ht="105" x14ac:dyDescent="0.25">
      <c r="A1456" s="179"/>
      <c r="B1456" s="292"/>
      <c r="C1456" s="314"/>
      <c r="D1456" s="293"/>
      <c r="E1456" s="28" t="s">
        <v>4384</v>
      </c>
      <c r="F1456" s="124" t="s">
        <v>4375</v>
      </c>
      <c r="G1456" s="182"/>
      <c r="H1456" s="125"/>
      <c r="I1456" s="110" t="s">
        <v>1062</v>
      </c>
      <c r="J1456" s="111"/>
      <c r="K1456" s="110" t="s">
        <v>3922</v>
      </c>
      <c r="L1456" s="111"/>
      <c r="M1456" s="173" t="s">
        <v>3764</v>
      </c>
      <c r="N1456" s="276"/>
      <c r="O1456" s="174"/>
      <c r="P1456" s="285">
        <v>3</v>
      </c>
      <c r="Q1456" s="286"/>
      <c r="R1456" s="183">
        <v>11</v>
      </c>
      <c r="S1456" s="185"/>
      <c r="T1456" s="183">
        <v>4</v>
      </c>
      <c r="U1456" s="185"/>
      <c r="V1456" s="173" t="s">
        <v>4385</v>
      </c>
      <c r="W1456" s="174"/>
      <c r="X1456" s="297"/>
      <c r="Y1456" s="298"/>
      <c r="Z1456" s="299"/>
      <c r="AA1456" s="235"/>
      <c r="AB1456" s="236"/>
      <c r="AC1456" s="401" t="s">
        <v>677</v>
      </c>
      <c r="AD1456" s="403"/>
      <c r="AE1456" s="36" t="s">
        <v>4381</v>
      </c>
      <c r="AF1456" s="292"/>
      <c r="AG1456" s="314"/>
      <c r="AH1456" s="293"/>
      <c r="AI1456" s="167"/>
      <c r="AJ1456" s="48"/>
      <c r="AK1456" s="15"/>
      <c r="AL1456" s="15"/>
    </row>
    <row r="1457" spans="1:38" ht="90" x14ac:dyDescent="0.25">
      <c r="A1457" s="179"/>
      <c r="B1457" s="292"/>
      <c r="C1457" s="314"/>
      <c r="D1457" s="293"/>
      <c r="E1457" s="28" t="s">
        <v>4386</v>
      </c>
      <c r="F1457" s="124" t="s">
        <v>4375</v>
      </c>
      <c r="G1457" s="182"/>
      <c r="H1457" s="125"/>
      <c r="I1457" s="183">
        <v>5</v>
      </c>
      <c r="J1457" s="185"/>
      <c r="K1457" s="110" t="s">
        <v>3922</v>
      </c>
      <c r="L1457" s="111"/>
      <c r="M1457" s="173" t="s">
        <v>3764</v>
      </c>
      <c r="N1457" s="276"/>
      <c r="O1457" s="174"/>
      <c r="P1457" s="285">
        <v>3</v>
      </c>
      <c r="Q1457" s="286"/>
      <c r="R1457" s="183">
        <v>11</v>
      </c>
      <c r="S1457" s="185"/>
      <c r="T1457" s="183">
        <v>4</v>
      </c>
      <c r="U1457" s="185"/>
      <c r="V1457" s="173" t="s">
        <v>4385</v>
      </c>
      <c r="W1457" s="174"/>
      <c r="X1457" s="297"/>
      <c r="Y1457" s="298"/>
      <c r="Z1457" s="299"/>
      <c r="AA1457" s="235"/>
      <c r="AB1457" s="236"/>
      <c r="AC1457" s="401" t="s">
        <v>678</v>
      </c>
      <c r="AD1457" s="403"/>
      <c r="AE1457" s="36"/>
      <c r="AF1457" s="292"/>
      <c r="AG1457" s="314"/>
      <c r="AH1457" s="293"/>
      <c r="AI1457" s="167"/>
      <c r="AJ1457" s="48"/>
      <c r="AK1457" s="15"/>
      <c r="AL1457" s="15"/>
    </row>
    <row r="1458" spans="1:38" ht="90" x14ac:dyDescent="0.25">
      <c r="A1458" s="179"/>
      <c r="B1458" s="292"/>
      <c r="C1458" s="314"/>
      <c r="D1458" s="293"/>
      <c r="E1458" s="28" t="s">
        <v>4387</v>
      </c>
      <c r="F1458" s="124" t="s">
        <v>4375</v>
      </c>
      <c r="G1458" s="182"/>
      <c r="H1458" s="125"/>
      <c r="I1458" s="110" t="s">
        <v>1062</v>
      </c>
      <c r="J1458" s="111"/>
      <c r="K1458" s="110" t="s">
        <v>3922</v>
      </c>
      <c r="L1458" s="111"/>
      <c r="M1458" s="173" t="s">
        <v>4388</v>
      </c>
      <c r="N1458" s="276"/>
      <c r="O1458" s="174"/>
      <c r="P1458" s="285">
        <v>3</v>
      </c>
      <c r="Q1458" s="286"/>
      <c r="R1458" s="183">
        <v>11</v>
      </c>
      <c r="S1458" s="185"/>
      <c r="T1458" s="183">
        <v>4</v>
      </c>
      <c r="U1458" s="185"/>
      <c r="V1458" s="173" t="s">
        <v>4389</v>
      </c>
      <c r="W1458" s="174"/>
      <c r="X1458" s="297"/>
      <c r="Y1458" s="298"/>
      <c r="Z1458" s="299"/>
      <c r="AA1458" s="235"/>
      <c r="AB1458" s="236"/>
      <c r="AC1458" s="401" t="s">
        <v>4379</v>
      </c>
      <c r="AD1458" s="403"/>
      <c r="AE1458" s="36"/>
      <c r="AF1458" s="292"/>
      <c r="AG1458" s="314"/>
      <c r="AH1458" s="293"/>
      <c r="AI1458" s="167"/>
      <c r="AJ1458" s="48"/>
      <c r="AK1458" s="15"/>
      <c r="AL1458" s="15"/>
    </row>
    <row r="1459" spans="1:38" ht="90" x14ac:dyDescent="0.25">
      <c r="A1459" s="179"/>
      <c r="B1459" s="292"/>
      <c r="C1459" s="314"/>
      <c r="D1459" s="293"/>
      <c r="E1459" s="28" t="s">
        <v>4390</v>
      </c>
      <c r="F1459" s="124" t="s">
        <v>4375</v>
      </c>
      <c r="G1459" s="182"/>
      <c r="H1459" s="125"/>
      <c r="I1459" s="110" t="s">
        <v>1062</v>
      </c>
      <c r="J1459" s="111"/>
      <c r="K1459" s="110" t="s">
        <v>3922</v>
      </c>
      <c r="L1459" s="111"/>
      <c r="M1459" s="173" t="s">
        <v>4388</v>
      </c>
      <c r="N1459" s="276"/>
      <c r="O1459" s="174"/>
      <c r="P1459" s="285">
        <v>3</v>
      </c>
      <c r="Q1459" s="286"/>
      <c r="R1459" s="183">
        <v>11</v>
      </c>
      <c r="S1459" s="185"/>
      <c r="T1459" s="183">
        <v>4</v>
      </c>
      <c r="U1459" s="185"/>
      <c r="V1459" s="173" t="s">
        <v>4389</v>
      </c>
      <c r="W1459" s="174"/>
      <c r="X1459" s="300"/>
      <c r="Y1459" s="301"/>
      <c r="Z1459" s="302"/>
      <c r="AA1459" s="237"/>
      <c r="AB1459" s="238"/>
      <c r="AC1459" s="401"/>
      <c r="AD1459" s="403"/>
      <c r="AE1459" s="36"/>
      <c r="AF1459" s="292"/>
      <c r="AG1459" s="314"/>
      <c r="AH1459" s="293"/>
      <c r="AI1459" s="167"/>
      <c r="AJ1459" s="48"/>
      <c r="AK1459" s="15"/>
      <c r="AL1459" s="15"/>
    </row>
    <row r="1460" spans="1:38" ht="90" x14ac:dyDescent="0.25">
      <c r="A1460" s="179"/>
      <c r="B1460" s="292"/>
      <c r="C1460" s="314"/>
      <c r="D1460" s="293"/>
      <c r="E1460" s="28" t="s">
        <v>4391</v>
      </c>
      <c r="F1460" s="124" t="s">
        <v>4392</v>
      </c>
      <c r="G1460" s="182"/>
      <c r="H1460" s="125"/>
      <c r="I1460" s="110" t="s">
        <v>729</v>
      </c>
      <c r="J1460" s="111"/>
      <c r="K1460" s="110" t="s">
        <v>4393</v>
      </c>
      <c r="L1460" s="111"/>
      <c r="M1460" s="173" t="s">
        <v>4394</v>
      </c>
      <c r="N1460" s="276"/>
      <c r="O1460" s="174"/>
      <c r="P1460" s="285">
        <v>5</v>
      </c>
      <c r="Q1460" s="286"/>
      <c r="R1460" s="183">
        <v>14</v>
      </c>
      <c r="S1460" s="185"/>
      <c r="T1460" s="183">
        <v>5</v>
      </c>
      <c r="U1460" s="185"/>
      <c r="V1460" s="173" t="s">
        <v>4395</v>
      </c>
      <c r="W1460" s="174"/>
      <c r="X1460" s="252">
        <v>129</v>
      </c>
      <c r="Y1460" s="253"/>
      <c r="Z1460" s="254"/>
      <c r="AA1460" s="233" t="s">
        <v>826</v>
      </c>
      <c r="AB1460" s="234"/>
      <c r="AC1460" s="401"/>
      <c r="AD1460" s="403"/>
      <c r="AE1460" s="36"/>
      <c r="AF1460" s="292"/>
      <c r="AG1460" s="314"/>
      <c r="AH1460" s="293"/>
      <c r="AI1460" s="167"/>
      <c r="AJ1460" s="48"/>
      <c r="AK1460" s="15"/>
      <c r="AL1460" s="15"/>
    </row>
    <row r="1461" spans="1:38" ht="105" x14ac:dyDescent="0.25">
      <c r="A1461" s="179"/>
      <c r="B1461" s="292"/>
      <c r="C1461" s="314"/>
      <c r="D1461" s="293"/>
      <c r="E1461" s="28" t="s">
        <v>4396</v>
      </c>
      <c r="F1461" s="124" t="s">
        <v>4392</v>
      </c>
      <c r="G1461" s="182"/>
      <c r="H1461" s="125"/>
      <c r="I1461" s="183">
        <v>8</v>
      </c>
      <c r="J1461" s="185"/>
      <c r="K1461" s="110" t="s">
        <v>4393</v>
      </c>
      <c r="L1461" s="111"/>
      <c r="M1461" s="173" t="s">
        <v>4394</v>
      </c>
      <c r="N1461" s="276"/>
      <c r="O1461" s="174"/>
      <c r="P1461" s="285">
        <v>5</v>
      </c>
      <c r="Q1461" s="286"/>
      <c r="R1461" s="183">
        <v>14</v>
      </c>
      <c r="S1461" s="185"/>
      <c r="T1461" s="183">
        <v>5</v>
      </c>
      <c r="U1461" s="185"/>
      <c r="V1461" s="173" t="s">
        <v>4395</v>
      </c>
      <c r="W1461" s="174"/>
      <c r="X1461" s="311"/>
      <c r="Y1461" s="312"/>
      <c r="Z1461" s="313"/>
      <c r="AA1461" s="235"/>
      <c r="AB1461" s="236"/>
      <c r="AC1461" s="401"/>
      <c r="AD1461" s="403"/>
      <c r="AE1461" s="36"/>
      <c r="AF1461" s="292"/>
      <c r="AG1461" s="314"/>
      <c r="AH1461" s="293"/>
      <c r="AI1461" s="167"/>
      <c r="AJ1461" s="48"/>
      <c r="AK1461" s="15"/>
      <c r="AL1461" s="15"/>
    </row>
    <row r="1462" spans="1:38" ht="105" x14ac:dyDescent="0.25">
      <c r="A1462" s="179"/>
      <c r="B1462" s="292"/>
      <c r="C1462" s="314"/>
      <c r="D1462" s="293"/>
      <c r="E1462" s="28" t="s">
        <v>4397</v>
      </c>
      <c r="F1462" s="124" t="s">
        <v>4392</v>
      </c>
      <c r="G1462" s="182"/>
      <c r="H1462" s="125"/>
      <c r="I1462" s="110" t="s">
        <v>729</v>
      </c>
      <c r="J1462" s="111"/>
      <c r="K1462" s="110" t="s">
        <v>4393</v>
      </c>
      <c r="L1462" s="111"/>
      <c r="M1462" s="173" t="s">
        <v>4398</v>
      </c>
      <c r="N1462" s="276"/>
      <c r="O1462" s="174"/>
      <c r="P1462" s="285">
        <v>5</v>
      </c>
      <c r="Q1462" s="286"/>
      <c r="R1462" s="183">
        <v>14</v>
      </c>
      <c r="S1462" s="185"/>
      <c r="T1462" s="183">
        <v>5</v>
      </c>
      <c r="U1462" s="185"/>
      <c r="V1462" s="173" t="s">
        <v>4399</v>
      </c>
      <c r="W1462" s="174"/>
      <c r="X1462" s="311"/>
      <c r="Y1462" s="312"/>
      <c r="Z1462" s="313"/>
      <c r="AA1462" s="235"/>
      <c r="AB1462" s="236"/>
      <c r="AC1462" s="401"/>
      <c r="AD1462" s="403"/>
      <c r="AE1462" s="36"/>
      <c r="AF1462" s="292"/>
      <c r="AG1462" s="314"/>
      <c r="AH1462" s="293"/>
      <c r="AI1462" s="167"/>
      <c r="AJ1462" s="48"/>
      <c r="AK1462" s="15"/>
      <c r="AL1462" s="15"/>
    </row>
    <row r="1463" spans="1:38" ht="90" x14ac:dyDescent="0.25">
      <c r="A1463" s="179"/>
      <c r="B1463" s="292"/>
      <c r="C1463" s="314"/>
      <c r="D1463" s="293"/>
      <c r="E1463" s="28" t="s">
        <v>4400</v>
      </c>
      <c r="F1463" s="124" t="s">
        <v>4392</v>
      </c>
      <c r="G1463" s="182"/>
      <c r="H1463" s="125"/>
      <c r="I1463" s="183">
        <v>8</v>
      </c>
      <c r="J1463" s="185"/>
      <c r="K1463" s="110" t="s">
        <v>4393</v>
      </c>
      <c r="L1463" s="111"/>
      <c r="M1463" s="173" t="s">
        <v>4398</v>
      </c>
      <c r="N1463" s="276"/>
      <c r="O1463" s="174"/>
      <c r="P1463" s="285">
        <v>5</v>
      </c>
      <c r="Q1463" s="286"/>
      <c r="R1463" s="183">
        <v>14</v>
      </c>
      <c r="S1463" s="185"/>
      <c r="T1463" s="183">
        <v>5</v>
      </c>
      <c r="U1463" s="185"/>
      <c r="V1463" s="173" t="s">
        <v>4399</v>
      </c>
      <c r="W1463" s="174"/>
      <c r="X1463" s="311"/>
      <c r="Y1463" s="312"/>
      <c r="Z1463" s="313"/>
      <c r="AA1463" s="235"/>
      <c r="AB1463" s="236"/>
      <c r="AC1463" s="401"/>
      <c r="AD1463" s="403"/>
      <c r="AE1463" s="36"/>
      <c r="AF1463" s="292"/>
      <c r="AG1463" s="314"/>
      <c r="AH1463" s="293"/>
      <c r="AI1463" s="167"/>
      <c r="AJ1463" s="48"/>
      <c r="AK1463" s="15"/>
      <c r="AL1463" s="15"/>
    </row>
    <row r="1464" spans="1:38" ht="90" x14ac:dyDescent="0.25">
      <c r="A1464" s="179"/>
      <c r="B1464" s="292"/>
      <c r="C1464" s="314"/>
      <c r="D1464" s="293"/>
      <c r="E1464" s="28" t="s">
        <v>4401</v>
      </c>
      <c r="F1464" s="124" t="s">
        <v>4392</v>
      </c>
      <c r="G1464" s="182"/>
      <c r="H1464" s="125"/>
      <c r="I1464" s="110" t="s">
        <v>729</v>
      </c>
      <c r="J1464" s="111"/>
      <c r="K1464" s="110" t="s">
        <v>4393</v>
      </c>
      <c r="L1464" s="111"/>
      <c r="M1464" s="173" t="s">
        <v>4402</v>
      </c>
      <c r="N1464" s="276"/>
      <c r="O1464" s="174"/>
      <c r="P1464" s="285">
        <v>5</v>
      </c>
      <c r="Q1464" s="286"/>
      <c r="R1464" s="183">
        <v>14</v>
      </c>
      <c r="S1464" s="185"/>
      <c r="T1464" s="183">
        <v>5</v>
      </c>
      <c r="U1464" s="185"/>
      <c r="V1464" s="173" t="s">
        <v>954</v>
      </c>
      <c r="W1464" s="174"/>
      <c r="X1464" s="311"/>
      <c r="Y1464" s="312"/>
      <c r="Z1464" s="313"/>
      <c r="AA1464" s="235"/>
      <c r="AB1464" s="236"/>
      <c r="AC1464" s="401"/>
      <c r="AD1464" s="403"/>
      <c r="AE1464" s="36"/>
      <c r="AF1464" s="292"/>
      <c r="AG1464" s="314"/>
      <c r="AH1464" s="293"/>
      <c r="AI1464" s="167"/>
      <c r="AJ1464" s="48"/>
      <c r="AK1464" s="15"/>
      <c r="AL1464" s="15"/>
    </row>
    <row r="1465" spans="1:38" ht="90" x14ac:dyDescent="0.25">
      <c r="A1465" s="179"/>
      <c r="B1465" s="292"/>
      <c r="C1465" s="314"/>
      <c r="D1465" s="293"/>
      <c r="E1465" s="28" t="s">
        <v>4403</v>
      </c>
      <c r="F1465" s="124" t="s">
        <v>4392</v>
      </c>
      <c r="G1465" s="182"/>
      <c r="H1465" s="125"/>
      <c r="I1465" s="183">
        <v>8</v>
      </c>
      <c r="J1465" s="185"/>
      <c r="K1465" s="110" t="s">
        <v>4393</v>
      </c>
      <c r="L1465" s="111"/>
      <c r="M1465" s="173" t="s">
        <v>4402</v>
      </c>
      <c r="N1465" s="276"/>
      <c r="O1465" s="174"/>
      <c r="P1465" s="285">
        <v>5</v>
      </c>
      <c r="Q1465" s="286"/>
      <c r="R1465" s="183">
        <v>14</v>
      </c>
      <c r="S1465" s="185"/>
      <c r="T1465" s="183">
        <v>5</v>
      </c>
      <c r="U1465" s="185"/>
      <c r="V1465" s="173" t="s">
        <v>954</v>
      </c>
      <c r="W1465" s="174"/>
      <c r="X1465" s="255"/>
      <c r="Y1465" s="256"/>
      <c r="Z1465" s="257"/>
      <c r="AA1465" s="237"/>
      <c r="AB1465" s="238"/>
      <c r="AC1465" s="401"/>
      <c r="AD1465" s="403"/>
      <c r="AE1465" s="36"/>
      <c r="AF1465" s="292"/>
      <c r="AG1465" s="314"/>
      <c r="AH1465" s="293"/>
      <c r="AI1465" s="167"/>
      <c r="AJ1465" s="48"/>
      <c r="AK1465" s="15"/>
      <c r="AL1465" s="15"/>
    </row>
    <row r="1466" spans="1:38" ht="90" x14ac:dyDescent="0.25">
      <c r="A1466" s="179"/>
      <c r="B1466" s="292"/>
      <c r="C1466" s="314"/>
      <c r="D1466" s="293"/>
      <c r="E1466" s="28" t="s">
        <v>4404</v>
      </c>
      <c r="F1466" s="124" t="s">
        <v>2028</v>
      </c>
      <c r="G1466" s="182"/>
      <c r="H1466" s="125"/>
      <c r="I1466" s="110" t="s">
        <v>4405</v>
      </c>
      <c r="J1466" s="111"/>
      <c r="K1466" s="110" t="s">
        <v>2029</v>
      </c>
      <c r="L1466" s="111"/>
      <c r="M1466" s="173" t="s">
        <v>4406</v>
      </c>
      <c r="N1466" s="276"/>
      <c r="O1466" s="174"/>
      <c r="P1466" s="285">
        <v>6</v>
      </c>
      <c r="Q1466" s="286"/>
      <c r="R1466" s="183">
        <v>18</v>
      </c>
      <c r="S1466" s="185"/>
      <c r="T1466" s="183">
        <v>6</v>
      </c>
      <c r="U1466" s="185"/>
      <c r="V1466" s="173" t="s">
        <v>4407</v>
      </c>
      <c r="W1466" s="174"/>
      <c r="X1466" s="252">
        <v>169</v>
      </c>
      <c r="Y1466" s="253"/>
      <c r="Z1466" s="254"/>
      <c r="AA1466" s="233" t="s">
        <v>826</v>
      </c>
      <c r="AB1466" s="234"/>
      <c r="AC1466" s="401"/>
      <c r="AD1466" s="403"/>
      <c r="AE1466" s="36"/>
      <c r="AF1466" s="292"/>
      <c r="AG1466" s="314"/>
      <c r="AH1466" s="293"/>
      <c r="AI1466" s="167"/>
      <c r="AJ1466" s="48"/>
      <c r="AK1466" s="15"/>
      <c r="AL1466" s="15"/>
    </row>
    <row r="1467" spans="1:38" ht="90" x14ac:dyDescent="0.25">
      <c r="A1467" s="179"/>
      <c r="B1467" s="292"/>
      <c r="C1467" s="314"/>
      <c r="D1467" s="293"/>
      <c r="E1467" s="28" t="s">
        <v>4408</v>
      </c>
      <c r="F1467" s="124" t="s">
        <v>2028</v>
      </c>
      <c r="G1467" s="182"/>
      <c r="H1467" s="125"/>
      <c r="I1467" s="110" t="s">
        <v>4409</v>
      </c>
      <c r="J1467" s="111"/>
      <c r="K1467" s="110" t="s">
        <v>2029</v>
      </c>
      <c r="L1467" s="111"/>
      <c r="M1467" s="173" t="s">
        <v>4406</v>
      </c>
      <c r="N1467" s="276"/>
      <c r="O1467" s="174"/>
      <c r="P1467" s="285">
        <v>6</v>
      </c>
      <c r="Q1467" s="286"/>
      <c r="R1467" s="183">
        <v>18</v>
      </c>
      <c r="S1467" s="185"/>
      <c r="T1467" s="183">
        <v>6</v>
      </c>
      <c r="U1467" s="185"/>
      <c r="V1467" s="173" t="s">
        <v>4407</v>
      </c>
      <c r="W1467" s="174"/>
      <c r="X1467" s="311"/>
      <c r="Y1467" s="312"/>
      <c r="Z1467" s="313"/>
      <c r="AA1467" s="235"/>
      <c r="AB1467" s="236"/>
      <c r="AC1467" s="401"/>
      <c r="AD1467" s="403"/>
      <c r="AE1467" s="36"/>
      <c r="AF1467" s="292"/>
      <c r="AG1467" s="314"/>
      <c r="AH1467" s="293"/>
      <c r="AI1467" s="167"/>
      <c r="AJ1467" s="48"/>
      <c r="AK1467" s="15"/>
      <c r="AL1467" s="15"/>
    </row>
    <row r="1468" spans="1:38" ht="90" x14ac:dyDescent="0.25">
      <c r="A1468" s="179"/>
      <c r="B1468" s="292"/>
      <c r="C1468" s="314"/>
      <c r="D1468" s="293"/>
      <c r="E1468" s="28" t="s">
        <v>4410</v>
      </c>
      <c r="F1468" s="124" t="s">
        <v>2028</v>
      </c>
      <c r="G1468" s="182"/>
      <c r="H1468" s="125"/>
      <c r="I1468" s="110" t="s">
        <v>4405</v>
      </c>
      <c r="J1468" s="111"/>
      <c r="K1468" s="110" t="s">
        <v>2029</v>
      </c>
      <c r="L1468" s="111"/>
      <c r="M1468" s="173" t="s">
        <v>4411</v>
      </c>
      <c r="N1468" s="276"/>
      <c r="O1468" s="174"/>
      <c r="P1468" s="285">
        <v>6</v>
      </c>
      <c r="Q1468" s="286"/>
      <c r="R1468" s="183">
        <v>18</v>
      </c>
      <c r="S1468" s="185"/>
      <c r="T1468" s="183">
        <v>6</v>
      </c>
      <c r="U1468" s="185"/>
      <c r="V1468" s="173" t="s">
        <v>4412</v>
      </c>
      <c r="W1468" s="174"/>
      <c r="X1468" s="311"/>
      <c r="Y1468" s="312"/>
      <c r="Z1468" s="313"/>
      <c r="AA1468" s="235"/>
      <c r="AB1468" s="236"/>
      <c r="AC1468" s="401"/>
      <c r="AD1468" s="403"/>
      <c r="AE1468" s="36"/>
      <c r="AF1468" s="292"/>
      <c r="AG1468" s="314"/>
      <c r="AH1468" s="293"/>
      <c r="AI1468" s="167"/>
      <c r="AJ1468" s="48"/>
      <c r="AK1468" s="15"/>
      <c r="AL1468" s="15"/>
    </row>
    <row r="1469" spans="1:38" ht="90" x14ac:dyDescent="0.25">
      <c r="A1469" s="179"/>
      <c r="B1469" s="292"/>
      <c r="C1469" s="314"/>
      <c r="D1469" s="293"/>
      <c r="E1469" s="28" t="s">
        <v>4413</v>
      </c>
      <c r="F1469" s="124" t="s">
        <v>2028</v>
      </c>
      <c r="G1469" s="182"/>
      <c r="H1469" s="125"/>
      <c r="I1469" s="110" t="s">
        <v>4409</v>
      </c>
      <c r="J1469" s="111"/>
      <c r="K1469" s="110" t="s">
        <v>2029</v>
      </c>
      <c r="L1469" s="111"/>
      <c r="M1469" s="173" t="s">
        <v>4411</v>
      </c>
      <c r="N1469" s="276"/>
      <c r="O1469" s="174"/>
      <c r="P1469" s="285">
        <v>6</v>
      </c>
      <c r="Q1469" s="286"/>
      <c r="R1469" s="183">
        <v>18</v>
      </c>
      <c r="S1469" s="185"/>
      <c r="T1469" s="183">
        <v>6</v>
      </c>
      <c r="U1469" s="185"/>
      <c r="V1469" s="173" t="s">
        <v>4412</v>
      </c>
      <c r="W1469" s="174"/>
      <c r="X1469" s="311"/>
      <c r="Y1469" s="312"/>
      <c r="Z1469" s="313"/>
      <c r="AA1469" s="235"/>
      <c r="AB1469" s="236"/>
      <c r="AC1469" s="401"/>
      <c r="AD1469" s="403"/>
      <c r="AE1469" s="36"/>
      <c r="AF1469" s="292"/>
      <c r="AG1469" s="314"/>
      <c r="AH1469" s="293"/>
      <c r="AI1469" s="167"/>
      <c r="AJ1469" s="48"/>
      <c r="AK1469" s="15"/>
      <c r="AL1469" s="15"/>
    </row>
    <row r="1470" spans="1:38" ht="90" x14ac:dyDescent="0.25">
      <c r="A1470" s="179"/>
      <c r="B1470" s="292"/>
      <c r="C1470" s="314"/>
      <c r="D1470" s="293"/>
      <c r="E1470" s="28" t="s">
        <v>4414</v>
      </c>
      <c r="F1470" s="124" t="s">
        <v>2028</v>
      </c>
      <c r="G1470" s="182"/>
      <c r="H1470" s="125"/>
      <c r="I1470" s="110" t="s">
        <v>4405</v>
      </c>
      <c r="J1470" s="111"/>
      <c r="K1470" s="110" t="s">
        <v>2029</v>
      </c>
      <c r="L1470" s="111"/>
      <c r="M1470" s="173" t="s">
        <v>4415</v>
      </c>
      <c r="N1470" s="276"/>
      <c r="O1470" s="174"/>
      <c r="P1470" s="285">
        <v>6</v>
      </c>
      <c r="Q1470" s="286"/>
      <c r="R1470" s="183">
        <v>18</v>
      </c>
      <c r="S1470" s="185"/>
      <c r="T1470" s="183">
        <v>6</v>
      </c>
      <c r="U1470" s="185"/>
      <c r="V1470" s="173" t="s">
        <v>4416</v>
      </c>
      <c r="W1470" s="174"/>
      <c r="X1470" s="311"/>
      <c r="Y1470" s="312"/>
      <c r="Z1470" s="313"/>
      <c r="AA1470" s="235"/>
      <c r="AB1470" s="236"/>
      <c r="AC1470" s="401"/>
      <c r="AD1470" s="403"/>
      <c r="AE1470" s="36"/>
      <c r="AF1470" s="292"/>
      <c r="AG1470" s="314"/>
      <c r="AH1470" s="293"/>
      <c r="AI1470" s="167"/>
      <c r="AJ1470" s="48"/>
      <c r="AK1470" s="15"/>
      <c r="AL1470" s="15"/>
    </row>
    <row r="1471" spans="1:38" ht="90" x14ac:dyDescent="0.25">
      <c r="A1471" s="179"/>
      <c r="B1471" s="292"/>
      <c r="C1471" s="314"/>
      <c r="D1471" s="293"/>
      <c r="E1471" s="28" t="s">
        <v>4417</v>
      </c>
      <c r="F1471" s="124" t="s">
        <v>2028</v>
      </c>
      <c r="G1471" s="182"/>
      <c r="H1471" s="125"/>
      <c r="I1471" s="110" t="s">
        <v>4409</v>
      </c>
      <c r="J1471" s="111"/>
      <c r="K1471" s="110" t="s">
        <v>2029</v>
      </c>
      <c r="L1471" s="111"/>
      <c r="M1471" s="173" t="s">
        <v>4415</v>
      </c>
      <c r="N1471" s="276"/>
      <c r="O1471" s="174"/>
      <c r="P1471" s="285">
        <v>6</v>
      </c>
      <c r="Q1471" s="286"/>
      <c r="R1471" s="183">
        <v>18</v>
      </c>
      <c r="S1471" s="185"/>
      <c r="T1471" s="183">
        <v>6</v>
      </c>
      <c r="U1471" s="185"/>
      <c r="V1471" s="173" t="s">
        <v>4416</v>
      </c>
      <c r="W1471" s="174"/>
      <c r="X1471" s="255"/>
      <c r="Y1471" s="256"/>
      <c r="Z1471" s="257"/>
      <c r="AA1471" s="237"/>
      <c r="AB1471" s="238"/>
      <c r="AC1471" s="401"/>
      <c r="AD1471" s="403"/>
      <c r="AE1471" s="36"/>
      <c r="AF1471" s="292"/>
      <c r="AG1471" s="314"/>
      <c r="AH1471" s="293"/>
      <c r="AI1471" s="167"/>
      <c r="AJ1471" s="48"/>
      <c r="AK1471" s="15"/>
      <c r="AL1471" s="15"/>
    </row>
    <row r="1472" spans="1:38" ht="90" x14ac:dyDescent="0.25">
      <c r="A1472" s="179"/>
      <c r="B1472" s="292"/>
      <c r="C1472" s="314"/>
      <c r="D1472" s="293"/>
      <c r="E1472" s="28" t="s">
        <v>4418</v>
      </c>
      <c r="F1472" s="124" t="s">
        <v>2051</v>
      </c>
      <c r="G1472" s="182"/>
      <c r="H1472" s="125"/>
      <c r="I1472" s="110" t="s">
        <v>3150</v>
      </c>
      <c r="J1472" s="111"/>
      <c r="K1472" s="110" t="s">
        <v>2052</v>
      </c>
      <c r="L1472" s="111"/>
      <c r="M1472" s="173" t="s">
        <v>4419</v>
      </c>
      <c r="N1472" s="276"/>
      <c r="O1472" s="174"/>
      <c r="P1472" s="285">
        <v>8</v>
      </c>
      <c r="Q1472" s="286"/>
      <c r="R1472" s="183">
        <v>25</v>
      </c>
      <c r="S1472" s="185"/>
      <c r="T1472" s="183">
        <v>7</v>
      </c>
      <c r="U1472" s="185"/>
      <c r="V1472" s="173" t="s">
        <v>4420</v>
      </c>
      <c r="W1472" s="174"/>
      <c r="X1472" s="252">
        <v>199</v>
      </c>
      <c r="Y1472" s="253"/>
      <c r="Z1472" s="254"/>
      <c r="AA1472" s="233" t="s">
        <v>1090</v>
      </c>
      <c r="AB1472" s="234"/>
      <c r="AC1472" s="401"/>
      <c r="AD1472" s="403"/>
      <c r="AE1472" s="36"/>
      <c r="AF1472" s="292"/>
      <c r="AG1472" s="314"/>
      <c r="AH1472" s="293"/>
      <c r="AI1472" s="167"/>
      <c r="AJ1472" s="48"/>
      <c r="AK1472" s="15"/>
      <c r="AL1472" s="15"/>
    </row>
    <row r="1473" spans="1:38" ht="90" x14ac:dyDescent="0.25">
      <c r="A1473" s="179"/>
      <c r="B1473" s="292"/>
      <c r="C1473" s="314"/>
      <c r="D1473" s="293"/>
      <c r="E1473" s="28" t="s">
        <v>4421</v>
      </c>
      <c r="F1473" s="124" t="s">
        <v>2051</v>
      </c>
      <c r="G1473" s="182"/>
      <c r="H1473" s="125"/>
      <c r="I1473" s="183">
        <v>13</v>
      </c>
      <c r="J1473" s="185"/>
      <c r="K1473" s="110" t="s">
        <v>2052</v>
      </c>
      <c r="L1473" s="111"/>
      <c r="M1473" s="173" t="s">
        <v>4419</v>
      </c>
      <c r="N1473" s="276"/>
      <c r="O1473" s="174"/>
      <c r="P1473" s="285">
        <v>8</v>
      </c>
      <c r="Q1473" s="286"/>
      <c r="R1473" s="183">
        <v>25</v>
      </c>
      <c r="S1473" s="185"/>
      <c r="T1473" s="183">
        <v>7</v>
      </c>
      <c r="U1473" s="185"/>
      <c r="V1473" s="173" t="s">
        <v>4420</v>
      </c>
      <c r="W1473" s="174"/>
      <c r="X1473" s="311"/>
      <c r="Y1473" s="312"/>
      <c r="Z1473" s="313"/>
      <c r="AA1473" s="235"/>
      <c r="AB1473" s="236"/>
      <c r="AC1473" s="401"/>
      <c r="AD1473" s="403"/>
      <c r="AE1473" s="36"/>
      <c r="AF1473" s="292"/>
      <c r="AG1473" s="314"/>
      <c r="AH1473" s="293"/>
      <c r="AI1473" s="167"/>
      <c r="AJ1473" s="48"/>
      <c r="AK1473" s="15"/>
      <c r="AL1473" s="15"/>
    </row>
    <row r="1474" spans="1:38" ht="105" x14ac:dyDescent="0.25">
      <c r="A1474" s="179"/>
      <c r="B1474" s="292"/>
      <c r="C1474" s="314"/>
      <c r="D1474" s="293"/>
      <c r="E1474" s="28" t="s">
        <v>4422</v>
      </c>
      <c r="F1474" s="124" t="s">
        <v>2051</v>
      </c>
      <c r="G1474" s="182"/>
      <c r="H1474" s="125"/>
      <c r="I1474" s="110" t="s">
        <v>3150</v>
      </c>
      <c r="J1474" s="111"/>
      <c r="K1474" s="110" t="s">
        <v>2052</v>
      </c>
      <c r="L1474" s="111"/>
      <c r="M1474" s="173" t="s">
        <v>4423</v>
      </c>
      <c r="N1474" s="276"/>
      <c r="O1474" s="174"/>
      <c r="P1474" s="285">
        <v>8</v>
      </c>
      <c r="Q1474" s="286"/>
      <c r="R1474" s="183">
        <v>25</v>
      </c>
      <c r="S1474" s="185"/>
      <c r="T1474" s="183">
        <v>7</v>
      </c>
      <c r="U1474" s="185"/>
      <c r="V1474" s="173" t="s">
        <v>4424</v>
      </c>
      <c r="W1474" s="174"/>
      <c r="X1474" s="311"/>
      <c r="Y1474" s="312"/>
      <c r="Z1474" s="313"/>
      <c r="AA1474" s="235"/>
      <c r="AB1474" s="236"/>
      <c r="AC1474" s="401"/>
      <c r="AD1474" s="403"/>
      <c r="AE1474" s="36"/>
      <c r="AF1474" s="292"/>
      <c r="AG1474" s="314"/>
      <c r="AH1474" s="293"/>
      <c r="AI1474" s="167"/>
      <c r="AJ1474" s="48"/>
      <c r="AK1474" s="15"/>
      <c r="AL1474" s="15"/>
    </row>
    <row r="1475" spans="1:38" ht="90" x14ac:dyDescent="0.25">
      <c r="A1475" s="179"/>
      <c r="B1475" s="292"/>
      <c r="C1475" s="314"/>
      <c r="D1475" s="293"/>
      <c r="E1475" s="28" t="s">
        <v>4425</v>
      </c>
      <c r="F1475" s="124" t="s">
        <v>2051</v>
      </c>
      <c r="G1475" s="182"/>
      <c r="H1475" s="125"/>
      <c r="I1475" s="183">
        <v>13</v>
      </c>
      <c r="J1475" s="185"/>
      <c r="K1475" s="110" t="s">
        <v>2052</v>
      </c>
      <c r="L1475" s="111"/>
      <c r="M1475" s="173" t="s">
        <v>4423</v>
      </c>
      <c r="N1475" s="276"/>
      <c r="O1475" s="174"/>
      <c r="P1475" s="285">
        <v>8</v>
      </c>
      <c r="Q1475" s="286"/>
      <c r="R1475" s="183">
        <v>25</v>
      </c>
      <c r="S1475" s="185"/>
      <c r="T1475" s="183">
        <v>7</v>
      </c>
      <c r="U1475" s="185"/>
      <c r="V1475" s="173" t="s">
        <v>4424</v>
      </c>
      <c r="W1475" s="174"/>
      <c r="X1475" s="311"/>
      <c r="Y1475" s="312"/>
      <c r="Z1475" s="313"/>
      <c r="AA1475" s="235"/>
      <c r="AB1475" s="236"/>
      <c r="AC1475" s="401"/>
      <c r="AD1475" s="403"/>
      <c r="AE1475" s="36"/>
      <c r="AF1475" s="292"/>
      <c r="AG1475" s="314"/>
      <c r="AH1475" s="293"/>
      <c r="AI1475" s="167"/>
      <c r="AJ1475" s="48"/>
      <c r="AK1475" s="15"/>
      <c r="AL1475" s="15"/>
    </row>
    <row r="1476" spans="1:38" ht="90" x14ac:dyDescent="0.25">
      <c r="A1476" s="179"/>
      <c r="B1476" s="292"/>
      <c r="C1476" s="314"/>
      <c r="D1476" s="293"/>
      <c r="E1476" s="28" t="s">
        <v>4426</v>
      </c>
      <c r="F1476" s="124" t="s">
        <v>2051</v>
      </c>
      <c r="G1476" s="182"/>
      <c r="H1476" s="125"/>
      <c r="I1476" s="110" t="s">
        <v>3150</v>
      </c>
      <c r="J1476" s="111"/>
      <c r="K1476" s="110" t="s">
        <v>2052</v>
      </c>
      <c r="L1476" s="111"/>
      <c r="M1476" s="173" t="s">
        <v>4427</v>
      </c>
      <c r="N1476" s="276"/>
      <c r="O1476" s="174"/>
      <c r="P1476" s="285">
        <v>8</v>
      </c>
      <c r="Q1476" s="286"/>
      <c r="R1476" s="183">
        <v>25</v>
      </c>
      <c r="S1476" s="185"/>
      <c r="T1476" s="183">
        <v>7</v>
      </c>
      <c r="U1476" s="185"/>
      <c r="V1476" s="173" t="s">
        <v>4428</v>
      </c>
      <c r="W1476" s="174"/>
      <c r="X1476" s="311"/>
      <c r="Y1476" s="312"/>
      <c r="Z1476" s="313"/>
      <c r="AA1476" s="235"/>
      <c r="AB1476" s="236"/>
      <c r="AC1476" s="401"/>
      <c r="AD1476" s="403"/>
      <c r="AE1476" s="36"/>
      <c r="AF1476" s="292"/>
      <c r="AG1476" s="314"/>
      <c r="AH1476" s="293"/>
      <c r="AI1476" s="167"/>
      <c r="AJ1476" s="48"/>
      <c r="AK1476" s="15"/>
      <c r="AL1476" s="15"/>
    </row>
    <row r="1477" spans="1:38" ht="90" x14ac:dyDescent="0.25">
      <c r="A1477" s="230"/>
      <c r="B1477" s="290"/>
      <c r="C1477" s="345"/>
      <c r="D1477" s="291"/>
      <c r="E1477" s="28" t="s">
        <v>4429</v>
      </c>
      <c r="F1477" s="124" t="s">
        <v>2051</v>
      </c>
      <c r="G1477" s="182"/>
      <c r="H1477" s="125"/>
      <c r="I1477" s="183">
        <v>13</v>
      </c>
      <c r="J1477" s="185"/>
      <c r="K1477" s="110" t="s">
        <v>2052</v>
      </c>
      <c r="L1477" s="111"/>
      <c r="M1477" s="173" t="s">
        <v>4427</v>
      </c>
      <c r="N1477" s="276"/>
      <c r="O1477" s="174"/>
      <c r="P1477" s="285">
        <v>8</v>
      </c>
      <c r="Q1477" s="286"/>
      <c r="R1477" s="183">
        <v>25</v>
      </c>
      <c r="S1477" s="185"/>
      <c r="T1477" s="183">
        <v>7</v>
      </c>
      <c r="U1477" s="185"/>
      <c r="V1477" s="173" t="s">
        <v>4428</v>
      </c>
      <c r="W1477" s="174"/>
      <c r="X1477" s="255"/>
      <c r="Y1477" s="256"/>
      <c r="Z1477" s="257"/>
      <c r="AA1477" s="237"/>
      <c r="AB1477" s="238"/>
      <c r="AC1477" s="404"/>
      <c r="AD1477" s="406"/>
      <c r="AE1477" s="36"/>
      <c r="AF1477" s="290"/>
      <c r="AG1477" s="345"/>
      <c r="AH1477" s="291"/>
      <c r="AI1477" s="167"/>
      <c r="AJ1477" s="48"/>
      <c r="AK1477" s="15"/>
      <c r="AL1477" s="15"/>
    </row>
    <row r="1478" spans="1:38" ht="90" x14ac:dyDescent="0.25">
      <c r="A1478" s="178"/>
      <c r="B1478" s="303" t="s">
        <v>4430</v>
      </c>
      <c r="C1478" s="344"/>
      <c r="D1478" s="304"/>
      <c r="E1478" s="28" t="s">
        <v>4431</v>
      </c>
      <c r="F1478" s="233" t="s">
        <v>4432</v>
      </c>
      <c r="G1478" s="305"/>
      <c r="H1478" s="234"/>
      <c r="I1478" s="183">
        <v>15</v>
      </c>
      <c r="J1478" s="185"/>
      <c r="K1478" s="88" t="s">
        <v>4433</v>
      </c>
      <c r="L1478" s="89"/>
      <c r="M1478" s="173" t="s">
        <v>4434</v>
      </c>
      <c r="N1478" s="276"/>
      <c r="O1478" s="174"/>
      <c r="P1478" s="173" t="s">
        <v>4435</v>
      </c>
      <c r="Q1478" s="174"/>
      <c r="R1478" s="88" t="s">
        <v>977</v>
      </c>
      <c r="S1478" s="89"/>
      <c r="T1478" s="183">
        <v>15</v>
      </c>
      <c r="U1478" s="185"/>
      <c r="V1478" s="173" t="s">
        <v>4436</v>
      </c>
      <c r="W1478" s="174"/>
      <c r="X1478" s="294">
        <v>235</v>
      </c>
      <c r="Y1478" s="295"/>
      <c r="Z1478" s="296"/>
      <c r="AA1478" s="233" t="s">
        <v>1342</v>
      </c>
      <c r="AB1478" s="234"/>
      <c r="AC1478" s="409" t="s">
        <v>675</v>
      </c>
      <c r="AD1478" s="411"/>
      <c r="AE1478" s="35" t="s">
        <v>4439</v>
      </c>
      <c r="AF1478" s="303" t="s">
        <v>4441</v>
      </c>
      <c r="AG1478" s="344"/>
      <c r="AH1478" s="304"/>
      <c r="AI1478" s="167"/>
      <c r="AJ1478" s="48"/>
      <c r="AK1478" s="15"/>
      <c r="AL1478" s="15"/>
    </row>
    <row r="1479" spans="1:38" ht="105" x14ac:dyDescent="0.25">
      <c r="A1479" s="179"/>
      <c r="B1479" s="292"/>
      <c r="C1479" s="314"/>
      <c r="D1479" s="293"/>
      <c r="E1479" s="28" t="s">
        <v>4442</v>
      </c>
      <c r="F1479" s="235"/>
      <c r="G1479" s="270"/>
      <c r="H1479" s="236"/>
      <c r="I1479" s="183">
        <v>15</v>
      </c>
      <c r="J1479" s="185"/>
      <c r="K1479" s="126" t="s">
        <v>4433</v>
      </c>
      <c r="L1479" s="127"/>
      <c r="M1479" s="173" t="s">
        <v>4434</v>
      </c>
      <c r="N1479" s="276"/>
      <c r="O1479" s="174"/>
      <c r="P1479" s="173" t="s">
        <v>4435</v>
      </c>
      <c r="Q1479" s="174"/>
      <c r="R1479" s="126" t="s">
        <v>977</v>
      </c>
      <c r="S1479" s="127"/>
      <c r="T1479" s="183">
        <v>15</v>
      </c>
      <c r="U1479" s="185"/>
      <c r="V1479" s="173" t="s">
        <v>4436</v>
      </c>
      <c r="W1479" s="174"/>
      <c r="X1479" s="297"/>
      <c r="Y1479" s="298"/>
      <c r="Z1479" s="299"/>
      <c r="AA1479" s="235"/>
      <c r="AB1479" s="236"/>
      <c r="AC1479" s="401" t="s">
        <v>4437</v>
      </c>
      <c r="AD1479" s="403"/>
      <c r="AE1479" s="36" t="s">
        <v>1356</v>
      </c>
      <c r="AF1479" s="292"/>
      <c r="AG1479" s="314"/>
      <c r="AH1479" s="293"/>
      <c r="AI1479" s="167"/>
      <c r="AJ1479" s="48"/>
      <c r="AK1479" s="15"/>
      <c r="AL1479" s="15"/>
    </row>
    <row r="1480" spans="1:38" ht="105" x14ac:dyDescent="0.25">
      <c r="A1480" s="179"/>
      <c r="B1480" s="292"/>
      <c r="C1480" s="314"/>
      <c r="D1480" s="293"/>
      <c r="E1480" s="28" t="s">
        <v>4443</v>
      </c>
      <c r="F1480" s="235"/>
      <c r="G1480" s="270"/>
      <c r="H1480" s="236"/>
      <c r="I1480" s="183">
        <v>15</v>
      </c>
      <c r="J1480" s="185"/>
      <c r="K1480" s="126" t="s">
        <v>4433</v>
      </c>
      <c r="L1480" s="127"/>
      <c r="M1480" s="180" t="s">
        <v>4444</v>
      </c>
      <c r="N1480" s="450"/>
      <c r="O1480" s="181"/>
      <c r="P1480" s="173" t="s">
        <v>4435</v>
      </c>
      <c r="Q1480" s="174"/>
      <c r="R1480" s="126" t="s">
        <v>977</v>
      </c>
      <c r="S1480" s="127"/>
      <c r="T1480" s="183">
        <v>15</v>
      </c>
      <c r="U1480" s="185"/>
      <c r="V1480" s="173" t="s">
        <v>4445</v>
      </c>
      <c r="W1480" s="174"/>
      <c r="X1480" s="297"/>
      <c r="Y1480" s="298"/>
      <c r="Z1480" s="299"/>
      <c r="AA1480" s="235"/>
      <c r="AB1480" s="236"/>
      <c r="AC1480" s="401" t="s">
        <v>2211</v>
      </c>
      <c r="AD1480" s="403"/>
      <c r="AE1480" s="36" t="s">
        <v>4440</v>
      </c>
      <c r="AF1480" s="292"/>
      <c r="AG1480" s="314"/>
      <c r="AH1480" s="293"/>
      <c r="AI1480" s="167"/>
      <c r="AJ1480" s="48"/>
      <c r="AK1480" s="15"/>
      <c r="AL1480" s="15"/>
    </row>
    <row r="1481" spans="1:38" ht="90" x14ac:dyDescent="0.25">
      <c r="A1481" s="179"/>
      <c r="B1481" s="292"/>
      <c r="C1481" s="314"/>
      <c r="D1481" s="293"/>
      <c r="E1481" s="28" t="s">
        <v>4446</v>
      </c>
      <c r="F1481" s="235"/>
      <c r="G1481" s="270"/>
      <c r="H1481" s="236"/>
      <c r="I1481" s="183">
        <v>15</v>
      </c>
      <c r="J1481" s="185"/>
      <c r="K1481" s="126" t="s">
        <v>4433</v>
      </c>
      <c r="L1481" s="127"/>
      <c r="M1481" s="180" t="s">
        <v>4444</v>
      </c>
      <c r="N1481" s="450"/>
      <c r="O1481" s="181"/>
      <c r="P1481" s="173" t="s">
        <v>4435</v>
      </c>
      <c r="Q1481" s="174"/>
      <c r="R1481" s="126" t="s">
        <v>977</v>
      </c>
      <c r="S1481" s="127"/>
      <c r="T1481" s="183">
        <v>15</v>
      </c>
      <c r="U1481" s="185"/>
      <c r="V1481" s="173" t="s">
        <v>4445</v>
      </c>
      <c r="W1481" s="174"/>
      <c r="X1481" s="297"/>
      <c r="Y1481" s="298"/>
      <c r="Z1481" s="299"/>
      <c r="AA1481" s="235"/>
      <c r="AB1481" s="236"/>
      <c r="AC1481" s="401" t="s">
        <v>4438</v>
      </c>
      <c r="AD1481" s="403"/>
      <c r="AE1481" s="36"/>
      <c r="AF1481" s="292"/>
      <c r="AG1481" s="314"/>
      <c r="AH1481" s="293"/>
      <c r="AI1481" s="167"/>
      <c r="AJ1481" s="48"/>
      <c r="AK1481" s="15"/>
      <c r="AL1481" s="15"/>
    </row>
    <row r="1482" spans="1:38" ht="90" x14ac:dyDescent="0.25">
      <c r="A1482" s="179"/>
      <c r="B1482" s="292"/>
      <c r="C1482" s="314"/>
      <c r="D1482" s="293"/>
      <c r="E1482" s="28" t="s">
        <v>4447</v>
      </c>
      <c r="F1482" s="235"/>
      <c r="G1482" s="270"/>
      <c r="H1482" s="236"/>
      <c r="I1482" s="183">
        <v>15</v>
      </c>
      <c r="J1482" s="185"/>
      <c r="K1482" s="126" t="s">
        <v>4433</v>
      </c>
      <c r="L1482" s="127"/>
      <c r="M1482" s="173" t="s">
        <v>2866</v>
      </c>
      <c r="N1482" s="276"/>
      <c r="O1482" s="174"/>
      <c r="P1482" s="173" t="s">
        <v>4435</v>
      </c>
      <c r="Q1482" s="174"/>
      <c r="R1482" s="126" t="s">
        <v>977</v>
      </c>
      <c r="S1482" s="127"/>
      <c r="T1482" s="183">
        <v>15</v>
      </c>
      <c r="U1482" s="185"/>
      <c r="V1482" s="173" t="s">
        <v>4448</v>
      </c>
      <c r="W1482" s="174"/>
      <c r="X1482" s="297"/>
      <c r="Y1482" s="298"/>
      <c r="Z1482" s="299"/>
      <c r="AA1482" s="235"/>
      <c r="AB1482" s="236"/>
      <c r="AC1482" s="401"/>
      <c r="AD1482" s="403"/>
      <c r="AE1482" s="36"/>
      <c r="AF1482" s="292"/>
      <c r="AG1482" s="314"/>
      <c r="AH1482" s="293"/>
      <c r="AI1482" s="167"/>
      <c r="AJ1482" s="48"/>
      <c r="AK1482" s="15"/>
      <c r="AL1482" s="15"/>
    </row>
    <row r="1483" spans="1:38" ht="90" x14ac:dyDescent="0.25">
      <c r="A1483" s="179"/>
      <c r="B1483" s="292"/>
      <c r="C1483" s="314"/>
      <c r="D1483" s="293"/>
      <c r="E1483" s="28" t="s">
        <v>4449</v>
      </c>
      <c r="F1483" s="237"/>
      <c r="G1483" s="306"/>
      <c r="H1483" s="238"/>
      <c r="I1483" s="183">
        <v>15</v>
      </c>
      <c r="J1483" s="185"/>
      <c r="K1483" s="117" t="s">
        <v>4433</v>
      </c>
      <c r="L1483" s="118"/>
      <c r="M1483" s="173" t="s">
        <v>2866</v>
      </c>
      <c r="N1483" s="276"/>
      <c r="O1483" s="174"/>
      <c r="P1483" s="173" t="s">
        <v>4435</v>
      </c>
      <c r="Q1483" s="174"/>
      <c r="R1483" s="117" t="s">
        <v>977</v>
      </c>
      <c r="S1483" s="118"/>
      <c r="T1483" s="183">
        <v>15</v>
      </c>
      <c r="U1483" s="185"/>
      <c r="V1483" s="173" t="s">
        <v>4448</v>
      </c>
      <c r="W1483" s="174"/>
      <c r="X1483" s="300"/>
      <c r="Y1483" s="301"/>
      <c r="Z1483" s="302"/>
      <c r="AA1483" s="237"/>
      <c r="AB1483" s="238"/>
      <c r="AC1483" s="401"/>
      <c r="AD1483" s="403"/>
      <c r="AE1483" s="36"/>
      <c r="AF1483" s="292"/>
      <c r="AG1483" s="314"/>
      <c r="AH1483" s="293"/>
      <c r="AI1483" s="167"/>
      <c r="AJ1483" s="48"/>
      <c r="AK1483" s="15"/>
      <c r="AL1483" s="15"/>
    </row>
    <row r="1484" spans="1:38" ht="90" x14ac:dyDescent="0.25">
      <c r="A1484" s="179"/>
      <c r="B1484" s="292"/>
      <c r="C1484" s="314"/>
      <c r="D1484" s="293"/>
      <c r="E1484" s="28" t="s">
        <v>4450</v>
      </c>
      <c r="F1484" s="233" t="s">
        <v>4451</v>
      </c>
      <c r="G1484" s="305"/>
      <c r="H1484" s="234"/>
      <c r="I1484" s="183">
        <v>20</v>
      </c>
      <c r="J1484" s="185"/>
      <c r="K1484" s="88" t="s">
        <v>4452</v>
      </c>
      <c r="L1484" s="89"/>
      <c r="M1484" s="173" t="s">
        <v>4453</v>
      </c>
      <c r="N1484" s="276"/>
      <c r="O1484" s="174"/>
      <c r="P1484" s="173" t="s">
        <v>4146</v>
      </c>
      <c r="Q1484" s="174"/>
      <c r="R1484" s="112">
        <v>35</v>
      </c>
      <c r="S1484" s="113"/>
      <c r="T1484" s="183">
        <v>15</v>
      </c>
      <c r="U1484" s="185"/>
      <c r="V1484" s="173" t="s">
        <v>4454</v>
      </c>
      <c r="W1484" s="174"/>
      <c r="X1484" s="294">
        <v>285</v>
      </c>
      <c r="Y1484" s="295"/>
      <c r="Z1484" s="296"/>
      <c r="AA1484" s="233" t="s">
        <v>989</v>
      </c>
      <c r="AB1484" s="234"/>
      <c r="AC1484" s="401"/>
      <c r="AD1484" s="403"/>
      <c r="AE1484" s="36"/>
      <c r="AF1484" s="292"/>
      <c r="AG1484" s="314"/>
      <c r="AH1484" s="293"/>
      <c r="AI1484" s="167"/>
      <c r="AJ1484" s="48"/>
      <c r="AK1484" s="15"/>
      <c r="AL1484" s="15"/>
    </row>
    <row r="1485" spans="1:38" ht="105" x14ac:dyDescent="0.25">
      <c r="A1485" s="179"/>
      <c r="B1485" s="292"/>
      <c r="C1485" s="314"/>
      <c r="D1485" s="293"/>
      <c r="E1485" s="28" t="s">
        <v>4455</v>
      </c>
      <c r="F1485" s="235"/>
      <c r="G1485" s="270"/>
      <c r="H1485" s="236"/>
      <c r="I1485" s="183">
        <v>20</v>
      </c>
      <c r="J1485" s="185"/>
      <c r="K1485" s="126" t="s">
        <v>4452</v>
      </c>
      <c r="L1485" s="127"/>
      <c r="M1485" s="173" t="s">
        <v>4453</v>
      </c>
      <c r="N1485" s="276"/>
      <c r="O1485" s="174"/>
      <c r="P1485" s="173" t="s">
        <v>4146</v>
      </c>
      <c r="Q1485" s="174"/>
      <c r="R1485" s="155">
        <v>35</v>
      </c>
      <c r="S1485" s="157"/>
      <c r="T1485" s="183">
        <v>15</v>
      </c>
      <c r="U1485" s="185"/>
      <c r="V1485" s="173" t="s">
        <v>4454</v>
      </c>
      <c r="W1485" s="174"/>
      <c r="X1485" s="297"/>
      <c r="Y1485" s="298"/>
      <c r="Z1485" s="299"/>
      <c r="AA1485" s="235"/>
      <c r="AB1485" s="236"/>
      <c r="AC1485" s="401"/>
      <c r="AD1485" s="403"/>
      <c r="AE1485" s="36"/>
      <c r="AF1485" s="292"/>
      <c r="AG1485" s="314"/>
      <c r="AH1485" s="293"/>
      <c r="AI1485" s="167"/>
      <c r="AJ1485" s="48"/>
      <c r="AK1485" s="15"/>
      <c r="AL1485" s="15"/>
    </row>
    <row r="1486" spans="1:38" ht="105" x14ac:dyDescent="0.25">
      <c r="A1486" s="179"/>
      <c r="B1486" s="292"/>
      <c r="C1486" s="314"/>
      <c r="D1486" s="293"/>
      <c r="E1486" s="28" t="s">
        <v>4456</v>
      </c>
      <c r="F1486" s="235"/>
      <c r="G1486" s="270"/>
      <c r="H1486" s="236"/>
      <c r="I1486" s="183">
        <v>20</v>
      </c>
      <c r="J1486" s="185"/>
      <c r="K1486" s="126" t="s">
        <v>4452</v>
      </c>
      <c r="L1486" s="127"/>
      <c r="M1486" s="173" t="s">
        <v>4457</v>
      </c>
      <c r="N1486" s="276"/>
      <c r="O1486" s="174"/>
      <c r="P1486" s="173" t="s">
        <v>4146</v>
      </c>
      <c r="Q1486" s="174"/>
      <c r="R1486" s="155">
        <v>35</v>
      </c>
      <c r="S1486" s="157"/>
      <c r="T1486" s="183">
        <v>15</v>
      </c>
      <c r="U1486" s="185"/>
      <c r="V1486" s="173" t="s">
        <v>4458</v>
      </c>
      <c r="W1486" s="174"/>
      <c r="X1486" s="297"/>
      <c r="Y1486" s="298"/>
      <c r="Z1486" s="299"/>
      <c r="AA1486" s="235"/>
      <c r="AB1486" s="236"/>
      <c r="AC1486" s="401"/>
      <c r="AD1486" s="403"/>
      <c r="AE1486" s="36"/>
      <c r="AF1486" s="292"/>
      <c r="AG1486" s="314"/>
      <c r="AH1486" s="293"/>
      <c r="AI1486" s="167"/>
      <c r="AJ1486" s="48"/>
      <c r="AK1486" s="15"/>
      <c r="AL1486" s="15"/>
    </row>
    <row r="1487" spans="1:38" ht="90" x14ac:dyDescent="0.25">
      <c r="A1487" s="179"/>
      <c r="B1487" s="292"/>
      <c r="C1487" s="314"/>
      <c r="D1487" s="293"/>
      <c r="E1487" s="28" t="s">
        <v>4459</v>
      </c>
      <c r="F1487" s="235"/>
      <c r="G1487" s="270"/>
      <c r="H1487" s="236"/>
      <c r="I1487" s="183">
        <v>20</v>
      </c>
      <c r="J1487" s="185"/>
      <c r="K1487" s="126" t="s">
        <v>4452</v>
      </c>
      <c r="L1487" s="127"/>
      <c r="M1487" s="173" t="s">
        <v>4457</v>
      </c>
      <c r="N1487" s="276"/>
      <c r="O1487" s="174"/>
      <c r="P1487" s="173" t="s">
        <v>4146</v>
      </c>
      <c r="Q1487" s="174"/>
      <c r="R1487" s="155">
        <v>35</v>
      </c>
      <c r="S1487" s="157"/>
      <c r="T1487" s="183">
        <v>15</v>
      </c>
      <c r="U1487" s="185"/>
      <c r="V1487" s="173" t="s">
        <v>4458</v>
      </c>
      <c r="W1487" s="174"/>
      <c r="X1487" s="297"/>
      <c r="Y1487" s="298"/>
      <c r="Z1487" s="299"/>
      <c r="AA1487" s="235"/>
      <c r="AB1487" s="236"/>
      <c r="AC1487" s="401"/>
      <c r="AD1487" s="403"/>
      <c r="AE1487" s="36"/>
      <c r="AF1487" s="292"/>
      <c r="AG1487" s="314"/>
      <c r="AH1487" s="293"/>
      <c r="AI1487" s="167"/>
      <c r="AJ1487" s="48"/>
      <c r="AK1487" s="15"/>
      <c r="AL1487" s="15"/>
    </row>
    <row r="1488" spans="1:38" ht="90" x14ac:dyDescent="0.25">
      <c r="A1488" s="179"/>
      <c r="B1488" s="292"/>
      <c r="C1488" s="314"/>
      <c r="D1488" s="293"/>
      <c r="E1488" s="28" t="s">
        <v>4460</v>
      </c>
      <c r="F1488" s="235"/>
      <c r="G1488" s="270"/>
      <c r="H1488" s="236"/>
      <c r="I1488" s="183">
        <v>20</v>
      </c>
      <c r="J1488" s="185"/>
      <c r="K1488" s="126" t="s">
        <v>4452</v>
      </c>
      <c r="L1488" s="127"/>
      <c r="M1488" s="173" t="s">
        <v>4461</v>
      </c>
      <c r="N1488" s="276"/>
      <c r="O1488" s="174"/>
      <c r="P1488" s="173" t="s">
        <v>4146</v>
      </c>
      <c r="Q1488" s="174"/>
      <c r="R1488" s="155">
        <v>35</v>
      </c>
      <c r="S1488" s="157"/>
      <c r="T1488" s="183">
        <v>15</v>
      </c>
      <c r="U1488" s="185"/>
      <c r="V1488" s="173" t="s">
        <v>4462</v>
      </c>
      <c r="W1488" s="174"/>
      <c r="X1488" s="297"/>
      <c r="Y1488" s="298"/>
      <c r="Z1488" s="299"/>
      <c r="AA1488" s="235"/>
      <c r="AB1488" s="236"/>
      <c r="AC1488" s="401"/>
      <c r="AD1488" s="403"/>
      <c r="AE1488" s="36"/>
      <c r="AF1488" s="292"/>
      <c r="AG1488" s="314"/>
      <c r="AH1488" s="293"/>
      <c r="AI1488" s="167"/>
      <c r="AJ1488" s="48"/>
      <c r="AK1488" s="15"/>
      <c r="AL1488" s="15"/>
    </row>
    <row r="1489" spans="1:38" ht="90" x14ac:dyDescent="0.25">
      <c r="A1489" s="179"/>
      <c r="B1489" s="292"/>
      <c r="C1489" s="314"/>
      <c r="D1489" s="293"/>
      <c r="E1489" s="28" t="s">
        <v>4463</v>
      </c>
      <c r="F1489" s="237"/>
      <c r="G1489" s="306"/>
      <c r="H1489" s="238"/>
      <c r="I1489" s="183">
        <v>20</v>
      </c>
      <c r="J1489" s="185"/>
      <c r="K1489" s="117" t="s">
        <v>4452</v>
      </c>
      <c r="L1489" s="118"/>
      <c r="M1489" s="173" t="s">
        <v>4461</v>
      </c>
      <c r="N1489" s="276"/>
      <c r="O1489" s="174"/>
      <c r="P1489" s="173" t="s">
        <v>4146</v>
      </c>
      <c r="Q1489" s="174"/>
      <c r="R1489" s="160">
        <v>35</v>
      </c>
      <c r="S1489" s="161"/>
      <c r="T1489" s="183">
        <v>15</v>
      </c>
      <c r="U1489" s="185"/>
      <c r="V1489" s="173" t="s">
        <v>4462</v>
      </c>
      <c r="W1489" s="174"/>
      <c r="X1489" s="300"/>
      <c r="Y1489" s="301"/>
      <c r="Z1489" s="302"/>
      <c r="AA1489" s="237"/>
      <c r="AB1489" s="238"/>
      <c r="AC1489" s="401"/>
      <c r="AD1489" s="403"/>
      <c r="AE1489" s="36"/>
      <c r="AF1489" s="292"/>
      <c r="AG1489" s="314"/>
      <c r="AH1489" s="293"/>
      <c r="AI1489" s="167"/>
      <c r="AJ1489" s="48"/>
      <c r="AK1489" s="15"/>
      <c r="AL1489" s="15"/>
    </row>
    <row r="1490" spans="1:38" ht="90" x14ac:dyDescent="0.25">
      <c r="A1490" s="179"/>
      <c r="B1490" s="292"/>
      <c r="C1490" s="314"/>
      <c r="D1490" s="293"/>
      <c r="E1490" s="28" t="s">
        <v>4464</v>
      </c>
      <c r="F1490" s="233" t="s">
        <v>4465</v>
      </c>
      <c r="G1490" s="305"/>
      <c r="H1490" s="234"/>
      <c r="I1490" s="110" t="s">
        <v>878</v>
      </c>
      <c r="J1490" s="111"/>
      <c r="K1490" s="88" t="s">
        <v>4466</v>
      </c>
      <c r="L1490" s="89"/>
      <c r="M1490" s="173" t="s">
        <v>4467</v>
      </c>
      <c r="N1490" s="276"/>
      <c r="O1490" s="174"/>
      <c r="P1490" s="173" t="s">
        <v>4468</v>
      </c>
      <c r="Q1490" s="174"/>
      <c r="R1490" s="88" t="s">
        <v>4469</v>
      </c>
      <c r="S1490" s="89"/>
      <c r="T1490" s="112">
        <v>15</v>
      </c>
      <c r="U1490" s="113"/>
      <c r="V1490" s="173" t="s">
        <v>4470</v>
      </c>
      <c r="W1490" s="174"/>
      <c r="X1490" s="294">
        <v>335</v>
      </c>
      <c r="Y1490" s="295"/>
      <c r="Z1490" s="296"/>
      <c r="AA1490" s="233" t="s">
        <v>1452</v>
      </c>
      <c r="AB1490" s="234"/>
      <c r="AC1490" s="401"/>
      <c r="AD1490" s="403"/>
      <c r="AE1490" s="36"/>
      <c r="AF1490" s="292"/>
      <c r="AG1490" s="314"/>
      <c r="AH1490" s="293"/>
      <c r="AI1490" s="167"/>
      <c r="AJ1490" s="48"/>
      <c r="AK1490" s="15"/>
      <c r="AL1490" s="15"/>
    </row>
    <row r="1491" spans="1:38" ht="90" x14ac:dyDescent="0.25">
      <c r="A1491" s="179"/>
      <c r="B1491" s="292"/>
      <c r="C1491" s="314"/>
      <c r="D1491" s="293"/>
      <c r="E1491" s="28" t="s">
        <v>4471</v>
      </c>
      <c r="F1491" s="235"/>
      <c r="G1491" s="270"/>
      <c r="H1491" s="236"/>
      <c r="I1491" s="110" t="s">
        <v>878</v>
      </c>
      <c r="J1491" s="111"/>
      <c r="K1491" s="126" t="s">
        <v>4466</v>
      </c>
      <c r="L1491" s="127"/>
      <c r="M1491" s="173" t="s">
        <v>4467</v>
      </c>
      <c r="N1491" s="276"/>
      <c r="O1491" s="174"/>
      <c r="P1491" s="173" t="s">
        <v>4468</v>
      </c>
      <c r="Q1491" s="174"/>
      <c r="R1491" s="126" t="s">
        <v>4469</v>
      </c>
      <c r="S1491" s="127"/>
      <c r="T1491" s="155">
        <v>15</v>
      </c>
      <c r="U1491" s="157"/>
      <c r="V1491" s="173" t="s">
        <v>4470</v>
      </c>
      <c r="W1491" s="174"/>
      <c r="X1491" s="297"/>
      <c r="Y1491" s="298"/>
      <c r="Z1491" s="299"/>
      <c r="AA1491" s="235"/>
      <c r="AB1491" s="236"/>
      <c r="AC1491" s="401"/>
      <c r="AD1491" s="403"/>
      <c r="AE1491" s="36"/>
      <c r="AF1491" s="292"/>
      <c r="AG1491" s="314"/>
      <c r="AH1491" s="293"/>
      <c r="AI1491" s="167"/>
      <c r="AJ1491" s="48"/>
      <c r="AK1491" s="15"/>
      <c r="AL1491" s="15"/>
    </row>
    <row r="1492" spans="1:38" ht="90" x14ac:dyDescent="0.25">
      <c r="A1492" s="179"/>
      <c r="B1492" s="292"/>
      <c r="C1492" s="314"/>
      <c r="D1492" s="293"/>
      <c r="E1492" s="28" t="s">
        <v>4472</v>
      </c>
      <c r="F1492" s="235"/>
      <c r="G1492" s="270"/>
      <c r="H1492" s="236"/>
      <c r="I1492" s="110" t="s">
        <v>878</v>
      </c>
      <c r="J1492" s="111"/>
      <c r="K1492" s="126" t="s">
        <v>4466</v>
      </c>
      <c r="L1492" s="127"/>
      <c r="M1492" s="173" t="s">
        <v>4467</v>
      </c>
      <c r="N1492" s="276"/>
      <c r="O1492" s="174"/>
      <c r="P1492" s="173" t="s">
        <v>4468</v>
      </c>
      <c r="Q1492" s="174"/>
      <c r="R1492" s="126" t="s">
        <v>4469</v>
      </c>
      <c r="S1492" s="127"/>
      <c r="T1492" s="155">
        <v>15</v>
      </c>
      <c r="U1492" s="157"/>
      <c r="V1492" s="173" t="s">
        <v>4470</v>
      </c>
      <c r="W1492" s="174"/>
      <c r="X1492" s="297"/>
      <c r="Y1492" s="298"/>
      <c r="Z1492" s="299"/>
      <c r="AA1492" s="235"/>
      <c r="AB1492" s="236"/>
      <c r="AC1492" s="401"/>
      <c r="AD1492" s="403"/>
      <c r="AE1492" s="36"/>
      <c r="AF1492" s="292"/>
      <c r="AG1492" s="314"/>
      <c r="AH1492" s="293"/>
      <c r="AI1492" s="167"/>
      <c r="AJ1492" s="48"/>
      <c r="AK1492" s="15"/>
      <c r="AL1492" s="15"/>
    </row>
    <row r="1493" spans="1:38" ht="90" x14ac:dyDescent="0.25">
      <c r="A1493" s="179"/>
      <c r="B1493" s="292"/>
      <c r="C1493" s="314"/>
      <c r="D1493" s="293"/>
      <c r="E1493" s="28" t="s">
        <v>4473</v>
      </c>
      <c r="F1493" s="235"/>
      <c r="G1493" s="270"/>
      <c r="H1493" s="236"/>
      <c r="I1493" s="110" t="s">
        <v>878</v>
      </c>
      <c r="J1493" s="111"/>
      <c r="K1493" s="126" t="s">
        <v>4466</v>
      </c>
      <c r="L1493" s="127"/>
      <c r="M1493" s="173" t="s">
        <v>4467</v>
      </c>
      <c r="N1493" s="276"/>
      <c r="O1493" s="174"/>
      <c r="P1493" s="173" t="s">
        <v>4468</v>
      </c>
      <c r="Q1493" s="174"/>
      <c r="R1493" s="126" t="s">
        <v>4469</v>
      </c>
      <c r="S1493" s="127"/>
      <c r="T1493" s="155">
        <v>15</v>
      </c>
      <c r="U1493" s="157"/>
      <c r="V1493" s="173" t="s">
        <v>4470</v>
      </c>
      <c r="W1493" s="174"/>
      <c r="X1493" s="297"/>
      <c r="Y1493" s="298"/>
      <c r="Z1493" s="299"/>
      <c r="AA1493" s="235"/>
      <c r="AB1493" s="236"/>
      <c r="AC1493" s="401"/>
      <c r="AD1493" s="403"/>
      <c r="AE1493" s="36"/>
      <c r="AF1493" s="292"/>
      <c r="AG1493" s="314"/>
      <c r="AH1493" s="293"/>
      <c r="AI1493" s="167"/>
      <c r="AJ1493" s="48"/>
      <c r="AK1493" s="15"/>
      <c r="AL1493" s="15"/>
    </row>
    <row r="1494" spans="1:38" ht="90" x14ac:dyDescent="0.25">
      <c r="A1494" s="179"/>
      <c r="B1494" s="292"/>
      <c r="C1494" s="314"/>
      <c r="D1494" s="293"/>
      <c r="E1494" s="28" t="s">
        <v>4474</v>
      </c>
      <c r="F1494" s="235"/>
      <c r="G1494" s="270"/>
      <c r="H1494" s="236"/>
      <c r="I1494" s="110" t="s">
        <v>878</v>
      </c>
      <c r="J1494" s="111"/>
      <c r="K1494" s="126" t="s">
        <v>4466</v>
      </c>
      <c r="L1494" s="127"/>
      <c r="M1494" s="173" t="s">
        <v>4467</v>
      </c>
      <c r="N1494" s="276"/>
      <c r="O1494" s="174"/>
      <c r="P1494" s="173" t="s">
        <v>4468</v>
      </c>
      <c r="Q1494" s="174"/>
      <c r="R1494" s="126" t="s">
        <v>4469</v>
      </c>
      <c r="S1494" s="127"/>
      <c r="T1494" s="155">
        <v>15</v>
      </c>
      <c r="U1494" s="157"/>
      <c r="V1494" s="173" t="s">
        <v>4470</v>
      </c>
      <c r="W1494" s="174"/>
      <c r="X1494" s="297"/>
      <c r="Y1494" s="298"/>
      <c r="Z1494" s="299"/>
      <c r="AA1494" s="235"/>
      <c r="AB1494" s="236"/>
      <c r="AC1494" s="401"/>
      <c r="AD1494" s="403"/>
      <c r="AE1494" s="36"/>
      <c r="AF1494" s="292"/>
      <c r="AG1494" s="314"/>
      <c r="AH1494" s="293"/>
      <c r="AI1494" s="167"/>
      <c r="AJ1494" s="48"/>
      <c r="AK1494" s="15"/>
      <c r="AL1494" s="15"/>
    </row>
    <row r="1495" spans="1:38" ht="90" x14ac:dyDescent="0.25">
      <c r="A1495" s="230"/>
      <c r="B1495" s="290"/>
      <c r="C1495" s="345"/>
      <c r="D1495" s="291"/>
      <c r="E1495" s="28" t="s">
        <v>4475</v>
      </c>
      <c r="F1495" s="237"/>
      <c r="G1495" s="306"/>
      <c r="H1495" s="238"/>
      <c r="I1495" s="110" t="s">
        <v>878</v>
      </c>
      <c r="J1495" s="111"/>
      <c r="K1495" s="117" t="s">
        <v>4466</v>
      </c>
      <c r="L1495" s="118"/>
      <c r="M1495" s="173" t="s">
        <v>4467</v>
      </c>
      <c r="N1495" s="276"/>
      <c r="O1495" s="174"/>
      <c r="P1495" s="173" t="s">
        <v>4468</v>
      </c>
      <c r="Q1495" s="174"/>
      <c r="R1495" s="117" t="s">
        <v>4469</v>
      </c>
      <c r="S1495" s="118"/>
      <c r="T1495" s="160">
        <v>15</v>
      </c>
      <c r="U1495" s="161"/>
      <c r="V1495" s="173" t="s">
        <v>4470</v>
      </c>
      <c r="W1495" s="174"/>
      <c r="X1495" s="300"/>
      <c r="Y1495" s="301"/>
      <c r="Z1495" s="302"/>
      <c r="AA1495" s="237"/>
      <c r="AB1495" s="238"/>
      <c r="AC1495" s="404"/>
      <c r="AD1495" s="406"/>
      <c r="AE1495" s="36"/>
      <c r="AF1495" s="290"/>
      <c r="AG1495" s="345"/>
      <c r="AH1495" s="291"/>
      <c r="AI1495" s="167"/>
      <c r="AJ1495" s="48"/>
      <c r="AK1495" s="15"/>
      <c r="AL1495" s="15"/>
    </row>
    <row r="1496" spans="1:38" ht="75" x14ac:dyDescent="0.25">
      <c r="A1496" s="178"/>
      <c r="B1496" s="303" t="s">
        <v>4476</v>
      </c>
      <c r="C1496" s="344"/>
      <c r="D1496" s="304"/>
      <c r="E1496" s="19" t="s">
        <v>4477</v>
      </c>
      <c r="F1496" s="233" t="s">
        <v>4478</v>
      </c>
      <c r="G1496" s="305"/>
      <c r="H1496" s="234"/>
      <c r="I1496" s="143" t="s">
        <v>4479</v>
      </c>
      <c r="J1496" s="145"/>
      <c r="K1496" s="88" t="s">
        <v>4480</v>
      </c>
      <c r="L1496" s="89"/>
      <c r="M1496" s="353" t="s">
        <v>4481</v>
      </c>
      <c r="N1496" s="354"/>
      <c r="O1496" s="355"/>
      <c r="P1496" s="332" t="s">
        <v>4482</v>
      </c>
      <c r="Q1496" s="333"/>
      <c r="R1496" s="88" t="s">
        <v>903</v>
      </c>
      <c r="S1496" s="89"/>
      <c r="T1496" s="349">
        <v>20</v>
      </c>
      <c r="U1496" s="350"/>
      <c r="V1496" s="332" t="s">
        <v>4483</v>
      </c>
      <c r="W1496" s="333"/>
      <c r="X1496" s="294">
        <v>269</v>
      </c>
      <c r="Y1496" s="295"/>
      <c r="Z1496" s="296"/>
      <c r="AA1496" s="233" t="s">
        <v>717</v>
      </c>
      <c r="AB1496" s="234"/>
      <c r="AC1496" s="171" t="s">
        <v>3194</v>
      </c>
      <c r="AD1496" s="172"/>
      <c r="AE1496" s="24" t="s">
        <v>4486</v>
      </c>
      <c r="AF1496" s="303" t="s">
        <v>2628</v>
      </c>
      <c r="AG1496" s="344"/>
      <c r="AH1496" s="304"/>
      <c r="AI1496" s="167"/>
      <c r="AJ1496" s="48"/>
      <c r="AK1496" s="15"/>
      <c r="AL1496" s="15"/>
    </row>
    <row r="1497" spans="1:38" ht="75" x14ac:dyDescent="0.25">
      <c r="A1497" s="179"/>
      <c r="B1497" s="292"/>
      <c r="C1497" s="314"/>
      <c r="D1497" s="293"/>
      <c r="E1497" s="19" t="s">
        <v>4488</v>
      </c>
      <c r="F1497" s="235"/>
      <c r="G1497" s="270"/>
      <c r="H1497" s="236"/>
      <c r="I1497" s="104" t="s">
        <v>4479</v>
      </c>
      <c r="J1497" s="105"/>
      <c r="K1497" s="126" t="s">
        <v>4480</v>
      </c>
      <c r="L1497" s="127"/>
      <c r="M1497" s="353" t="s">
        <v>4489</v>
      </c>
      <c r="N1497" s="354"/>
      <c r="O1497" s="355"/>
      <c r="P1497" s="332" t="s">
        <v>4482</v>
      </c>
      <c r="Q1497" s="333"/>
      <c r="R1497" s="126" t="s">
        <v>903</v>
      </c>
      <c r="S1497" s="127"/>
      <c r="T1497" s="349">
        <v>20</v>
      </c>
      <c r="U1497" s="350"/>
      <c r="V1497" s="332" t="s">
        <v>4490</v>
      </c>
      <c r="W1497" s="333"/>
      <c r="X1497" s="297"/>
      <c r="Y1497" s="298"/>
      <c r="Z1497" s="299"/>
      <c r="AA1497" s="235"/>
      <c r="AB1497" s="236"/>
      <c r="AC1497" s="162" t="s">
        <v>4484</v>
      </c>
      <c r="AD1497" s="163"/>
      <c r="AE1497" s="31" t="s">
        <v>1356</v>
      </c>
      <c r="AF1497" s="292" t="s">
        <v>2541</v>
      </c>
      <c r="AG1497" s="314"/>
      <c r="AH1497" s="293"/>
      <c r="AI1497" s="167"/>
      <c r="AJ1497" s="48"/>
      <c r="AK1497" s="15"/>
      <c r="AL1497" s="15"/>
    </row>
    <row r="1498" spans="1:38" ht="75" x14ac:dyDescent="0.25">
      <c r="A1498" s="179"/>
      <c r="B1498" s="292"/>
      <c r="C1498" s="314"/>
      <c r="D1498" s="293"/>
      <c r="E1498" s="19" t="s">
        <v>4491</v>
      </c>
      <c r="F1498" s="235"/>
      <c r="G1498" s="270"/>
      <c r="H1498" s="236"/>
      <c r="I1498" s="104" t="s">
        <v>4479</v>
      </c>
      <c r="J1498" s="105"/>
      <c r="K1498" s="126" t="s">
        <v>4480</v>
      </c>
      <c r="L1498" s="127"/>
      <c r="M1498" s="353" t="s">
        <v>4492</v>
      </c>
      <c r="N1498" s="354"/>
      <c r="O1498" s="355"/>
      <c r="P1498" s="332" t="s">
        <v>4482</v>
      </c>
      <c r="Q1498" s="333"/>
      <c r="R1498" s="126" t="s">
        <v>903</v>
      </c>
      <c r="S1498" s="127"/>
      <c r="T1498" s="349">
        <v>20</v>
      </c>
      <c r="U1498" s="350"/>
      <c r="V1498" s="332" t="s">
        <v>4493</v>
      </c>
      <c r="W1498" s="333"/>
      <c r="X1498" s="297"/>
      <c r="Y1498" s="298"/>
      <c r="Z1498" s="299"/>
      <c r="AA1498" s="235"/>
      <c r="AB1498" s="236"/>
      <c r="AC1498" s="162" t="s">
        <v>4485</v>
      </c>
      <c r="AD1498" s="163"/>
      <c r="AE1498" s="31" t="s">
        <v>4487</v>
      </c>
      <c r="AF1498" s="292"/>
      <c r="AG1498" s="314"/>
      <c r="AH1498" s="293"/>
      <c r="AI1498" s="167"/>
      <c r="AJ1498" s="48"/>
      <c r="AK1498" s="15"/>
      <c r="AL1498" s="15"/>
    </row>
    <row r="1499" spans="1:38" ht="75" x14ac:dyDescent="0.25">
      <c r="A1499" s="179"/>
      <c r="B1499" s="292"/>
      <c r="C1499" s="314"/>
      <c r="D1499" s="293"/>
      <c r="E1499" s="19" t="s">
        <v>4494</v>
      </c>
      <c r="F1499" s="235"/>
      <c r="G1499" s="270"/>
      <c r="H1499" s="236"/>
      <c r="I1499" s="104" t="s">
        <v>4479</v>
      </c>
      <c r="J1499" s="105"/>
      <c r="K1499" s="126" t="s">
        <v>4480</v>
      </c>
      <c r="L1499" s="127"/>
      <c r="M1499" s="353" t="s">
        <v>4481</v>
      </c>
      <c r="N1499" s="354"/>
      <c r="O1499" s="355"/>
      <c r="P1499" s="332" t="s">
        <v>4482</v>
      </c>
      <c r="Q1499" s="333"/>
      <c r="R1499" s="126" t="s">
        <v>903</v>
      </c>
      <c r="S1499" s="127"/>
      <c r="T1499" s="349">
        <v>20</v>
      </c>
      <c r="U1499" s="350"/>
      <c r="V1499" s="332" t="s">
        <v>4483</v>
      </c>
      <c r="W1499" s="333"/>
      <c r="X1499" s="297"/>
      <c r="Y1499" s="298"/>
      <c r="Z1499" s="299"/>
      <c r="AA1499" s="235"/>
      <c r="AB1499" s="236"/>
      <c r="AC1499" s="162"/>
      <c r="AD1499" s="163"/>
      <c r="AE1499" s="31"/>
      <c r="AF1499" s="292"/>
      <c r="AG1499" s="314"/>
      <c r="AH1499" s="293"/>
      <c r="AI1499" s="167"/>
      <c r="AJ1499" s="48"/>
      <c r="AK1499" s="15"/>
      <c r="AL1499" s="15"/>
    </row>
    <row r="1500" spans="1:38" ht="75" x14ac:dyDescent="0.25">
      <c r="A1500" s="179"/>
      <c r="B1500" s="292"/>
      <c r="C1500" s="314"/>
      <c r="D1500" s="293"/>
      <c r="E1500" s="19" t="s">
        <v>4495</v>
      </c>
      <c r="F1500" s="235"/>
      <c r="G1500" s="270"/>
      <c r="H1500" s="236"/>
      <c r="I1500" s="104" t="s">
        <v>4479</v>
      </c>
      <c r="J1500" s="105"/>
      <c r="K1500" s="126" t="s">
        <v>4480</v>
      </c>
      <c r="L1500" s="127"/>
      <c r="M1500" s="353" t="s">
        <v>4489</v>
      </c>
      <c r="N1500" s="354"/>
      <c r="O1500" s="355"/>
      <c r="P1500" s="332" t="s">
        <v>4482</v>
      </c>
      <c r="Q1500" s="333"/>
      <c r="R1500" s="126" t="s">
        <v>903</v>
      </c>
      <c r="S1500" s="127"/>
      <c r="T1500" s="349">
        <v>20</v>
      </c>
      <c r="U1500" s="350"/>
      <c r="V1500" s="332" t="s">
        <v>4490</v>
      </c>
      <c r="W1500" s="333"/>
      <c r="X1500" s="297"/>
      <c r="Y1500" s="298"/>
      <c r="Z1500" s="299"/>
      <c r="AA1500" s="235"/>
      <c r="AB1500" s="236"/>
      <c r="AC1500" s="162"/>
      <c r="AD1500" s="163"/>
      <c r="AE1500" s="31"/>
      <c r="AF1500" s="292"/>
      <c r="AG1500" s="314"/>
      <c r="AH1500" s="293"/>
      <c r="AI1500" s="167"/>
      <c r="AJ1500" s="48"/>
      <c r="AK1500" s="15"/>
      <c r="AL1500" s="15"/>
    </row>
    <row r="1501" spans="1:38" ht="90" x14ac:dyDescent="0.25">
      <c r="A1501" s="230"/>
      <c r="B1501" s="290"/>
      <c r="C1501" s="345"/>
      <c r="D1501" s="291"/>
      <c r="E1501" s="19" t="s">
        <v>4496</v>
      </c>
      <c r="F1501" s="237"/>
      <c r="G1501" s="306"/>
      <c r="H1501" s="238"/>
      <c r="I1501" s="146" t="s">
        <v>4479</v>
      </c>
      <c r="J1501" s="148"/>
      <c r="K1501" s="117" t="s">
        <v>4480</v>
      </c>
      <c r="L1501" s="118"/>
      <c r="M1501" s="353" t="s">
        <v>4492</v>
      </c>
      <c r="N1501" s="354"/>
      <c r="O1501" s="355"/>
      <c r="P1501" s="332" t="s">
        <v>4482</v>
      </c>
      <c r="Q1501" s="333"/>
      <c r="R1501" s="117" t="s">
        <v>903</v>
      </c>
      <c r="S1501" s="118"/>
      <c r="T1501" s="349">
        <v>20</v>
      </c>
      <c r="U1501" s="350"/>
      <c r="V1501" s="332" t="s">
        <v>4493</v>
      </c>
      <c r="W1501" s="333"/>
      <c r="X1501" s="300"/>
      <c r="Y1501" s="301"/>
      <c r="Z1501" s="302"/>
      <c r="AA1501" s="237"/>
      <c r="AB1501" s="238"/>
      <c r="AC1501" s="212"/>
      <c r="AD1501" s="213"/>
      <c r="AE1501" s="31"/>
      <c r="AF1501" s="290"/>
      <c r="AG1501" s="345"/>
      <c r="AH1501" s="291"/>
      <c r="AI1501" s="167"/>
      <c r="AJ1501" s="48"/>
      <c r="AK1501" s="15"/>
      <c r="AL1501" s="15"/>
    </row>
    <row r="1502" spans="1:38" ht="90" x14ac:dyDescent="0.3">
      <c r="A1502" s="178"/>
      <c r="B1502" s="303" t="s">
        <v>4497</v>
      </c>
      <c r="C1502" s="344"/>
      <c r="D1502" s="304"/>
      <c r="E1502" s="28" t="s">
        <v>4498</v>
      </c>
      <c r="F1502" s="233" t="s">
        <v>1242</v>
      </c>
      <c r="G1502" s="305"/>
      <c r="H1502" s="234"/>
      <c r="I1502" s="143" t="s">
        <v>1181</v>
      </c>
      <c r="J1502" s="145"/>
      <c r="K1502" s="143" t="s">
        <v>4499</v>
      </c>
      <c r="L1502" s="145"/>
      <c r="M1502" s="173" t="s">
        <v>1487</v>
      </c>
      <c r="N1502" s="276"/>
      <c r="O1502" s="174"/>
      <c r="P1502" s="173" t="s">
        <v>717</v>
      </c>
      <c r="Q1502" s="174"/>
      <c r="R1502" s="112">
        <v>9</v>
      </c>
      <c r="S1502" s="113"/>
      <c r="T1502" s="285">
        <v>5</v>
      </c>
      <c r="U1502" s="286"/>
      <c r="V1502" s="173" t="s">
        <v>4500</v>
      </c>
      <c r="W1502" s="174"/>
      <c r="X1502" s="227">
        <v>58</v>
      </c>
      <c r="Y1502" s="228"/>
      <c r="Z1502" s="229"/>
      <c r="AA1502" s="110" t="s">
        <v>1033</v>
      </c>
      <c r="AB1502" s="111"/>
      <c r="AC1502" s="223" t="s">
        <v>675</v>
      </c>
      <c r="AD1502" s="224"/>
      <c r="AE1502" s="24" t="s">
        <v>4503</v>
      </c>
      <c r="AF1502" s="171" t="s">
        <v>1249</v>
      </c>
      <c r="AG1502" s="407"/>
      <c r="AH1502" s="172"/>
      <c r="AI1502" s="167"/>
      <c r="AJ1502" s="48"/>
      <c r="AK1502" s="15"/>
      <c r="AL1502" s="15"/>
    </row>
    <row r="1503" spans="1:38" ht="105" x14ac:dyDescent="0.3">
      <c r="A1503" s="179"/>
      <c r="B1503" s="292"/>
      <c r="C1503" s="314"/>
      <c r="D1503" s="293"/>
      <c r="E1503" s="28" t="s">
        <v>4505</v>
      </c>
      <c r="F1503" s="235"/>
      <c r="G1503" s="270"/>
      <c r="H1503" s="236"/>
      <c r="I1503" s="104" t="s">
        <v>1181</v>
      </c>
      <c r="J1503" s="105"/>
      <c r="K1503" s="104" t="s">
        <v>4499</v>
      </c>
      <c r="L1503" s="105"/>
      <c r="M1503" s="285">
        <v>32</v>
      </c>
      <c r="N1503" s="400"/>
      <c r="O1503" s="286"/>
      <c r="P1503" s="173" t="s">
        <v>717</v>
      </c>
      <c r="Q1503" s="174"/>
      <c r="R1503" s="155">
        <v>9</v>
      </c>
      <c r="S1503" s="157"/>
      <c r="T1503" s="285">
        <v>5</v>
      </c>
      <c r="U1503" s="286"/>
      <c r="V1503" s="173" t="s">
        <v>4176</v>
      </c>
      <c r="W1503" s="174"/>
      <c r="X1503" s="227">
        <v>58</v>
      </c>
      <c r="Y1503" s="228"/>
      <c r="Z1503" s="229"/>
      <c r="AA1503" s="110" t="s">
        <v>1071</v>
      </c>
      <c r="AB1503" s="111"/>
      <c r="AC1503" s="239" t="s">
        <v>4501</v>
      </c>
      <c r="AD1503" s="240"/>
      <c r="AE1503" s="31" t="s">
        <v>1356</v>
      </c>
      <c r="AF1503" s="162"/>
      <c r="AG1503" s="170"/>
      <c r="AH1503" s="163"/>
      <c r="AI1503" s="167"/>
      <c r="AJ1503" s="48"/>
      <c r="AK1503" s="15"/>
      <c r="AL1503" s="15"/>
    </row>
    <row r="1504" spans="1:38" ht="90" x14ac:dyDescent="0.3">
      <c r="A1504" s="179"/>
      <c r="B1504" s="292"/>
      <c r="C1504" s="314"/>
      <c r="D1504" s="293"/>
      <c r="E1504" s="28" t="s">
        <v>4506</v>
      </c>
      <c r="F1504" s="235"/>
      <c r="G1504" s="270"/>
      <c r="H1504" s="236"/>
      <c r="I1504" s="104" t="s">
        <v>1181</v>
      </c>
      <c r="J1504" s="105"/>
      <c r="K1504" s="104" t="s">
        <v>4499</v>
      </c>
      <c r="L1504" s="105"/>
      <c r="M1504" s="173" t="s">
        <v>3455</v>
      </c>
      <c r="N1504" s="276"/>
      <c r="O1504" s="174"/>
      <c r="P1504" s="173" t="s">
        <v>717</v>
      </c>
      <c r="Q1504" s="174"/>
      <c r="R1504" s="155">
        <v>9</v>
      </c>
      <c r="S1504" s="157"/>
      <c r="T1504" s="285">
        <v>5</v>
      </c>
      <c r="U1504" s="286"/>
      <c r="V1504" s="173" t="s">
        <v>3612</v>
      </c>
      <c r="W1504" s="174"/>
      <c r="X1504" s="227">
        <v>58</v>
      </c>
      <c r="Y1504" s="228"/>
      <c r="Z1504" s="229"/>
      <c r="AA1504" s="110" t="s">
        <v>1062</v>
      </c>
      <c r="AB1504" s="111"/>
      <c r="AC1504" s="239" t="s">
        <v>2211</v>
      </c>
      <c r="AD1504" s="240"/>
      <c r="AE1504" s="31" t="s">
        <v>4504</v>
      </c>
      <c r="AF1504" s="162"/>
      <c r="AG1504" s="170"/>
      <c r="AH1504" s="163"/>
      <c r="AI1504" s="167"/>
      <c r="AJ1504" s="48"/>
      <c r="AK1504" s="15"/>
      <c r="AL1504" s="15"/>
    </row>
    <row r="1505" spans="1:38" ht="90" x14ac:dyDescent="0.3">
      <c r="A1505" s="179"/>
      <c r="B1505" s="292"/>
      <c r="C1505" s="314"/>
      <c r="D1505" s="293"/>
      <c r="E1505" s="28" t="s">
        <v>4507</v>
      </c>
      <c r="F1505" s="235"/>
      <c r="G1505" s="270"/>
      <c r="H1505" s="236"/>
      <c r="I1505" s="104" t="s">
        <v>1181</v>
      </c>
      <c r="J1505" s="105"/>
      <c r="K1505" s="104" t="s">
        <v>4499</v>
      </c>
      <c r="L1505" s="105"/>
      <c r="M1505" s="173" t="s">
        <v>1487</v>
      </c>
      <c r="N1505" s="276"/>
      <c r="O1505" s="174"/>
      <c r="P1505" s="173" t="s">
        <v>717</v>
      </c>
      <c r="Q1505" s="174"/>
      <c r="R1505" s="155">
        <v>9</v>
      </c>
      <c r="S1505" s="157"/>
      <c r="T1505" s="285">
        <v>5</v>
      </c>
      <c r="U1505" s="286"/>
      <c r="V1505" s="173" t="s">
        <v>4500</v>
      </c>
      <c r="W1505" s="174"/>
      <c r="X1505" s="227">
        <v>58</v>
      </c>
      <c r="Y1505" s="228"/>
      <c r="Z1505" s="229"/>
      <c r="AA1505" s="110" t="s">
        <v>1033</v>
      </c>
      <c r="AB1505" s="111"/>
      <c r="AC1505" s="239" t="s">
        <v>4502</v>
      </c>
      <c r="AD1505" s="240"/>
      <c r="AE1505" s="31"/>
      <c r="AF1505" s="162"/>
      <c r="AG1505" s="170"/>
      <c r="AH1505" s="163"/>
      <c r="AI1505" s="167"/>
      <c r="AJ1505" s="48"/>
      <c r="AK1505" s="15"/>
      <c r="AL1505" s="15"/>
    </row>
    <row r="1506" spans="1:38" ht="90" x14ac:dyDescent="0.3">
      <c r="A1506" s="179"/>
      <c r="B1506" s="292"/>
      <c r="C1506" s="314"/>
      <c r="D1506" s="293"/>
      <c r="E1506" s="28" t="s">
        <v>4508</v>
      </c>
      <c r="F1506" s="235"/>
      <c r="G1506" s="270"/>
      <c r="H1506" s="236"/>
      <c r="I1506" s="104" t="s">
        <v>1181</v>
      </c>
      <c r="J1506" s="105"/>
      <c r="K1506" s="104" t="s">
        <v>4499</v>
      </c>
      <c r="L1506" s="105"/>
      <c r="M1506" s="285">
        <v>32</v>
      </c>
      <c r="N1506" s="400"/>
      <c r="O1506" s="286"/>
      <c r="P1506" s="173" t="s">
        <v>717</v>
      </c>
      <c r="Q1506" s="174"/>
      <c r="R1506" s="155">
        <v>9</v>
      </c>
      <c r="S1506" s="157"/>
      <c r="T1506" s="285">
        <v>5</v>
      </c>
      <c r="U1506" s="286"/>
      <c r="V1506" s="173" t="s">
        <v>4176</v>
      </c>
      <c r="W1506" s="174"/>
      <c r="X1506" s="227">
        <v>58</v>
      </c>
      <c r="Y1506" s="228"/>
      <c r="Z1506" s="229"/>
      <c r="AA1506" s="110" t="s">
        <v>1071</v>
      </c>
      <c r="AB1506" s="111"/>
      <c r="AC1506" s="239"/>
      <c r="AD1506" s="240"/>
      <c r="AE1506" s="31"/>
      <c r="AF1506" s="162"/>
      <c r="AG1506" s="170"/>
      <c r="AH1506" s="163"/>
      <c r="AI1506" s="167"/>
      <c r="AJ1506" s="48"/>
      <c r="AK1506" s="15"/>
      <c r="AL1506" s="15"/>
    </row>
    <row r="1507" spans="1:38" ht="90" x14ac:dyDescent="0.3">
      <c r="A1507" s="230"/>
      <c r="B1507" s="290"/>
      <c r="C1507" s="345"/>
      <c r="D1507" s="291"/>
      <c r="E1507" s="28" t="s">
        <v>4509</v>
      </c>
      <c r="F1507" s="237"/>
      <c r="G1507" s="306"/>
      <c r="H1507" s="238"/>
      <c r="I1507" s="146" t="s">
        <v>1181</v>
      </c>
      <c r="J1507" s="148"/>
      <c r="K1507" s="146" t="s">
        <v>4499</v>
      </c>
      <c r="L1507" s="148"/>
      <c r="M1507" s="173" t="s">
        <v>3455</v>
      </c>
      <c r="N1507" s="276"/>
      <c r="O1507" s="174"/>
      <c r="P1507" s="173" t="s">
        <v>717</v>
      </c>
      <c r="Q1507" s="174"/>
      <c r="R1507" s="160">
        <v>9</v>
      </c>
      <c r="S1507" s="161"/>
      <c r="T1507" s="285">
        <v>5</v>
      </c>
      <c r="U1507" s="286"/>
      <c r="V1507" s="173" t="s">
        <v>3612</v>
      </c>
      <c r="W1507" s="174"/>
      <c r="X1507" s="227">
        <v>58</v>
      </c>
      <c r="Y1507" s="228"/>
      <c r="Z1507" s="229"/>
      <c r="AA1507" s="110" t="s">
        <v>1062</v>
      </c>
      <c r="AB1507" s="111"/>
      <c r="AC1507" s="225"/>
      <c r="AD1507" s="226"/>
      <c r="AE1507" s="31"/>
      <c r="AF1507" s="212"/>
      <c r="AG1507" s="408"/>
      <c r="AH1507" s="213"/>
      <c r="AI1507" s="167"/>
      <c r="AJ1507" s="48"/>
      <c r="AK1507" s="15"/>
      <c r="AL1507" s="15"/>
    </row>
    <row r="1508" spans="1:38" ht="105" x14ac:dyDescent="0.3">
      <c r="A1508" s="178"/>
      <c r="B1508" s="233" t="s">
        <v>4510</v>
      </c>
      <c r="C1508" s="305"/>
      <c r="D1508" s="234"/>
      <c r="E1508" s="19" t="s">
        <v>4511</v>
      </c>
      <c r="F1508" s="233" t="s">
        <v>4512</v>
      </c>
      <c r="G1508" s="305"/>
      <c r="H1508" s="234"/>
      <c r="I1508" s="143" t="s">
        <v>717</v>
      </c>
      <c r="J1508" s="145"/>
      <c r="K1508" s="88" t="s">
        <v>4513</v>
      </c>
      <c r="L1508" s="89"/>
      <c r="M1508" s="349">
        <v>55</v>
      </c>
      <c r="N1508" s="423"/>
      <c r="O1508" s="350"/>
      <c r="P1508" s="208" t="s">
        <v>4514</v>
      </c>
      <c r="Q1508" s="209"/>
      <c r="R1508" s="112">
        <v>23</v>
      </c>
      <c r="S1508" s="113"/>
      <c r="T1508" s="112">
        <v>2</v>
      </c>
      <c r="U1508" s="113"/>
      <c r="V1508" s="353" t="s">
        <v>4515</v>
      </c>
      <c r="W1508" s="355"/>
      <c r="X1508" s="294">
        <v>108</v>
      </c>
      <c r="Y1508" s="295"/>
      <c r="Z1508" s="296"/>
      <c r="AA1508" s="233" t="s">
        <v>1174</v>
      </c>
      <c r="AB1508" s="234"/>
      <c r="AC1508" s="171" t="s">
        <v>3194</v>
      </c>
      <c r="AD1508" s="172"/>
      <c r="AE1508" s="16" t="s">
        <v>4518</v>
      </c>
      <c r="AF1508" s="164"/>
      <c r="AG1508" s="165"/>
      <c r="AH1508" s="166"/>
      <c r="AI1508" s="167"/>
      <c r="AJ1508" s="48"/>
      <c r="AK1508" s="15"/>
      <c r="AL1508" s="15"/>
    </row>
    <row r="1509" spans="1:38" ht="60" x14ac:dyDescent="0.3">
      <c r="A1509" s="179"/>
      <c r="B1509" s="235"/>
      <c r="C1509" s="270"/>
      <c r="D1509" s="236"/>
      <c r="E1509" s="19" t="s">
        <v>4520</v>
      </c>
      <c r="F1509" s="235"/>
      <c r="G1509" s="270"/>
      <c r="H1509" s="236"/>
      <c r="I1509" s="104" t="s">
        <v>717</v>
      </c>
      <c r="J1509" s="105"/>
      <c r="K1509" s="126" t="s">
        <v>4513</v>
      </c>
      <c r="L1509" s="127"/>
      <c r="M1509" s="349">
        <v>55</v>
      </c>
      <c r="N1509" s="423"/>
      <c r="O1509" s="350"/>
      <c r="P1509" s="280" t="s">
        <v>4514</v>
      </c>
      <c r="Q1509" s="281"/>
      <c r="R1509" s="155">
        <v>23</v>
      </c>
      <c r="S1509" s="157"/>
      <c r="T1509" s="155">
        <v>2</v>
      </c>
      <c r="U1509" s="157"/>
      <c r="V1509" s="353" t="s">
        <v>4515</v>
      </c>
      <c r="W1509" s="355"/>
      <c r="X1509" s="297"/>
      <c r="Y1509" s="298"/>
      <c r="Z1509" s="299"/>
      <c r="AA1509" s="235"/>
      <c r="AB1509" s="236"/>
      <c r="AC1509" s="162" t="s">
        <v>4516</v>
      </c>
      <c r="AD1509" s="163"/>
      <c r="AE1509" s="43" t="s">
        <v>4519</v>
      </c>
      <c r="AF1509" s="167"/>
      <c r="AG1509" s="168"/>
      <c r="AH1509" s="169"/>
      <c r="AI1509" s="167"/>
      <c r="AJ1509" s="48"/>
      <c r="AK1509" s="15"/>
      <c r="AL1509" s="15"/>
    </row>
    <row r="1510" spans="1:38" ht="45" x14ac:dyDescent="0.3">
      <c r="A1510" s="230"/>
      <c r="B1510" s="237"/>
      <c r="C1510" s="306"/>
      <c r="D1510" s="238"/>
      <c r="E1510" s="19" t="s">
        <v>4521</v>
      </c>
      <c r="F1510" s="237"/>
      <c r="G1510" s="306"/>
      <c r="H1510" s="238"/>
      <c r="I1510" s="146" t="s">
        <v>717</v>
      </c>
      <c r="J1510" s="148"/>
      <c r="K1510" s="117" t="s">
        <v>4513</v>
      </c>
      <c r="L1510" s="118"/>
      <c r="M1510" s="349">
        <v>55</v>
      </c>
      <c r="N1510" s="423"/>
      <c r="O1510" s="350"/>
      <c r="P1510" s="210" t="s">
        <v>4514</v>
      </c>
      <c r="Q1510" s="211"/>
      <c r="R1510" s="160">
        <v>23</v>
      </c>
      <c r="S1510" s="161"/>
      <c r="T1510" s="160">
        <v>2</v>
      </c>
      <c r="U1510" s="161"/>
      <c r="V1510" s="353" t="s">
        <v>4515</v>
      </c>
      <c r="W1510" s="355"/>
      <c r="X1510" s="300"/>
      <c r="Y1510" s="301"/>
      <c r="Z1510" s="302"/>
      <c r="AA1510" s="237"/>
      <c r="AB1510" s="238"/>
      <c r="AC1510" s="212" t="s">
        <v>4517</v>
      </c>
      <c r="AD1510" s="213"/>
      <c r="AE1510" s="43"/>
      <c r="AF1510" s="214"/>
      <c r="AG1510" s="215"/>
      <c r="AH1510" s="216"/>
      <c r="AI1510" s="167"/>
      <c r="AJ1510" s="48"/>
      <c r="AK1510" s="15"/>
      <c r="AL1510" s="15"/>
    </row>
    <row r="1511" spans="1:38" ht="75" x14ac:dyDescent="0.3">
      <c r="A1511" s="178"/>
      <c r="B1511" s="303" t="s">
        <v>4522</v>
      </c>
      <c r="C1511" s="344"/>
      <c r="D1511" s="304"/>
      <c r="E1511" s="19" t="s">
        <v>4523</v>
      </c>
      <c r="F1511" s="346" t="s">
        <v>4524</v>
      </c>
      <c r="G1511" s="347"/>
      <c r="H1511" s="348"/>
      <c r="I1511" s="349">
        <v>19</v>
      </c>
      <c r="J1511" s="350"/>
      <c r="K1511" s="351" t="s">
        <v>4525</v>
      </c>
      <c r="L1511" s="352"/>
      <c r="M1511" s="349">
        <v>270</v>
      </c>
      <c r="N1511" s="423"/>
      <c r="O1511" s="350"/>
      <c r="P1511" s="332" t="s">
        <v>4526</v>
      </c>
      <c r="Q1511" s="333"/>
      <c r="R1511" s="349">
        <v>108</v>
      </c>
      <c r="S1511" s="350"/>
      <c r="T1511" s="349">
        <v>3</v>
      </c>
      <c r="U1511" s="350"/>
      <c r="V1511" s="332" t="s">
        <v>4527</v>
      </c>
      <c r="W1511" s="333"/>
      <c r="X1511" s="227">
        <v>528</v>
      </c>
      <c r="Y1511" s="228"/>
      <c r="Z1511" s="229"/>
      <c r="AA1511" s="337" t="s">
        <v>975</v>
      </c>
      <c r="AB1511" s="338"/>
      <c r="AC1511" s="171" t="s">
        <v>3194</v>
      </c>
      <c r="AD1511" s="172"/>
      <c r="AE1511" s="24" t="s">
        <v>4529</v>
      </c>
      <c r="AF1511" s="164"/>
      <c r="AG1511" s="165"/>
      <c r="AH1511" s="166"/>
      <c r="AI1511" s="167"/>
      <c r="AJ1511" s="48"/>
      <c r="AK1511" s="15"/>
      <c r="AL1511" s="15"/>
    </row>
    <row r="1512" spans="1:38" ht="45" x14ac:dyDescent="0.3">
      <c r="A1512" s="179"/>
      <c r="B1512" s="292"/>
      <c r="C1512" s="314"/>
      <c r="D1512" s="293"/>
      <c r="E1512" s="19" t="s">
        <v>4531</v>
      </c>
      <c r="F1512" s="346" t="s">
        <v>4532</v>
      </c>
      <c r="G1512" s="347"/>
      <c r="H1512" s="348"/>
      <c r="I1512" s="337" t="s">
        <v>4533</v>
      </c>
      <c r="J1512" s="338"/>
      <c r="K1512" s="351" t="s">
        <v>4534</v>
      </c>
      <c r="L1512" s="352"/>
      <c r="M1512" s="356">
        <v>430</v>
      </c>
      <c r="N1512" s="510"/>
      <c r="O1512" s="357"/>
      <c r="P1512" s="332" t="s">
        <v>2219</v>
      </c>
      <c r="Q1512" s="333"/>
      <c r="R1512" s="349">
        <v>200</v>
      </c>
      <c r="S1512" s="350"/>
      <c r="T1512" s="349">
        <v>6</v>
      </c>
      <c r="U1512" s="350"/>
      <c r="V1512" s="514" t="s">
        <v>4535</v>
      </c>
      <c r="W1512" s="515"/>
      <c r="X1512" s="334">
        <v>758</v>
      </c>
      <c r="Y1512" s="335"/>
      <c r="Z1512" s="336"/>
      <c r="AA1512" s="337" t="s">
        <v>4298</v>
      </c>
      <c r="AB1512" s="338"/>
      <c r="AC1512" s="162" t="s">
        <v>4528</v>
      </c>
      <c r="AD1512" s="163"/>
      <c r="AE1512" s="31" t="s">
        <v>1356</v>
      </c>
      <c r="AF1512" s="167"/>
      <c r="AG1512" s="168"/>
      <c r="AH1512" s="169"/>
      <c r="AI1512" s="167"/>
      <c r="AJ1512" s="48"/>
      <c r="AK1512" s="15"/>
      <c r="AL1512" s="15"/>
    </row>
    <row r="1513" spans="1:38" ht="60" x14ac:dyDescent="0.3">
      <c r="A1513" s="179"/>
      <c r="B1513" s="292"/>
      <c r="C1513" s="314"/>
      <c r="D1513" s="293"/>
      <c r="E1513" s="19" t="s">
        <v>4536</v>
      </c>
      <c r="F1513" s="346" t="s">
        <v>4537</v>
      </c>
      <c r="G1513" s="347"/>
      <c r="H1513" s="348"/>
      <c r="I1513" s="349">
        <v>40</v>
      </c>
      <c r="J1513" s="350"/>
      <c r="K1513" s="351" t="s">
        <v>4538</v>
      </c>
      <c r="L1513" s="352"/>
      <c r="M1513" s="356">
        <v>450</v>
      </c>
      <c r="N1513" s="510"/>
      <c r="O1513" s="357"/>
      <c r="P1513" s="332" t="s">
        <v>2226</v>
      </c>
      <c r="Q1513" s="333"/>
      <c r="R1513" s="349">
        <v>226</v>
      </c>
      <c r="S1513" s="350"/>
      <c r="T1513" s="349">
        <v>10</v>
      </c>
      <c r="U1513" s="350"/>
      <c r="V1513" s="514" t="s">
        <v>4539</v>
      </c>
      <c r="W1513" s="515"/>
      <c r="X1513" s="227">
        <v>868</v>
      </c>
      <c r="Y1513" s="228"/>
      <c r="Z1513" s="229"/>
      <c r="AA1513" s="337" t="s">
        <v>2192</v>
      </c>
      <c r="AB1513" s="338"/>
      <c r="AC1513" s="162"/>
      <c r="AD1513" s="163"/>
      <c r="AE1513" s="31" t="s">
        <v>4530</v>
      </c>
      <c r="AF1513" s="167"/>
      <c r="AG1513" s="168"/>
      <c r="AH1513" s="169"/>
      <c r="AI1513" s="167"/>
      <c r="AJ1513" s="48"/>
      <c r="AK1513" s="15"/>
      <c r="AL1513" s="15"/>
    </row>
    <row r="1514" spans="1:38" ht="45" x14ac:dyDescent="0.3">
      <c r="A1514" s="179"/>
      <c r="B1514" s="292"/>
      <c r="C1514" s="314"/>
      <c r="D1514" s="293"/>
      <c r="E1514" s="19" t="s">
        <v>4540</v>
      </c>
      <c r="F1514" s="346" t="s">
        <v>4541</v>
      </c>
      <c r="G1514" s="347"/>
      <c r="H1514" s="348"/>
      <c r="I1514" s="349">
        <v>45</v>
      </c>
      <c r="J1514" s="350"/>
      <c r="K1514" s="351" t="s">
        <v>4542</v>
      </c>
      <c r="L1514" s="352"/>
      <c r="M1514" s="356">
        <v>490</v>
      </c>
      <c r="N1514" s="510"/>
      <c r="O1514" s="357"/>
      <c r="P1514" s="332" t="s">
        <v>4039</v>
      </c>
      <c r="Q1514" s="333"/>
      <c r="R1514" s="349">
        <v>250</v>
      </c>
      <c r="S1514" s="350"/>
      <c r="T1514" s="349">
        <v>12</v>
      </c>
      <c r="U1514" s="350"/>
      <c r="V1514" s="514" t="s">
        <v>4543</v>
      </c>
      <c r="W1514" s="515"/>
      <c r="X1514" s="227">
        <v>1080</v>
      </c>
      <c r="Y1514" s="228"/>
      <c r="Z1514" s="229"/>
      <c r="AA1514" s="337" t="s">
        <v>1261</v>
      </c>
      <c r="AB1514" s="338"/>
      <c r="AC1514" s="162"/>
      <c r="AD1514" s="163"/>
      <c r="AE1514" s="31"/>
      <c r="AF1514" s="167"/>
      <c r="AG1514" s="168"/>
      <c r="AH1514" s="169"/>
      <c r="AI1514" s="167"/>
      <c r="AJ1514" s="48"/>
      <c r="AK1514" s="15"/>
      <c r="AL1514" s="15"/>
    </row>
    <row r="1515" spans="1:38" ht="45" x14ac:dyDescent="0.3">
      <c r="A1515" s="230"/>
      <c r="B1515" s="290"/>
      <c r="C1515" s="345"/>
      <c r="D1515" s="291"/>
      <c r="E1515" s="19" t="s">
        <v>4544</v>
      </c>
      <c r="F1515" s="346" t="s">
        <v>4545</v>
      </c>
      <c r="G1515" s="347"/>
      <c r="H1515" s="348"/>
      <c r="I1515" s="349">
        <v>50</v>
      </c>
      <c r="J1515" s="350"/>
      <c r="K1515" s="351" t="s">
        <v>4546</v>
      </c>
      <c r="L1515" s="352"/>
      <c r="M1515" s="356">
        <v>530</v>
      </c>
      <c r="N1515" s="510"/>
      <c r="O1515" s="357"/>
      <c r="P1515" s="332" t="s">
        <v>1146</v>
      </c>
      <c r="Q1515" s="333"/>
      <c r="R1515" s="349">
        <v>286</v>
      </c>
      <c r="S1515" s="350"/>
      <c r="T1515" s="349">
        <v>15</v>
      </c>
      <c r="U1515" s="350"/>
      <c r="V1515" s="514" t="s">
        <v>4547</v>
      </c>
      <c r="W1515" s="515"/>
      <c r="X1515" s="334">
        <v>1180</v>
      </c>
      <c r="Y1515" s="335"/>
      <c r="Z1515" s="336"/>
      <c r="AA1515" s="337" t="s">
        <v>1739</v>
      </c>
      <c r="AB1515" s="338"/>
      <c r="AC1515" s="212"/>
      <c r="AD1515" s="213"/>
      <c r="AE1515" s="31"/>
      <c r="AF1515" s="214"/>
      <c r="AG1515" s="215"/>
      <c r="AH1515" s="216"/>
      <c r="AI1515" s="214"/>
      <c r="AJ1515" s="48"/>
      <c r="AK1515" s="15"/>
      <c r="AL1515" s="15"/>
    </row>
    <row r="1516" spans="1:38" ht="90" x14ac:dyDescent="0.25">
      <c r="A1516" s="178"/>
      <c r="B1516" s="303" t="s">
        <v>4548</v>
      </c>
      <c r="C1516" s="344"/>
      <c r="D1516" s="304"/>
      <c r="E1516" s="28" t="s">
        <v>4549</v>
      </c>
      <c r="F1516" s="124" t="s">
        <v>4550</v>
      </c>
      <c r="G1516" s="182"/>
      <c r="H1516" s="125"/>
      <c r="I1516" s="183">
        <v>7</v>
      </c>
      <c r="J1516" s="185"/>
      <c r="K1516" s="110" t="s">
        <v>4551</v>
      </c>
      <c r="L1516" s="111"/>
      <c r="M1516" s="285">
        <v>28</v>
      </c>
      <c r="N1516" s="400"/>
      <c r="O1516" s="286"/>
      <c r="P1516" s="285">
        <v>3</v>
      </c>
      <c r="Q1516" s="286"/>
      <c r="R1516" s="285">
        <v>11</v>
      </c>
      <c r="S1516" s="286"/>
      <c r="T1516" s="285">
        <v>5</v>
      </c>
      <c r="U1516" s="286"/>
      <c r="V1516" s="173" t="s">
        <v>3088</v>
      </c>
      <c r="W1516" s="174"/>
      <c r="X1516" s="227">
        <v>89</v>
      </c>
      <c r="Y1516" s="228"/>
      <c r="Z1516" s="229"/>
      <c r="AA1516" s="110" t="s">
        <v>889</v>
      </c>
      <c r="AB1516" s="111"/>
      <c r="AC1516" s="223" t="s">
        <v>675</v>
      </c>
      <c r="AD1516" s="224"/>
      <c r="AE1516" s="16" t="s">
        <v>4554</v>
      </c>
      <c r="AF1516" s="303" t="s">
        <v>909</v>
      </c>
      <c r="AG1516" s="344"/>
      <c r="AH1516" s="304"/>
      <c r="AI1516" s="24" t="s">
        <v>4557</v>
      </c>
      <c r="AJ1516" s="48"/>
      <c r="AK1516" s="15"/>
      <c r="AL1516" s="15"/>
    </row>
    <row r="1517" spans="1:38" ht="135" x14ac:dyDescent="0.25">
      <c r="A1517" s="179"/>
      <c r="B1517" s="292"/>
      <c r="C1517" s="314"/>
      <c r="D1517" s="293"/>
      <c r="E1517" s="28" t="s">
        <v>4559</v>
      </c>
      <c r="F1517" s="233" t="s">
        <v>4560</v>
      </c>
      <c r="G1517" s="305"/>
      <c r="H1517" s="234"/>
      <c r="I1517" s="183">
        <v>10</v>
      </c>
      <c r="J1517" s="185"/>
      <c r="K1517" s="110" t="s">
        <v>3410</v>
      </c>
      <c r="L1517" s="111"/>
      <c r="M1517" s="173" t="s">
        <v>4561</v>
      </c>
      <c r="N1517" s="276"/>
      <c r="O1517" s="174"/>
      <c r="P1517" s="285">
        <v>5</v>
      </c>
      <c r="Q1517" s="286"/>
      <c r="R1517" s="183">
        <v>14</v>
      </c>
      <c r="S1517" s="185"/>
      <c r="T1517" s="183">
        <v>7</v>
      </c>
      <c r="U1517" s="185"/>
      <c r="V1517" s="173" t="s">
        <v>2999</v>
      </c>
      <c r="W1517" s="174"/>
      <c r="X1517" s="227">
        <v>159</v>
      </c>
      <c r="Y1517" s="228"/>
      <c r="Z1517" s="229"/>
      <c r="AA1517" s="110" t="s">
        <v>722</v>
      </c>
      <c r="AB1517" s="111"/>
      <c r="AC1517" s="239" t="s">
        <v>4552</v>
      </c>
      <c r="AD1517" s="240"/>
      <c r="AE1517" s="43" t="s">
        <v>4555</v>
      </c>
      <c r="AF1517" s="292" t="s">
        <v>4382</v>
      </c>
      <c r="AG1517" s="314"/>
      <c r="AH1517" s="293"/>
      <c r="AI1517" s="31" t="s">
        <v>4558</v>
      </c>
      <c r="AJ1517" s="48"/>
      <c r="AK1517" s="15"/>
      <c r="AL1517" s="15"/>
    </row>
    <row r="1518" spans="1:38" ht="135" x14ac:dyDescent="0.25">
      <c r="A1518" s="179"/>
      <c r="B1518" s="292"/>
      <c r="C1518" s="314"/>
      <c r="D1518" s="293"/>
      <c r="E1518" s="28" t="s">
        <v>4562</v>
      </c>
      <c r="F1518" s="235"/>
      <c r="G1518" s="270"/>
      <c r="H1518" s="236"/>
      <c r="I1518" s="183">
        <v>10</v>
      </c>
      <c r="J1518" s="185"/>
      <c r="K1518" s="110" t="s">
        <v>3410</v>
      </c>
      <c r="L1518" s="111"/>
      <c r="M1518" s="173" t="s">
        <v>4561</v>
      </c>
      <c r="N1518" s="276"/>
      <c r="O1518" s="174"/>
      <c r="P1518" s="285">
        <v>5</v>
      </c>
      <c r="Q1518" s="286"/>
      <c r="R1518" s="183">
        <v>14</v>
      </c>
      <c r="S1518" s="185"/>
      <c r="T1518" s="183">
        <v>7</v>
      </c>
      <c r="U1518" s="185"/>
      <c r="V1518" s="173" t="s">
        <v>2999</v>
      </c>
      <c r="W1518" s="174"/>
      <c r="X1518" s="227">
        <v>159</v>
      </c>
      <c r="Y1518" s="228"/>
      <c r="Z1518" s="229"/>
      <c r="AA1518" s="110" t="s">
        <v>722</v>
      </c>
      <c r="AB1518" s="111"/>
      <c r="AC1518" s="239" t="s">
        <v>2211</v>
      </c>
      <c r="AD1518" s="240"/>
      <c r="AE1518" s="43" t="s">
        <v>4556</v>
      </c>
      <c r="AF1518" s="292"/>
      <c r="AG1518" s="314"/>
      <c r="AH1518" s="293"/>
      <c r="AI1518" s="31"/>
      <c r="AJ1518" s="48"/>
      <c r="AK1518" s="15"/>
      <c r="AL1518" s="15"/>
    </row>
    <row r="1519" spans="1:38" ht="150" x14ac:dyDescent="0.25">
      <c r="A1519" s="179"/>
      <c r="B1519" s="292"/>
      <c r="C1519" s="314"/>
      <c r="D1519" s="293"/>
      <c r="E1519" s="28" t="s">
        <v>4563</v>
      </c>
      <c r="F1519" s="235"/>
      <c r="G1519" s="270"/>
      <c r="H1519" s="236"/>
      <c r="I1519" s="183">
        <v>10</v>
      </c>
      <c r="J1519" s="185"/>
      <c r="K1519" s="110" t="s">
        <v>3410</v>
      </c>
      <c r="L1519" s="111"/>
      <c r="M1519" s="173" t="s">
        <v>2100</v>
      </c>
      <c r="N1519" s="276"/>
      <c r="O1519" s="174"/>
      <c r="P1519" s="285">
        <v>5</v>
      </c>
      <c r="Q1519" s="286"/>
      <c r="R1519" s="183">
        <v>14</v>
      </c>
      <c r="S1519" s="185"/>
      <c r="T1519" s="183">
        <v>7</v>
      </c>
      <c r="U1519" s="185"/>
      <c r="V1519" s="173" t="s">
        <v>4564</v>
      </c>
      <c r="W1519" s="174"/>
      <c r="X1519" s="227">
        <v>159</v>
      </c>
      <c r="Y1519" s="228"/>
      <c r="Z1519" s="229"/>
      <c r="AA1519" s="110" t="s">
        <v>722</v>
      </c>
      <c r="AB1519" s="111"/>
      <c r="AC1519" s="239" t="s">
        <v>4553</v>
      </c>
      <c r="AD1519" s="240"/>
      <c r="AE1519" s="43"/>
      <c r="AF1519" s="292"/>
      <c r="AG1519" s="314"/>
      <c r="AH1519" s="293"/>
      <c r="AI1519" s="31"/>
      <c r="AJ1519" s="48"/>
      <c r="AK1519" s="15"/>
      <c r="AL1519" s="15"/>
    </row>
    <row r="1520" spans="1:38" ht="135" x14ac:dyDescent="0.25">
      <c r="A1520" s="179"/>
      <c r="B1520" s="292"/>
      <c r="C1520" s="314"/>
      <c r="D1520" s="293"/>
      <c r="E1520" s="28" t="s">
        <v>4565</v>
      </c>
      <c r="F1520" s="235"/>
      <c r="G1520" s="270"/>
      <c r="H1520" s="236"/>
      <c r="I1520" s="183">
        <v>10</v>
      </c>
      <c r="J1520" s="185"/>
      <c r="K1520" s="110" t="s">
        <v>3410</v>
      </c>
      <c r="L1520" s="111"/>
      <c r="M1520" s="173" t="s">
        <v>2100</v>
      </c>
      <c r="N1520" s="276"/>
      <c r="O1520" s="174"/>
      <c r="P1520" s="285">
        <v>5</v>
      </c>
      <c r="Q1520" s="286"/>
      <c r="R1520" s="183">
        <v>14</v>
      </c>
      <c r="S1520" s="185"/>
      <c r="T1520" s="183">
        <v>7</v>
      </c>
      <c r="U1520" s="185"/>
      <c r="V1520" s="173" t="s">
        <v>4564</v>
      </c>
      <c r="W1520" s="174"/>
      <c r="X1520" s="227">
        <v>159</v>
      </c>
      <c r="Y1520" s="228"/>
      <c r="Z1520" s="229"/>
      <c r="AA1520" s="110" t="s">
        <v>722</v>
      </c>
      <c r="AB1520" s="111"/>
      <c r="AC1520" s="239"/>
      <c r="AD1520" s="240"/>
      <c r="AE1520" s="43"/>
      <c r="AF1520" s="292"/>
      <c r="AG1520" s="314"/>
      <c r="AH1520" s="293"/>
      <c r="AI1520" s="31"/>
      <c r="AJ1520" s="48"/>
      <c r="AK1520" s="15"/>
      <c r="AL1520" s="15"/>
    </row>
    <row r="1521" spans="1:38" ht="135" x14ac:dyDescent="0.25">
      <c r="A1521" s="179"/>
      <c r="B1521" s="292"/>
      <c r="C1521" s="314"/>
      <c r="D1521" s="293"/>
      <c r="E1521" s="28" t="s">
        <v>4566</v>
      </c>
      <c r="F1521" s="235"/>
      <c r="G1521" s="270"/>
      <c r="H1521" s="236"/>
      <c r="I1521" s="183">
        <v>10</v>
      </c>
      <c r="J1521" s="185"/>
      <c r="K1521" s="110" t="s">
        <v>3410</v>
      </c>
      <c r="L1521" s="111"/>
      <c r="M1521" s="173" t="s">
        <v>2544</v>
      </c>
      <c r="N1521" s="276"/>
      <c r="O1521" s="174"/>
      <c r="P1521" s="285">
        <v>5</v>
      </c>
      <c r="Q1521" s="286"/>
      <c r="R1521" s="183">
        <v>14</v>
      </c>
      <c r="S1521" s="185"/>
      <c r="T1521" s="183">
        <v>7</v>
      </c>
      <c r="U1521" s="185"/>
      <c r="V1521" s="173" t="s">
        <v>1454</v>
      </c>
      <c r="W1521" s="174"/>
      <c r="X1521" s="227">
        <v>169</v>
      </c>
      <c r="Y1521" s="228"/>
      <c r="Z1521" s="229"/>
      <c r="AA1521" s="110" t="s">
        <v>722</v>
      </c>
      <c r="AB1521" s="111"/>
      <c r="AC1521" s="239"/>
      <c r="AD1521" s="240"/>
      <c r="AE1521" s="43"/>
      <c r="AF1521" s="292"/>
      <c r="AG1521" s="314"/>
      <c r="AH1521" s="293"/>
      <c r="AI1521" s="31"/>
      <c r="AJ1521" s="48"/>
      <c r="AK1521" s="15"/>
      <c r="AL1521" s="15"/>
    </row>
    <row r="1522" spans="1:38" ht="135" x14ac:dyDescent="0.25">
      <c r="A1522" s="179"/>
      <c r="B1522" s="292"/>
      <c r="C1522" s="314"/>
      <c r="D1522" s="293"/>
      <c r="E1522" s="28" t="s">
        <v>4567</v>
      </c>
      <c r="F1522" s="237"/>
      <c r="G1522" s="306"/>
      <c r="H1522" s="238"/>
      <c r="I1522" s="183">
        <v>10</v>
      </c>
      <c r="J1522" s="185"/>
      <c r="K1522" s="110" t="s">
        <v>3410</v>
      </c>
      <c r="L1522" s="111"/>
      <c r="M1522" s="173" t="s">
        <v>2544</v>
      </c>
      <c r="N1522" s="276"/>
      <c r="O1522" s="174"/>
      <c r="P1522" s="285">
        <v>5</v>
      </c>
      <c r="Q1522" s="286"/>
      <c r="R1522" s="183">
        <v>14</v>
      </c>
      <c r="S1522" s="185"/>
      <c r="T1522" s="183">
        <v>7</v>
      </c>
      <c r="U1522" s="185"/>
      <c r="V1522" s="173" t="s">
        <v>1454</v>
      </c>
      <c r="W1522" s="174"/>
      <c r="X1522" s="227">
        <v>169</v>
      </c>
      <c r="Y1522" s="228"/>
      <c r="Z1522" s="229"/>
      <c r="AA1522" s="110" t="s">
        <v>722</v>
      </c>
      <c r="AB1522" s="111"/>
      <c r="AC1522" s="239"/>
      <c r="AD1522" s="240"/>
      <c r="AE1522" s="43"/>
      <c r="AF1522" s="292"/>
      <c r="AG1522" s="314"/>
      <c r="AH1522" s="293"/>
      <c r="AI1522" s="31"/>
      <c r="AJ1522" s="48"/>
      <c r="AK1522" s="15"/>
      <c r="AL1522" s="15"/>
    </row>
    <row r="1523" spans="1:38" ht="135" x14ac:dyDescent="0.25">
      <c r="A1523" s="179"/>
      <c r="B1523" s="292"/>
      <c r="C1523" s="314"/>
      <c r="D1523" s="293"/>
      <c r="E1523" s="28" t="s">
        <v>4568</v>
      </c>
      <c r="F1523" s="233" t="s">
        <v>4569</v>
      </c>
      <c r="G1523" s="305"/>
      <c r="H1523" s="234"/>
      <c r="I1523" s="183">
        <v>16</v>
      </c>
      <c r="J1523" s="185"/>
      <c r="K1523" s="114" t="s">
        <v>3426</v>
      </c>
      <c r="L1523" s="116"/>
      <c r="M1523" s="173" t="s">
        <v>4570</v>
      </c>
      <c r="N1523" s="276"/>
      <c r="O1523" s="174"/>
      <c r="P1523" s="285">
        <v>8</v>
      </c>
      <c r="Q1523" s="286"/>
      <c r="R1523" s="183">
        <v>23</v>
      </c>
      <c r="S1523" s="185"/>
      <c r="T1523" s="183">
        <v>10</v>
      </c>
      <c r="U1523" s="185"/>
      <c r="V1523" s="173" t="s">
        <v>4571</v>
      </c>
      <c r="W1523" s="174"/>
      <c r="X1523" s="227">
        <v>229</v>
      </c>
      <c r="Y1523" s="228"/>
      <c r="Z1523" s="229"/>
      <c r="AA1523" s="110" t="s">
        <v>722</v>
      </c>
      <c r="AB1523" s="111"/>
      <c r="AC1523" s="239"/>
      <c r="AD1523" s="240"/>
      <c r="AE1523" s="43"/>
      <c r="AF1523" s="292"/>
      <c r="AG1523" s="314"/>
      <c r="AH1523" s="293"/>
      <c r="AI1523" s="31"/>
      <c r="AJ1523" s="48"/>
      <c r="AK1523" s="15"/>
      <c r="AL1523" s="15"/>
    </row>
    <row r="1524" spans="1:38" ht="135" x14ac:dyDescent="0.25">
      <c r="A1524" s="179"/>
      <c r="B1524" s="292"/>
      <c r="C1524" s="314"/>
      <c r="D1524" s="293"/>
      <c r="E1524" s="28" t="s">
        <v>4572</v>
      </c>
      <c r="F1524" s="235"/>
      <c r="G1524" s="270"/>
      <c r="H1524" s="236"/>
      <c r="I1524" s="183">
        <v>16</v>
      </c>
      <c r="J1524" s="185"/>
      <c r="K1524" s="114" t="s">
        <v>3426</v>
      </c>
      <c r="L1524" s="116"/>
      <c r="M1524" s="173" t="s">
        <v>4570</v>
      </c>
      <c r="N1524" s="276"/>
      <c r="O1524" s="174"/>
      <c r="P1524" s="285">
        <v>8</v>
      </c>
      <c r="Q1524" s="286"/>
      <c r="R1524" s="183">
        <v>23</v>
      </c>
      <c r="S1524" s="185"/>
      <c r="T1524" s="183">
        <v>10</v>
      </c>
      <c r="U1524" s="185"/>
      <c r="V1524" s="173" t="s">
        <v>4571</v>
      </c>
      <c r="W1524" s="174"/>
      <c r="X1524" s="227">
        <v>229</v>
      </c>
      <c r="Y1524" s="228"/>
      <c r="Z1524" s="229"/>
      <c r="AA1524" s="110" t="s">
        <v>722</v>
      </c>
      <c r="AB1524" s="111"/>
      <c r="AC1524" s="239"/>
      <c r="AD1524" s="240"/>
      <c r="AE1524" s="43"/>
      <c r="AF1524" s="292"/>
      <c r="AG1524" s="314"/>
      <c r="AH1524" s="293"/>
      <c r="AI1524" s="31"/>
      <c r="AJ1524" s="48"/>
      <c r="AK1524" s="15"/>
      <c r="AL1524" s="15"/>
    </row>
    <row r="1525" spans="1:38" ht="150" x14ac:dyDescent="0.25">
      <c r="A1525" s="179"/>
      <c r="B1525" s="292"/>
      <c r="C1525" s="314"/>
      <c r="D1525" s="293"/>
      <c r="E1525" s="28" t="s">
        <v>4573</v>
      </c>
      <c r="F1525" s="235"/>
      <c r="G1525" s="270"/>
      <c r="H1525" s="236"/>
      <c r="I1525" s="183">
        <v>16</v>
      </c>
      <c r="J1525" s="185"/>
      <c r="K1525" s="114" t="s">
        <v>3426</v>
      </c>
      <c r="L1525" s="116"/>
      <c r="M1525" s="173" t="s">
        <v>4574</v>
      </c>
      <c r="N1525" s="276"/>
      <c r="O1525" s="174"/>
      <c r="P1525" s="285">
        <v>8</v>
      </c>
      <c r="Q1525" s="286"/>
      <c r="R1525" s="183">
        <v>23</v>
      </c>
      <c r="S1525" s="185"/>
      <c r="T1525" s="183">
        <v>10</v>
      </c>
      <c r="U1525" s="185"/>
      <c r="V1525" s="173" t="s">
        <v>4575</v>
      </c>
      <c r="W1525" s="174"/>
      <c r="X1525" s="227">
        <v>229</v>
      </c>
      <c r="Y1525" s="228"/>
      <c r="Z1525" s="229"/>
      <c r="AA1525" s="110" t="s">
        <v>722</v>
      </c>
      <c r="AB1525" s="111"/>
      <c r="AC1525" s="239"/>
      <c r="AD1525" s="240"/>
      <c r="AE1525" s="43"/>
      <c r="AF1525" s="292"/>
      <c r="AG1525" s="314"/>
      <c r="AH1525" s="293"/>
      <c r="AI1525" s="31"/>
      <c r="AJ1525" s="48"/>
      <c r="AK1525" s="15"/>
      <c r="AL1525" s="15"/>
    </row>
    <row r="1526" spans="1:38" ht="135" x14ac:dyDescent="0.25">
      <c r="A1526" s="179"/>
      <c r="B1526" s="292"/>
      <c r="C1526" s="314"/>
      <c r="D1526" s="293"/>
      <c r="E1526" s="28" t="s">
        <v>4576</v>
      </c>
      <c r="F1526" s="235"/>
      <c r="G1526" s="270"/>
      <c r="H1526" s="236"/>
      <c r="I1526" s="183">
        <v>16</v>
      </c>
      <c r="J1526" s="185"/>
      <c r="K1526" s="114" t="s">
        <v>3426</v>
      </c>
      <c r="L1526" s="116"/>
      <c r="M1526" s="173" t="s">
        <v>4574</v>
      </c>
      <c r="N1526" s="276"/>
      <c r="O1526" s="174"/>
      <c r="P1526" s="285">
        <v>8</v>
      </c>
      <c r="Q1526" s="286"/>
      <c r="R1526" s="183">
        <v>23</v>
      </c>
      <c r="S1526" s="185"/>
      <c r="T1526" s="183">
        <v>10</v>
      </c>
      <c r="U1526" s="185"/>
      <c r="V1526" s="173" t="s">
        <v>4575</v>
      </c>
      <c r="W1526" s="174"/>
      <c r="X1526" s="227">
        <v>229</v>
      </c>
      <c r="Y1526" s="228"/>
      <c r="Z1526" s="229"/>
      <c r="AA1526" s="110" t="s">
        <v>722</v>
      </c>
      <c r="AB1526" s="111"/>
      <c r="AC1526" s="239"/>
      <c r="AD1526" s="240"/>
      <c r="AE1526" s="43"/>
      <c r="AF1526" s="292"/>
      <c r="AG1526" s="314"/>
      <c r="AH1526" s="293"/>
      <c r="AI1526" s="31"/>
      <c r="AJ1526" s="48"/>
      <c r="AK1526" s="15"/>
      <c r="AL1526" s="15"/>
    </row>
    <row r="1527" spans="1:38" ht="135" x14ac:dyDescent="0.25">
      <c r="A1527" s="179"/>
      <c r="B1527" s="292"/>
      <c r="C1527" s="314"/>
      <c r="D1527" s="293"/>
      <c r="E1527" s="28" t="s">
        <v>4577</v>
      </c>
      <c r="F1527" s="235"/>
      <c r="G1527" s="270"/>
      <c r="H1527" s="236"/>
      <c r="I1527" s="183">
        <v>16</v>
      </c>
      <c r="J1527" s="185"/>
      <c r="K1527" s="114" t="s">
        <v>3426</v>
      </c>
      <c r="L1527" s="116"/>
      <c r="M1527" s="173" t="s">
        <v>4578</v>
      </c>
      <c r="N1527" s="276"/>
      <c r="O1527" s="174"/>
      <c r="P1527" s="285">
        <v>8</v>
      </c>
      <c r="Q1527" s="286"/>
      <c r="R1527" s="183">
        <v>23</v>
      </c>
      <c r="S1527" s="185"/>
      <c r="T1527" s="183">
        <v>10</v>
      </c>
      <c r="U1527" s="185"/>
      <c r="V1527" s="173" t="s">
        <v>4579</v>
      </c>
      <c r="W1527" s="174"/>
      <c r="X1527" s="227">
        <v>239</v>
      </c>
      <c r="Y1527" s="228"/>
      <c r="Z1527" s="229"/>
      <c r="AA1527" s="110" t="s">
        <v>722</v>
      </c>
      <c r="AB1527" s="111"/>
      <c r="AC1527" s="239"/>
      <c r="AD1527" s="240"/>
      <c r="AE1527" s="43"/>
      <c r="AF1527" s="292"/>
      <c r="AG1527" s="314"/>
      <c r="AH1527" s="293"/>
      <c r="AI1527" s="31"/>
      <c r="AJ1527" s="48"/>
      <c r="AK1527" s="15"/>
      <c r="AL1527" s="15"/>
    </row>
    <row r="1528" spans="1:38" ht="135" x14ac:dyDescent="0.25">
      <c r="A1528" s="230"/>
      <c r="B1528" s="290"/>
      <c r="C1528" s="345"/>
      <c r="D1528" s="291"/>
      <c r="E1528" s="28" t="s">
        <v>4580</v>
      </c>
      <c r="F1528" s="237"/>
      <c r="G1528" s="306"/>
      <c r="H1528" s="238"/>
      <c r="I1528" s="183">
        <v>16</v>
      </c>
      <c r="J1528" s="185"/>
      <c r="K1528" s="114" t="s">
        <v>3426</v>
      </c>
      <c r="L1528" s="116"/>
      <c r="M1528" s="173" t="s">
        <v>4578</v>
      </c>
      <c r="N1528" s="276"/>
      <c r="O1528" s="174"/>
      <c r="P1528" s="285">
        <v>8</v>
      </c>
      <c r="Q1528" s="286"/>
      <c r="R1528" s="88">
        <v>23</v>
      </c>
      <c r="S1528" s="89"/>
      <c r="T1528" s="183">
        <v>10</v>
      </c>
      <c r="U1528" s="185"/>
      <c r="V1528" s="173" t="s">
        <v>4579</v>
      </c>
      <c r="W1528" s="174"/>
      <c r="X1528" s="227">
        <v>239</v>
      </c>
      <c r="Y1528" s="228"/>
      <c r="Z1528" s="229"/>
      <c r="AA1528" s="110" t="s">
        <v>722</v>
      </c>
      <c r="AB1528" s="111"/>
      <c r="AC1528" s="225"/>
      <c r="AD1528" s="226"/>
      <c r="AE1528" s="43"/>
      <c r="AF1528" s="290"/>
      <c r="AG1528" s="345"/>
      <c r="AH1528" s="291"/>
      <c r="AI1528" s="31"/>
      <c r="AJ1528" s="48"/>
      <c r="AK1528" s="15"/>
      <c r="AL1528" s="15"/>
    </row>
    <row r="1529" spans="1:38" ht="105" x14ac:dyDescent="0.25">
      <c r="A1529" s="178"/>
      <c r="B1529" s="303" t="s">
        <v>4581</v>
      </c>
      <c r="C1529" s="344"/>
      <c r="D1529" s="304"/>
      <c r="E1529" s="53" t="s">
        <v>4583</v>
      </c>
      <c r="F1529" s="346" t="s">
        <v>3039</v>
      </c>
      <c r="G1529" s="347"/>
      <c r="H1529" s="348"/>
      <c r="I1529" s="337" t="s">
        <v>674</v>
      </c>
      <c r="J1529" s="338"/>
      <c r="K1529" s="460"/>
      <c r="L1529" s="461"/>
      <c r="M1529" s="511" t="s">
        <v>2581</v>
      </c>
      <c r="N1529" s="512"/>
      <c r="O1529" s="513"/>
      <c r="P1529" s="332" t="s">
        <v>3127</v>
      </c>
      <c r="Q1529" s="333"/>
      <c r="R1529" s="126" t="s">
        <v>1222</v>
      </c>
      <c r="S1529" s="127"/>
      <c r="T1529" s="351" t="s">
        <v>674</v>
      </c>
      <c r="U1529" s="352"/>
      <c r="V1529" s="332" t="s">
        <v>3128</v>
      </c>
      <c r="W1529" s="333"/>
      <c r="X1529" s="334">
        <v>35</v>
      </c>
      <c r="Y1529" s="335"/>
      <c r="Z1529" s="336"/>
      <c r="AA1529" s="337" t="s">
        <v>688</v>
      </c>
      <c r="AB1529" s="338"/>
      <c r="AC1529" s="112" t="s">
        <v>3194</v>
      </c>
      <c r="AD1529" s="113"/>
      <c r="AE1529" s="24" t="s">
        <v>4586</v>
      </c>
      <c r="AF1529" s="164"/>
      <c r="AG1529" s="165"/>
      <c r="AH1529" s="166"/>
      <c r="AI1529" s="164"/>
      <c r="AJ1529" s="48"/>
      <c r="AK1529" s="15"/>
      <c r="AL1529" s="15"/>
    </row>
    <row r="1530" spans="1:38" ht="75" x14ac:dyDescent="0.25">
      <c r="A1530" s="179"/>
      <c r="B1530" s="292" t="s">
        <v>4582</v>
      </c>
      <c r="C1530" s="314"/>
      <c r="D1530" s="293"/>
      <c r="E1530" s="19" t="s">
        <v>4588</v>
      </c>
      <c r="F1530" s="346" t="s">
        <v>4257</v>
      </c>
      <c r="G1530" s="347"/>
      <c r="H1530" s="348"/>
      <c r="I1530" s="349">
        <v>3</v>
      </c>
      <c r="J1530" s="350"/>
      <c r="K1530" s="346" t="s">
        <v>3828</v>
      </c>
      <c r="L1530" s="348"/>
      <c r="M1530" s="332" t="s">
        <v>4589</v>
      </c>
      <c r="N1530" s="374"/>
      <c r="O1530" s="333"/>
      <c r="P1530" s="332" t="s">
        <v>4590</v>
      </c>
      <c r="Q1530" s="333"/>
      <c r="R1530" s="117" t="s">
        <v>1127</v>
      </c>
      <c r="S1530" s="118"/>
      <c r="T1530" s="349">
        <v>3</v>
      </c>
      <c r="U1530" s="350"/>
      <c r="V1530" s="332" t="s">
        <v>4088</v>
      </c>
      <c r="W1530" s="333"/>
      <c r="X1530" s="334">
        <v>38</v>
      </c>
      <c r="Y1530" s="335"/>
      <c r="Z1530" s="336"/>
      <c r="AA1530" s="337" t="s">
        <v>1159</v>
      </c>
      <c r="AB1530" s="338"/>
      <c r="AC1530" s="155" t="s">
        <v>4584</v>
      </c>
      <c r="AD1530" s="157"/>
      <c r="AE1530" s="31" t="s">
        <v>1356</v>
      </c>
      <c r="AF1530" s="167"/>
      <c r="AG1530" s="168"/>
      <c r="AH1530" s="169"/>
      <c r="AI1530" s="167"/>
      <c r="AJ1530" s="48"/>
      <c r="AK1530" s="15"/>
      <c r="AL1530" s="15"/>
    </row>
    <row r="1531" spans="1:38" ht="105" x14ac:dyDescent="0.25">
      <c r="A1531" s="179"/>
      <c r="B1531" s="292"/>
      <c r="C1531" s="314"/>
      <c r="D1531" s="293"/>
      <c r="E1531" s="19" t="s">
        <v>4591</v>
      </c>
      <c r="F1531" s="346" t="s">
        <v>4592</v>
      </c>
      <c r="G1531" s="347"/>
      <c r="H1531" s="348"/>
      <c r="I1531" s="337" t="s">
        <v>1394</v>
      </c>
      <c r="J1531" s="338"/>
      <c r="K1531" s="346" t="s">
        <v>3828</v>
      </c>
      <c r="L1531" s="348"/>
      <c r="M1531" s="353" t="s">
        <v>4593</v>
      </c>
      <c r="N1531" s="354"/>
      <c r="O1531" s="355"/>
      <c r="P1531" s="332" t="s">
        <v>4594</v>
      </c>
      <c r="Q1531" s="333"/>
      <c r="R1531" s="88" t="s">
        <v>1342</v>
      </c>
      <c r="S1531" s="89"/>
      <c r="T1531" s="349">
        <v>3</v>
      </c>
      <c r="U1531" s="350"/>
      <c r="V1531" s="332" t="s">
        <v>3742</v>
      </c>
      <c r="W1531" s="333"/>
      <c r="X1531" s="334">
        <v>29</v>
      </c>
      <c r="Y1531" s="335"/>
      <c r="Z1531" s="336"/>
      <c r="AA1531" s="337" t="s">
        <v>4595</v>
      </c>
      <c r="AB1531" s="338"/>
      <c r="AC1531" s="155" t="s">
        <v>2211</v>
      </c>
      <c r="AD1531" s="157"/>
      <c r="AE1531" s="31" t="s">
        <v>4587</v>
      </c>
      <c r="AF1531" s="167"/>
      <c r="AG1531" s="168"/>
      <c r="AH1531" s="169"/>
      <c r="AI1531" s="167"/>
      <c r="AJ1531" s="48"/>
      <c r="AK1531" s="15"/>
      <c r="AL1531" s="15"/>
    </row>
    <row r="1532" spans="1:38" ht="75" x14ac:dyDescent="0.25">
      <c r="A1532" s="230"/>
      <c r="B1532" s="290"/>
      <c r="C1532" s="345"/>
      <c r="D1532" s="291"/>
      <c r="E1532" s="19" t="s">
        <v>4596</v>
      </c>
      <c r="F1532" s="346" t="s">
        <v>4597</v>
      </c>
      <c r="G1532" s="347"/>
      <c r="H1532" s="348"/>
      <c r="I1532" s="337" t="s">
        <v>4598</v>
      </c>
      <c r="J1532" s="338"/>
      <c r="K1532" s="346" t="s">
        <v>3828</v>
      </c>
      <c r="L1532" s="348"/>
      <c r="M1532" s="356">
        <v>20</v>
      </c>
      <c r="N1532" s="510"/>
      <c r="O1532" s="357"/>
      <c r="P1532" s="332" t="s">
        <v>4594</v>
      </c>
      <c r="Q1532" s="333"/>
      <c r="R1532" s="117" t="s">
        <v>1342</v>
      </c>
      <c r="S1532" s="118"/>
      <c r="T1532" s="349">
        <v>3</v>
      </c>
      <c r="U1532" s="350"/>
      <c r="V1532" s="332" t="s">
        <v>3458</v>
      </c>
      <c r="W1532" s="333"/>
      <c r="X1532" s="334">
        <v>31</v>
      </c>
      <c r="Y1532" s="335"/>
      <c r="Z1532" s="336"/>
      <c r="AA1532" s="337" t="s">
        <v>1442</v>
      </c>
      <c r="AB1532" s="338"/>
      <c r="AC1532" s="160" t="s">
        <v>4585</v>
      </c>
      <c r="AD1532" s="161"/>
      <c r="AE1532" s="31"/>
      <c r="AF1532" s="214"/>
      <c r="AG1532" s="215"/>
      <c r="AH1532" s="216"/>
      <c r="AI1532" s="167"/>
      <c r="AJ1532" s="48"/>
      <c r="AK1532" s="15"/>
      <c r="AL1532" s="15"/>
    </row>
    <row r="1533" spans="1:38" ht="60" x14ac:dyDescent="0.25">
      <c r="A1533" s="178"/>
      <c r="B1533" s="303" t="s">
        <v>4599</v>
      </c>
      <c r="C1533" s="344"/>
      <c r="D1533" s="304"/>
      <c r="E1533" s="28" t="s">
        <v>4600</v>
      </c>
      <c r="F1533" s="192" t="s">
        <v>4601</v>
      </c>
      <c r="G1533" s="196"/>
      <c r="H1533" s="193"/>
      <c r="I1533" s="143" t="s">
        <v>4602</v>
      </c>
      <c r="J1533" s="145"/>
      <c r="K1533" s="110" t="s">
        <v>4603</v>
      </c>
      <c r="L1533" s="111"/>
      <c r="M1533" s="183">
        <v>5</v>
      </c>
      <c r="N1533" s="184"/>
      <c r="O1533" s="185"/>
      <c r="P1533" s="114" t="s">
        <v>4604</v>
      </c>
      <c r="Q1533" s="116"/>
      <c r="R1533" s="88" t="s">
        <v>758</v>
      </c>
      <c r="S1533" s="89"/>
      <c r="T1533" s="114" t="s">
        <v>922</v>
      </c>
      <c r="U1533" s="116"/>
      <c r="V1533" s="180" t="s">
        <v>3997</v>
      </c>
      <c r="W1533" s="181"/>
      <c r="X1533" s="175" t="s">
        <v>2092</v>
      </c>
      <c r="Y1533" s="176"/>
      <c r="Z1533" s="177"/>
      <c r="AA1533" s="110" t="s">
        <v>3150</v>
      </c>
      <c r="AB1533" s="111"/>
      <c r="AC1533" s="303" t="s">
        <v>3194</v>
      </c>
      <c r="AD1533" s="304"/>
      <c r="AE1533" s="35" t="s">
        <v>4607</v>
      </c>
      <c r="AF1533" s="164"/>
      <c r="AG1533" s="165"/>
      <c r="AH1533" s="166"/>
      <c r="AI1533" s="167"/>
      <c r="AJ1533" s="48"/>
      <c r="AK1533" s="15"/>
      <c r="AL1533" s="15"/>
    </row>
    <row r="1534" spans="1:38" ht="60" x14ac:dyDescent="0.25">
      <c r="A1534" s="179"/>
      <c r="B1534" s="292"/>
      <c r="C1534" s="314"/>
      <c r="D1534" s="293"/>
      <c r="E1534" s="28" t="s">
        <v>4609</v>
      </c>
      <c r="F1534" s="272"/>
      <c r="G1534" s="282"/>
      <c r="H1534" s="273"/>
      <c r="I1534" s="104" t="s">
        <v>4602</v>
      </c>
      <c r="J1534" s="105"/>
      <c r="K1534" s="110" t="s">
        <v>4603</v>
      </c>
      <c r="L1534" s="111"/>
      <c r="M1534" s="183">
        <v>4</v>
      </c>
      <c r="N1534" s="184"/>
      <c r="O1534" s="185"/>
      <c r="P1534" s="114" t="s">
        <v>4604</v>
      </c>
      <c r="Q1534" s="116"/>
      <c r="R1534" s="126" t="s">
        <v>758</v>
      </c>
      <c r="S1534" s="127"/>
      <c r="T1534" s="114" t="s">
        <v>922</v>
      </c>
      <c r="U1534" s="116"/>
      <c r="V1534" s="180" t="s">
        <v>4610</v>
      </c>
      <c r="W1534" s="181"/>
      <c r="X1534" s="488" t="s">
        <v>4298</v>
      </c>
      <c r="Y1534" s="489"/>
      <c r="Z1534" s="490"/>
      <c r="AA1534" s="110" t="s">
        <v>4070</v>
      </c>
      <c r="AB1534" s="111"/>
      <c r="AC1534" s="292" t="s">
        <v>4605</v>
      </c>
      <c r="AD1534" s="293"/>
      <c r="AE1534" s="36" t="s">
        <v>848</v>
      </c>
      <c r="AF1534" s="167"/>
      <c r="AG1534" s="168"/>
      <c r="AH1534" s="169"/>
      <c r="AI1534" s="167"/>
      <c r="AJ1534" s="48"/>
      <c r="AK1534" s="15"/>
      <c r="AL1534" s="15"/>
    </row>
    <row r="1535" spans="1:38" ht="60" x14ac:dyDescent="0.25">
      <c r="A1535" s="179"/>
      <c r="B1535" s="292"/>
      <c r="C1535" s="314"/>
      <c r="D1535" s="293"/>
      <c r="E1535" s="28" t="s">
        <v>4611</v>
      </c>
      <c r="F1535" s="194"/>
      <c r="G1535" s="197"/>
      <c r="H1535" s="195"/>
      <c r="I1535" s="146" t="s">
        <v>4602</v>
      </c>
      <c r="J1535" s="148"/>
      <c r="K1535" s="110" t="s">
        <v>4603</v>
      </c>
      <c r="L1535" s="111"/>
      <c r="M1535" s="183">
        <v>4</v>
      </c>
      <c r="N1535" s="184"/>
      <c r="O1535" s="185"/>
      <c r="P1535" s="114" t="s">
        <v>4604</v>
      </c>
      <c r="Q1535" s="116"/>
      <c r="R1535" s="117" t="s">
        <v>758</v>
      </c>
      <c r="S1535" s="118"/>
      <c r="T1535" s="114" t="s">
        <v>922</v>
      </c>
      <c r="U1535" s="116"/>
      <c r="V1535" s="180" t="s">
        <v>4610</v>
      </c>
      <c r="W1535" s="181"/>
      <c r="X1535" s="488" t="s">
        <v>4298</v>
      </c>
      <c r="Y1535" s="489"/>
      <c r="Z1535" s="490"/>
      <c r="AA1535" s="110" t="s">
        <v>4070</v>
      </c>
      <c r="AB1535" s="111"/>
      <c r="AC1535" s="292" t="s">
        <v>4606</v>
      </c>
      <c r="AD1535" s="293"/>
      <c r="AE1535" s="36" t="s">
        <v>1356</v>
      </c>
      <c r="AF1535" s="167"/>
      <c r="AG1535" s="168"/>
      <c r="AH1535" s="169"/>
      <c r="AI1535" s="167"/>
      <c r="AJ1535" s="48"/>
      <c r="AK1535" s="15"/>
      <c r="AL1535" s="15"/>
    </row>
    <row r="1536" spans="1:38" ht="60" x14ac:dyDescent="0.25">
      <c r="A1536" s="179"/>
      <c r="B1536" s="292"/>
      <c r="C1536" s="314"/>
      <c r="D1536" s="293"/>
      <c r="E1536" s="28" t="s">
        <v>4612</v>
      </c>
      <c r="F1536" s="192" t="s">
        <v>4613</v>
      </c>
      <c r="G1536" s="196"/>
      <c r="H1536" s="193"/>
      <c r="I1536" s="143" t="s">
        <v>4614</v>
      </c>
      <c r="J1536" s="145"/>
      <c r="K1536" s="143" t="s">
        <v>4615</v>
      </c>
      <c r="L1536" s="145"/>
      <c r="M1536" s="183">
        <v>6</v>
      </c>
      <c r="N1536" s="184"/>
      <c r="O1536" s="185"/>
      <c r="P1536" s="114" t="s">
        <v>4616</v>
      </c>
      <c r="Q1536" s="116"/>
      <c r="R1536" s="112">
        <v>4</v>
      </c>
      <c r="S1536" s="113"/>
      <c r="T1536" s="114" t="s">
        <v>922</v>
      </c>
      <c r="U1536" s="116"/>
      <c r="V1536" s="180" t="s">
        <v>3733</v>
      </c>
      <c r="W1536" s="181"/>
      <c r="X1536" s="175" t="s">
        <v>4124</v>
      </c>
      <c r="Y1536" s="176"/>
      <c r="Z1536" s="177"/>
      <c r="AA1536" s="110" t="s">
        <v>3997</v>
      </c>
      <c r="AB1536" s="111"/>
      <c r="AC1536" s="292"/>
      <c r="AD1536" s="293"/>
      <c r="AE1536" s="36" t="s">
        <v>4608</v>
      </c>
      <c r="AF1536" s="167"/>
      <c r="AG1536" s="168"/>
      <c r="AH1536" s="169"/>
      <c r="AI1536" s="167"/>
      <c r="AJ1536" s="48"/>
      <c r="AK1536" s="15"/>
      <c r="AL1536" s="15"/>
    </row>
    <row r="1537" spans="1:38" ht="60" x14ac:dyDescent="0.25">
      <c r="A1537" s="179"/>
      <c r="B1537" s="292"/>
      <c r="C1537" s="314"/>
      <c r="D1537" s="293"/>
      <c r="E1537" s="28" t="s">
        <v>4617</v>
      </c>
      <c r="F1537" s="272"/>
      <c r="G1537" s="282"/>
      <c r="H1537" s="273"/>
      <c r="I1537" s="104" t="s">
        <v>4614</v>
      </c>
      <c r="J1537" s="105"/>
      <c r="K1537" s="104" t="s">
        <v>4615</v>
      </c>
      <c r="L1537" s="105"/>
      <c r="M1537" s="183">
        <v>5</v>
      </c>
      <c r="N1537" s="184"/>
      <c r="O1537" s="185"/>
      <c r="P1537" s="114" t="s">
        <v>4616</v>
      </c>
      <c r="Q1537" s="116"/>
      <c r="R1537" s="155">
        <v>4</v>
      </c>
      <c r="S1537" s="157"/>
      <c r="T1537" s="114" t="s">
        <v>922</v>
      </c>
      <c r="U1537" s="116"/>
      <c r="V1537" s="180" t="s">
        <v>3489</v>
      </c>
      <c r="W1537" s="181"/>
      <c r="X1537" s="175" t="s">
        <v>1462</v>
      </c>
      <c r="Y1537" s="176"/>
      <c r="Z1537" s="177"/>
      <c r="AA1537" s="110" t="s">
        <v>4618</v>
      </c>
      <c r="AB1537" s="111"/>
      <c r="AC1537" s="292"/>
      <c r="AD1537" s="293"/>
      <c r="AE1537" s="36"/>
      <c r="AF1537" s="167"/>
      <c r="AG1537" s="168"/>
      <c r="AH1537" s="169"/>
      <c r="AI1537" s="167"/>
      <c r="AJ1537" s="48"/>
      <c r="AK1537" s="15"/>
      <c r="AL1537" s="15"/>
    </row>
    <row r="1538" spans="1:38" ht="60" x14ac:dyDescent="0.25">
      <c r="A1538" s="179"/>
      <c r="B1538" s="292"/>
      <c r="C1538" s="314"/>
      <c r="D1538" s="293"/>
      <c r="E1538" s="28" t="s">
        <v>4619</v>
      </c>
      <c r="F1538" s="194"/>
      <c r="G1538" s="197"/>
      <c r="H1538" s="195"/>
      <c r="I1538" s="146" t="s">
        <v>4614</v>
      </c>
      <c r="J1538" s="148"/>
      <c r="K1538" s="146" t="s">
        <v>4615</v>
      </c>
      <c r="L1538" s="148"/>
      <c r="M1538" s="183">
        <v>5</v>
      </c>
      <c r="N1538" s="184"/>
      <c r="O1538" s="185"/>
      <c r="P1538" s="114" t="s">
        <v>4616</v>
      </c>
      <c r="Q1538" s="116"/>
      <c r="R1538" s="155">
        <v>4</v>
      </c>
      <c r="S1538" s="157"/>
      <c r="T1538" s="114" t="s">
        <v>922</v>
      </c>
      <c r="U1538" s="116"/>
      <c r="V1538" s="180" t="s">
        <v>3489</v>
      </c>
      <c r="W1538" s="181"/>
      <c r="X1538" s="175" t="s">
        <v>1462</v>
      </c>
      <c r="Y1538" s="176"/>
      <c r="Z1538" s="177"/>
      <c r="AA1538" s="110" t="s">
        <v>4618</v>
      </c>
      <c r="AB1538" s="111"/>
      <c r="AC1538" s="292"/>
      <c r="AD1538" s="293"/>
      <c r="AE1538" s="36"/>
      <c r="AF1538" s="167"/>
      <c r="AG1538" s="168"/>
      <c r="AH1538" s="169"/>
      <c r="AI1538" s="167"/>
      <c r="AJ1538" s="48"/>
      <c r="AK1538" s="15"/>
      <c r="AL1538" s="15"/>
    </row>
    <row r="1539" spans="1:38" ht="60" x14ac:dyDescent="0.25">
      <c r="A1539" s="179"/>
      <c r="B1539" s="292"/>
      <c r="C1539" s="314"/>
      <c r="D1539" s="293"/>
      <c r="E1539" s="28" t="s">
        <v>4620</v>
      </c>
      <c r="F1539" s="171" t="s">
        <v>4621</v>
      </c>
      <c r="G1539" s="407"/>
      <c r="H1539" s="172"/>
      <c r="I1539" s="143" t="s">
        <v>3827</v>
      </c>
      <c r="J1539" s="145"/>
      <c r="K1539" s="143" t="s">
        <v>4622</v>
      </c>
      <c r="L1539" s="145"/>
      <c r="M1539" s="110" t="s">
        <v>1717</v>
      </c>
      <c r="N1539" s="138"/>
      <c r="O1539" s="111"/>
      <c r="P1539" s="173" t="s">
        <v>4616</v>
      </c>
      <c r="Q1539" s="174"/>
      <c r="R1539" s="155">
        <v>4</v>
      </c>
      <c r="S1539" s="157"/>
      <c r="T1539" s="114" t="s">
        <v>922</v>
      </c>
      <c r="U1539" s="116"/>
      <c r="V1539" s="180" t="s">
        <v>4310</v>
      </c>
      <c r="W1539" s="181"/>
      <c r="X1539" s="175" t="s">
        <v>1477</v>
      </c>
      <c r="Y1539" s="176"/>
      <c r="Z1539" s="177"/>
      <c r="AA1539" s="110" t="s">
        <v>4102</v>
      </c>
      <c r="AB1539" s="111"/>
      <c r="AC1539" s="292"/>
      <c r="AD1539" s="293"/>
      <c r="AE1539" s="36"/>
      <c r="AF1539" s="167"/>
      <c r="AG1539" s="168"/>
      <c r="AH1539" s="169"/>
      <c r="AI1539" s="167"/>
      <c r="AJ1539" s="48"/>
      <c r="AK1539" s="15"/>
      <c r="AL1539" s="15"/>
    </row>
    <row r="1540" spans="1:38" ht="60" x14ac:dyDescent="0.25">
      <c r="A1540" s="179"/>
      <c r="B1540" s="292"/>
      <c r="C1540" s="314"/>
      <c r="D1540" s="293"/>
      <c r="E1540" s="28" t="s">
        <v>4623</v>
      </c>
      <c r="F1540" s="162"/>
      <c r="G1540" s="170"/>
      <c r="H1540" s="163"/>
      <c r="I1540" s="104" t="s">
        <v>3827</v>
      </c>
      <c r="J1540" s="105"/>
      <c r="K1540" s="104" t="s">
        <v>4622</v>
      </c>
      <c r="L1540" s="105"/>
      <c r="M1540" s="183">
        <v>6</v>
      </c>
      <c r="N1540" s="184"/>
      <c r="O1540" s="185"/>
      <c r="P1540" s="173" t="s">
        <v>4616</v>
      </c>
      <c r="Q1540" s="174"/>
      <c r="R1540" s="155">
        <v>4</v>
      </c>
      <c r="S1540" s="157"/>
      <c r="T1540" s="114" t="s">
        <v>922</v>
      </c>
      <c r="U1540" s="116"/>
      <c r="V1540" s="180" t="s">
        <v>3733</v>
      </c>
      <c r="W1540" s="181"/>
      <c r="X1540" s="175" t="s">
        <v>4124</v>
      </c>
      <c r="Y1540" s="176"/>
      <c r="Z1540" s="177"/>
      <c r="AA1540" s="110" t="s">
        <v>3997</v>
      </c>
      <c r="AB1540" s="111"/>
      <c r="AC1540" s="292"/>
      <c r="AD1540" s="293"/>
      <c r="AE1540" s="36"/>
      <c r="AF1540" s="167"/>
      <c r="AG1540" s="168"/>
      <c r="AH1540" s="169"/>
      <c r="AI1540" s="167"/>
      <c r="AJ1540" s="48"/>
      <c r="AK1540" s="15"/>
      <c r="AL1540" s="15"/>
    </row>
    <row r="1541" spans="1:38" ht="60" x14ac:dyDescent="0.25">
      <c r="A1541" s="179"/>
      <c r="B1541" s="292"/>
      <c r="C1541" s="314"/>
      <c r="D1541" s="293"/>
      <c r="E1541" s="28" t="s">
        <v>4624</v>
      </c>
      <c r="F1541" s="212"/>
      <c r="G1541" s="408"/>
      <c r="H1541" s="213"/>
      <c r="I1541" s="146" t="s">
        <v>3827</v>
      </c>
      <c r="J1541" s="148"/>
      <c r="K1541" s="146" t="s">
        <v>4622</v>
      </c>
      <c r="L1541" s="148"/>
      <c r="M1541" s="183">
        <v>6</v>
      </c>
      <c r="N1541" s="184"/>
      <c r="O1541" s="185"/>
      <c r="P1541" s="173" t="s">
        <v>4616</v>
      </c>
      <c r="Q1541" s="174"/>
      <c r="R1541" s="160">
        <v>4</v>
      </c>
      <c r="S1541" s="161"/>
      <c r="T1541" s="114" t="s">
        <v>922</v>
      </c>
      <c r="U1541" s="116"/>
      <c r="V1541" s="180" t="s">
        <v>3733</v>
      </c>
      <c r="W1541" s="181"/>
      <c r="X1541" s="175" t="s">
        <v>4124</v>
      </c>
      <c r="Y1541" s="176"/>
      <c r="Z1541" s="177"/>
      <c r="AA1541" s="110" t="s">
        <v>3997</v>
      </c>
      <c r="AB1541" s="111"/>
      <c r="AC1541" s="292"/>
      <c r="AD1541" s="293"/>
      <c r="AE1541" s="36"/>
      <c r="AF1541" s="167"/>
      <c r="AG1541" s="168"/>
      <c r="AH1541" s="169"/>
      <c r="AI1541" s="167"/>
      <c r="AJ1541" s="48"/>
      <c r="AK1541" s="15"/>
      <c r="AL1541" s="15"/>
    </row>
    <row r="1542" spans="1:38" ht="60" x14ac:dyDescent="0.25">
      <c r="A1542" s="179"/>
      <c r="B1542" s="292"/>
      <c r="C1542" s="314"/>
      <c r="D1542" s="293"/>
      <c r="E1542" s="28" t="s">
        <v>4625</v>
      </c>
      <c r="F1542" s="192" t="s">
        <v>4626</v>
      </c>
      <c r="G1542" s="196"/>
      <c r="H1542" s="193"/>
      <c r="I1542" s="143" t="s">
        <v>3827</v>
      </c>
      <c r="J1542" s="145"/>
      <c r="K1542" s="143" t="s">
        <v>4627</v>
      </c>
      <c r="L1542" s="145"/>
      <c r="M1542" s="183">
        <v>10</v>
      </c>
      <c r="N1542" s="184"/>
      <c r="O1542" s="185"/>
      <c r="P1542" s="114" t="s">
        <v>2684</v>
      </c>
      <c r="Q1542" s="116"/>
      <c r="R1542" s="112">
        <v>5</v>
      </c>
      <c r="S1542" s="113"/>
      <c r="T1542" s="114" t="s">
        <v>922</v>
      </c>
      <c r="U1542" s="116"/>
      <c r="V1542" s="114" t="s">
        <v>1928</v>
      </c>
      <c r="W1542" s="116"/>
      <c r="X1542" s="175" t="s">
        <v>2073</v>
      </c>
      <c r="Y1542" s="176"/>
      <c r="Z1542" s="177"/>
      <c r="AA1542" s="110" t="s">
        <v>929</v>
      </c>
      <c r="AB1542" s="111"/>
      <c r="AC1542" s="292"/>
      <c r="AD1542" s="293"/>
      <c r="AE1542" s="36"/>
      <c r="AF1542" s="167"/>
      <c r="AG1542" s="168"/>
      <c r="AH1542" s="169"/>
      <c r="AI1542" s="167"/>
      <c r="AJ1542" s="48"/>
      <c r="AK1542" s="15"/>
      <c r="AL1542" s="15"/>
    </row>
    <row r="1543" spans="1:38" ht="60" x14ac:dyDescent="0.25">
      <c r="A1543" s="179"/>
      <c r="B1543" s="292"/>
      <c r="C1543" s="314"/>
      <c r="D1543" s="293"/>
      <c r="E1543" s="28" t="s">
        <v>4628</v>
      </c>
      <c r="F1543" s="272"/>
      <c r="G1543" s="282"/>
      <c r="H1543" s="273"/>
      <c r="I1543" s="104" t="s">
        <v>3827</v>
      </c>
      <c r="J1543" s="105"/>
      <c r="K1543" s="104" t="s">
        <v>4627</v>
      </c>
      <c r="L1543" s="105"/>
      <c r="M1543" s="110" t="s">
        <v>729</v>
      </c>
      <c r="N1543" s="138"/>
      <c r="O1543" s="111"/>
      <c r="P1543" s="114" t="s">
        <v>2684</v>
      </c>
      <c r="Q1543" s="116"/>
      <c r="R1543" s="155">
        <v>5</v>
      </c>
      <c r="S1543" s="157"/>
      <c r="T1543" s="114" t="s">
        <v>922</v>
      </c>
      <c r="U1543" s="116"/>
      <c r="V1543" s="114" t="s">
        <v>4629</v>
      </c>
      <c r="W1543" s="116"/>
      <c r="X1543" s="175" t="s">
        <v>4094</v>
      </c>
      <c r="Y1543" s="176"/>
      <c r="Z1543" s="177"/>
      <c r="AA1543" s="110" t="s">
        <v>2970</v>
      </c>
      <c r="AB1543" s="111"/>
      <c r="AC1543" s="292"/>
      <c r="AD1543" s="293"/>
      <c r="AE1543" s="36"/>
      <c r="AF1543" s="167"/>
      <c r="AG1543" s="168"/>
      <c r="AH1543" s="169"/>
      <c r="AI1543" s="167"/>
      <c r="AJ1543" s="48"/>
      <c r="AK1543" s="15"/>
      <c r="AL1543" s="15"/>
    </row>
    <row r="1544" spans="1:38" ht="60" x14ac:dyDescent="0.25">
      <c r="A1544" s="179"/>
      <c r="B1544" s="292"/>
      <c r="C1544" s="314"/>
      <c r="D1544" s="293"/>
      <c r="E1544" s="28" t="s">
        <v>4630</v>
      </c>
      <c r="F1544" s="194"/>
      <c r="G1544" s="197"/>
      <c r="H1544" s="195"/>
      <c r="I1544" s="146" t="s">
        <v>3827</v>
      </c>
      <c r="J1544" s="148"/>
      <c r="K1544" s="146" t="s">
        <v>4627</v>
      </c>
      <c r="L1544" s="148"/>
      <c r="M1544" s="110" t="s">
        <v>729</v>
      </c>
      <c r="N1544" s="138"/>
      <c r="O1544" s="111"/>
      <c r="P1544" s="114" t="s">
        <v>2684</v>
      </c>
      <c r="Q1544" s="116"/>
      <c r="R1544" s="155">
        <v>5</v>
      </c>
      <c r="S1544" s="157"/>
      <c r="T1544" s="114" t="s">
        <v>922</v>
      </c>
      <c r="U1544" s="116"/>
      <c r="V1544" s="114" t="s">
        <v>4629</v>
      </c>
      <c r="W1544" s="116"/>
      <c r="X1544" s="175" t="s">
        <v>4094</v>
      </c>
      <c r="Y1544" s="176"/>
      <c r="Z1544" s="177"/>
      <c r="AA1544" s="110" t="s">
        <v>2970</v>
      </c>
      <c r="AB1544" s="111"/>
      <c r="AC1544" s="292"/>
      <c r="AD1544" s="293"/>
      <c r="AE1544" s="36"/>
      <c r="AF1544" s="167"/>
      <c r="AG1544" s="168"/>
      <c r="AH1544" s="169"/>
      <c r="AI1544" s="167"/>
      <c r="AJ1544" s="48"/>
      <c r="AK1544" s="15"/>
      <c r="AL1544" s="15"/>
    </row>
    <row r="1545" spans="1:38" ht="60" x14ac:dyDescent="0.25">
      <c r="A1545" s="179"/>
      <c r="B1545" s="292"/>
      <c r="C1545" s="314"/>
      <c r="D1545" s="293"/>
      <c r="E1545" s="28" t="s">
        <v>4631</v>
      </c>
      <c r="F1545" s="192" t="s">
        <v>4632</v>
      </c>
      <c r="G1545" s="196"/>
      <c r="H1545" s="193"/>
      <c r="I1545" s="143" t="s">
        <v>3827</v>
      </c>
      <c r="J1545" s="145"/>
      <c r="K1545" s="143" t="s">
        <v>4551</v>
      </c>
      <c r="L1545" s="145"/>
      <c r="M1545" s="183">
        <v>9</v>
      </c>
      <c r="N1545" s="184"/>
      <c r="O1545" s="185"/>
      <c r="P1545" s="114" t="s">
        <v>4633</v>
      </c>
      <c r="Q1545" s="116"/>
      <c r="R1545" s="155">
        <v>5</v>
      </c>
      <c r="S1545" s="157"/>
      <c r="T1545" s="114" t="s">
        <v>922</v>
      </c>
      <c r="U1545" s="116"/>
      <c r="V1545" s="114" t="s">
        <v>4102</v>
      </c>
      <c r="W1545" s="116"/>
      <c r="X1545" s="175" t="s">
        <v>3566</v>
      </c>
      <c r="Y1545" s="176"/>
      <c r="Z1545" s="177"/>
      <c r="AA1545" s="110" t="s">
        <v>1045</v>
      </c>
      <c r="AB1545" s="111"/>
      <c r="AC1545" s="292"/>
      <c r="AD1545" s="293"/>
      <c r="AE1545" s="36"/>
      <c r="AF1545" s="167"/>
      <c r="AG1545" s="168"/>
      <c r="AH1545" s="169"/>
      <c r="AI1545" s="167"/>
      <c r="AJ1545" s="48"/>
      <c r="AK1545" s="15"/>
      <c r="AL1545" s="15"/>
    </row>
    <row r="1546" spans="1:38" ht="60" x14ac:dyDescent="0.25">
      <c r="A1546" s="179"/>
      <c r="B1546" s="292"/>
      <c r="C1546" s="314"/>
      <c r="D1546" s="293"/>
      <c r="E1546" s="28" t="s">
        <v>4634</v>
      </c>
      <c r="F1546" s="272"/>
      <c r="G1546" s="282"/>
      <c r="H1546" s="273"/>
      <c r="I1546" s="104" t="s">
        <v>3827</v>
      </c>
      <c r="J1546" s="105"/>
      <c r="K1546" s="104" t="s">
        <v>4551</v>
      </c>
      <c r="L1546" s="105"/>
      <c r="M1546" s="183">
        <v>8</v>
      </c>
      <c r="N1546" s="184"/>
      <c r="O1546" s="185"/>
      <c r="P1546" s="114" t="s">
        <v>4633</v>
      </c>
      <c r="Q1546" s="116"/>
      <c r="R1546" s="155">
        <v>5</v>
      </c>
      <c r="S1546" s="157"/>
      <c r="T1546" s="114" t="s">
        <v>922</v>
      </c>
      <c r="U1546" s="116"/>
      <c r="V1546" s="114" t="s">
        <v>4122</v>
      </c>
      <c r="W1546" s="116"/>
      <c r="X1546" s="175" t="s">
        <v>4635</v>
      </c>
      <c r="Y1546" s="176"/>
      <c r="Z1546" s="177"/>
      <c r="AA1546" s="110" t="s">
        <v>1854</v>
      </c>
      <c r="AB1546" s="111"/>
      <c r="AC1546" s="292"/>
      <c r="AD1546" s="293"/>
      <c r="AE1546" s="36"/>
      <c r="AF1546" s="167"/>
      <c r="AG1546" s="168"/>
      <c r="AH1546" s="169"/>
      <c r="AI1546" s="167"/>
      <c r="AJ1546" s="48"/>
      <c r="AK1546" s="15"/>
      <c r="AL1546" s="15"/>
    </row>
    <row r="1547" spans="1:38" ht="60" x14ac:dyDescent="0.25">
      <c r="A1547" s="179"/>
      <c r="B1547" s="292"/>
      <c r="C1547" s="314"/>
      <c r="D1547" s="293"/>
      <c r="E1547" s="28" t="s">
        <v>4636</v>
      </c>
      <c r="F1547" s="194"/>
      <c r="G1547" s="197"/>
      <c r="H1547" s="195"/>
      <c r="I1547" s="146" t="s">
        <v>3827</v>
      </c>
      <c r="J1547" s="148"/>
      <c r="K1547" s="146" t="s">
        <v>4551</v>
      </c>
      <c r="L1547" s="148"/>
      <c r="M1547" s="183">
        <v>8</v>
      </c>
      <c r="N1547" s="184"/>
      <c r="O1547" s="185"/>
      <c r="P1547" s="114" t="s">
        <v>4633</v>
      </c>
      <c r="Q1547" s="116"/>
      <c r="R1547" s="160">
        <v>5</v>
      </c>
      <c r="S1547" s="161"/>
      <c r="T1547" s="114" t="s">
        <v>922</v>
      </c>
      <c r="U1547" s="116"/>
      <c r="V1547" s="114" t="s">
        <v>4122</v>
      </c>
      <c r="W1547" s="116"/>
      <c r="X1547" s="175" t="s">
        <v>4635</v>
      </c>
      <c r="Y1547" s="176"/>
      <c r="Z1547" s="177"/>
      <c r="AA1547" s="110" t="s">
        <v>1854</v>
      </c>
      <c r="AB1547" s="111"/>
      <c r="AC1547" s="292"/>
      <c r="AD1547" s="293"/>
      <c r="AE1547" s="36"/>
      <c r="AF1547" s="167"/>
      <c r="AG1547" s="168"/>
      <c r="AH1547" s="169"/>
      <c r="AI1547" s="167"/>
      <c r="AJ1547" s="48"/>
      <c r="AK1547" s="15"/>
      <c r="AL1547" s="15"/>
    </row>
    <row r="1548" spans="1:38" ht="60" x14ac:dyDescent="0.25">
      <c r="A1548" s="179"/>
      <c r="B1548" s="292"/>
      <c r="C1548" s="314"/>
      <c r="D1548" s="293"/>
      <c r="E1548" s="28" t="s">
        <v>4637</v>
      </c>
      <c r="F1548" s="171" t="s">
        <v>4638</v>
      </c>
      <c r="G1548" s="407"/>
      <c r="H1548" s="172"/>
      <c r="I1548" s="143" t="s">
        <v>4639</v>
      </c>
      <c r="J1548" s="145"/>
      <c r="K1548" s="143" t="s">
        <v>4640</v>
      </c>
      <c r="L1548" s="145"/>
      <c r="M1548" s="183">
        <v>12</v>
      </c>
      <c r="N1548" s="184"/>
      <c r="O1548" s="185"/>
      <c r="P1548" s="114" t="s">
        <v>4641</v>
      </c>
      <c r="Q1548" s="116"/>
      <c r="R1548" s="88" t="s">
        <v>1764</v>
      </c>
      <c r="S1548" s="89"/>
      <c r="T1548" s="114" t="s">
        <v>922</v>
      </c>
      <c r="U1548" s="116"/>
      <c r="V1548" s="114" t="s">
        <v>977</v>
      </c>
      <c r="W1548" s="116"/>
      <c r="X1548" s="175" t="s">
        <v>4642</v>
      </c>
      <c r="Y1548" s="176"/>
      <c r="Z1548" s="177"/>
      <c r="AA1548" s="110" t="s">
        <v>1311</v>
      </c>
      <c r="AB1548" s="111"/>
      <c r="AC1548" s="292"/>
      <c r="AD1548" s="293"/>
      <c r="AE1548" s="36"/>
      <c r="AF1548" s="167"/>
      <c r="AG1548" s="168"/>
      <c r="AH1548" s="169"/>
      <c r="AI1548" s="167"/>
      <c r="AJ1548" s="48"/>
      <c r="AK1548" s="15"/>
      <c r="AL1548" s="15"/>
    </row>
    <row r="1549" spans="1:38" ht="60" x14ac:dyDescent="0.25">
      <c r="A1549" s="179"/>
      <c r="B1549" s="292"/>
      <c r="C1549" s="314"/>
      <c r="D1549" s="293"/>
      <c r="E1549" s="28" t="s">
        <v>4643</v>
      </c>
      <c r="F1549" s="162"/>
      <c r="G1549" s="170"/>
      <c r="H1549" s="163"/>
      <c r="I1549" s="104" t="s">
        <v>4639</v>
      </c>
      <c r="J1549" s="105"/>
      <c r="K1549" s="104" t="s">
        <v>4640</v>
      </c>
      <c r="L1549" s="105"/>
      <c r="M1549" s="183">
        <v>11</v>
      </c>
      <c r="N1549" s="184"/>
      <c r="O1549" s="185"/>
      <c r="P1549" s="114" t="s">
        <v>4641</v>
      </c>
      <c r="Q1549" s="116"/>
      <c r="R1549" s="126" t="s">
        <v>1764</v>
      </c>
      <c r="S1549" s="127"/>
      <c r="T1549" s="114" t="s">
        <v>922</v>
      </c>
      <c r="U1549" s="116"/>
      <c r="V1549" s="114" t="s">
        <v>1395</v>
      </c>
      <c r="W1549" s="116"/>
      <c r="X1549" s="175" t="s">
        <v>4644</v>
      </c>
      <c r="Y1549" s="176"/>
      <c r="Z1549" s="177"/>
      <c r="AA1549" s="110" t="s">
        <v>1685</v>
      </c>
      <c r="AB1549" s="111"/>
      <c r="AC1549" s="292"/>
      <c r="AD1549" s="293"/>
      <c r="AE1549" s="36"/>
      <c r="AF1549" s="167"/>
      <c r="AG1549" s="168"/>
      <c r="AH1549" s="169"/>
      <c r="AI1549" s="167"/>
      <c r="AJ1549" s="48"/>
      <c r="AK1549" s="15"/>
      <c r="AL1549" s="15"/>
    </row>
    <row r="1550" spans="1:38" ht="60" x14ac:dyDescent="0.25">
      <c r="A1550" s="230"/>
      <c r="B1550" s="290"/>
      <c r="C1550" s="345"/>
      <c r="D1550" s="291"/>
      <c r="E1550" s="28" t="s">
        <v>4645</v>
      </c>
      <c r="F1550" s="212"/>
      <c r="G1550" s="408"/>
      <c r="H1550" s="213"/>
      <c r="I1550" s="146" t="s">
        <v>4639</v>
      </c>
      <c r="J1550" s="148"/>
      <c r="K1550" s="146" t="s">
        <v>4640</v>
      </c>
      <c r="L1550" s="148"/>
      <c r="M1550" s="183">
        <v>11</v>
      </c>
      <c r="N1550" s="184"/>
      <c r="O1550" s="185"/>
      <c r="P1550" s="114" t="s">
        <v>4641</v>
      </c>
      <c r="Q1550" s="116"/>
      <c r="R1550" s="117" t="s">
        <v>1764</v>
      </c>
      <c r="S1550" s="118"/>
      <c r="T1550" s="114" t="s">
        <v>922</v>
      </c>
      <c r="U1550" s="116"/>
      <c r="V1550" s="114" t="s">
        <v>1395</v>
      </c>
      <c r="W1550" s="116"/>
      <c r="X1550" s="175" t="s">
        <v>4644</v>
      </c>
      <c r="Y1550" s="176"/>
      <c r="Z1550" s="177"/>
      <c r="AA1550" s="110" t="s">
        <v>1685</v>
      </c>
      <c r="AB1550" s="111"/>
      <c r="AC1550" s="290"/>
      <c r="AD1550" s="291"/>
      <c r="AE1550" s="36"/>
      <c r="AF1550" s="214"/>
      <c r="AG1550" s="215"/>
      <c r="AH1550" s="216"/>
      <c r="AI1550" s="167"/>
      <c r="AJ1550" s="48"/>
      <c r="AK1550" s="15"/>
      <c r="AL1550" s="15"/>
    </row>
    <row r="1551" spans="1:38" ht="105" x14ac:dyDescent="0.3">
      <c r="A1551" s="275"/>
      <c r="B1551" s="149"/>
      <c r="C1551" s="158"/>
      <c r="D1551" s="150"/>
      <c r="E1551" s="28" t="s">
        <v>4646</v>
      </c>
      <c r="F1551" s="233" t="s">
        <v>4647</v>
      </c>
      <c r="G1551" s="305"/>
      <c r="H1551" s="234"/>
      <c r="I1551" s="143" t="s">
        <v>4118</v>
      </c>
      <c r="J1551" s="145"/>
      <c r="K1551" s="143" t="s">
        <v>4648</v>
      </c>
      <c r="L1551" s="145"/>
      <c r="M1551" s="173" t="s">
        <v>4649</v>
      </c>
      <c r="N1551" s="276"/>
      <c r="O1551" s="174"/>
      <c r="P1551" s="173" t="s">
        <v>3412</v>
      </c>
      <c r="Q1551" s="174"/>
      <c r="R1551" s="112">
        <v>23</v>
      </c>
      <c r="S1551" s="113"/>
      <c r="T1551" s="183">
        <v>10</v>
      </c>
      <c r="U1551" s="185"/>
      <c r="V1551" s="173" t="s">
        <v>1786</v>
      </c>
      <c r="W1551" s="174"/>
      <c r="X1551" s="227">
        <v>128</v>
      </c>
      <c r="Y1551" s="228"/>
      <c r="Z1551" s="229"/>
      <c r="AA1551" s="110" t="s">
        <v>1081</v>
      </c>
      <c r="AB1551" s="111"/>
      <c r="AC1551" s="149"/>
      <c r="AD1551" s="150"/>
      <c r="AE1551" s="275"/>
      <c r="AF1551" s="149"/>
      <c r="AG1551" s="158"/>
      <c r="AH1551" s="150"/>
      <c r="AI1551" s="167"/>
      <c r="AJ1551" s="48"/>
      <c r="AK1551" s="15"/>
      <c r="AL1551" s="15"/>
    </row>
    <row r="1552" spans="1:38" ht="105" x14ac:dyDescent="0.3">
      <c r="A1552" s="128"/>
      <c r="B1552" s="135"/>
      <c r="C1552" s="136"/>
      <c r="D1552" s="137"/>
      <c r="E1552" s="28" t="s">
        <v>4650</v>
      </c>
      <c r="F1552" s="235"/>
      <c r="G1552" s="270"/>
      <c r="H1552" s="236"/>
      <c r="I1552" s="104" t="s">
        <v>4118</v>
      </c>
      <c r="J1552" s="105"/>
      <c r="K1552" s="104" t="s">
        <v>4648</v>
      </c>
      <c r="L1552" s="105"/>
      <c r="M1552" s="173" t="s">
        <v>4651</v>
      </c>
      <c r="N1552" s="276"/>
      <c r="O1552" s="174"/>
      <c r="P1552" s="173" t="s">
        <v>3412</v>
      </c>
      <c r="Q1552" s="174"/>
      <c r="R1552" s="155">
        <v>23</v>
      </c>
      <c r="S1552" s="157"/>
      <c r="T1552" s="183">
        <v>10</v>
      </c>
      <c r="U1552" s="185"/>
      <c r="V1552" s="173" t="s">
        <v>4652</v>
      </c>
      <c r="W1552" s="174"/>
      <c r="X1552" s="227">
        <v>128</v>
      </c>
      <c r="Y1552" s="228"/>
      <c r="Z1552" s="229"/>
      <c r="AA1552" s="110" t="s">
        <v>1854</v>
      </c>
      <c r="AB1552" s="111"/>
      <c r="AC1552" s="135"/>
      <c r="AD1552" s="137"/>
      <c r="AE1552" s="128"/>
      <c r="AF1552" s="135"/>
      <c r="AG1552" s="136"/>
      <c r="AH1552" s="137"/>
      <c r="AI1552" s="167"/>
      <c r="AJ1552" s="48"/>
      <c r="AK1552" s="15"/>
      <c r="AL1552" s="15"/>
    </row>
    <row r="1553" spans="1:38" ht="105" x14ac:dyDescent="0.35">
      <c r="A1553" s="179"/>
      <c r="B1553" s="292" t="s">
        <v>4653</v>
      </c>
      <c r="C1553" s="314"/>
      <c r="D1553" s="293"/>
      <c r="E1553" s="28" t="s">
        <v>4654</v>
      </c>
      <c r="F1553" s="93"/>
      <c r="G1553" s="106"/>
      <c r="H1553" s="94"/>
      <c r="I1553" s="146" t="s">
        <v>4118</v>
      </c>
      <c r="J1553" s="148"/>
      <c r="K1553" s="146" t="s">
        <v>4648</v>
      </c>
      <c r="L1553" s="148"/>
      <c r="M1553" s="173" t="s">
        <v>4655</v>
      </c>
      <c r="N1553" s="276"/>
      <c r="O1553" s="174"/>
      <c r="P1553" s="173" t="s">
        <v>3412</v>
      </c>
      <c r="Q1553" s="174"/>
      <c r="R1553" s="206">
        <v>23</v>
      </c>
      <c r="S1553" s="207"/>
      <c r="T1553" s="183">
        <v>10</v>
      </c>
      <c r="U1553" s="185"/>
      <c r="V1553" s="173" t="s">
        <v>1097</v>
      </c>
      <c r="W1553" s="174"/>
      <c r="X1553" s="227">
        <v>138</v>
      </c>
      <c r="Y1553" s="228"/>
      <c r="Z1553" s="229"/>
      <c r="AA1553" s="110" t="s">
        <v>1261</v>
      </c>
      <c r="AB1553" s="111"/>
      <c r="AC1553" s="239" t="s">
        <v>675</v>
      </c>
      <c r="AD1553" s="240"/>
      <c r="AE1553" s="31" t="s">
        <v>4658</v>
      </c>
      <c r="AF1553" s="292" t="s">
        <v>2707</v>
      </c>
      <c r="AG1553" s="314"/>
      <c r="AH1553" s="293"/>
      <c r="AI1553" s="167"/>
      <c r="AJ1553" s="48"/>
      <c r="AK1553" s="15"/>
      <c r="AL1553" s="15"/>
    </row>
    <row r="1554" spans="1:38" ht="105" x14ac:dyDescent="0.3">
      <c r="A1554" s="179"/>
      <c r="B1554" s="292"/>
      <c r="C1554" s="314"/>
      <c r="D1554" s="293"/>
      <c r="E1554" s="28" t="s">
        <v>4660</v>
      </c>
      <c r="F1554" s="124" t="s">
        <v>4647</v>
      </c>
      <c r="G1554" s="182"/>
      <c r="H1554" s="125"/>
      <c r="I1554" s="183">
        <v>11</v>
      </c>
      <c r="J1554" s="185"/>
      <c r="K1554" s="110" t="s">
        <v>4648</v>
      </c>
      <c r="L1554" s="111"/>
      <c r="M1554" s="173" t="s">
        <v>4661</v>
      </c>
      <c r="N1554" s="276"/>
      <c r="O1554" s="174"/>
      <c r="P1554" s="173" t="s">
        <v>1033</v>
      </c>
      <c r="Q1554" s="174"/>
      <c r="R1554" s="88" t="s">
        <v>977</v>
      </c>
      <c r="S1554" s="89"/>
      <c r="T1554" s="183">
        <v>10</v>
      </c>
      <c r="U1554" s="185"/>
      <c r="V1554" s="173" t="s">
        <v>4662</v>
      </c>
      <c r="W1554" s="174"/>
      <c r="X1554" s="227">
        <v>132</v>
      </c>
      <c r="Y1554" s="228"/>
      <c r="Z1554" s="229"/>
      <c r="AA1554" s="110" t="s">
        <v>1127</v>
      </c>
      <c r="AB1554" s="111"/>
      <c r="AC1554" s="239" t="s">
        <v>4656</v>
      </c>
      <c r="AD1554" s="240"/>
      <c r="AE1554" s="31" t="s">
        <v>1356</v>
      </c>
      <c r="AF1554" s="292"/>
      <c r="AG1554" s="314"/>
      <c r="AH1554" s="293"/>
      <c r="AI1554" s="167"/>
      <c r="AJ1554" s="48"/>
      <c r="AK1554" s="15"/>
      <c r="AL1554" s="15"/>
    </row>
    <row r="1555" spans="1:38" ht="105" x14ac:dyDescent="0.3">
      <c r="A1555" s="179"/>
      <c r="B1555" s="292"/>
      <c r="C1555" s="314"/>
      <c r="D1555" s="293"/>
      <c r="E1555" s="28" t="s">
        <v>4663</v>
      </c>
      <c r="F1555" s="124" t="s">
        <v>4664</v>
      </c>
      <c r="G1555" s="182"/>
      <c r="H1555" s="125"/>
      <c r="I1555" s="183">
        <v>15</v>
      </c>
      <c r="J1555" s="185"/>
      <c r="K1555" s="114" t="s">
        <v>4665</v>
      </c>
      <c r="L1555" s="116"/>
      <c r="M1555" s="173" t="s">
        <v>4666</v>
      </c>
      <c r="N1555" s="276"/>
      <c r="O1555" s="174"/>
      <c r="P1555" s="173" t="s">
        <v>4667</v>
      </c>
      <c r="Q1555" s="174"/>
      <c r="R1555" s="117" t="s">
        <v>977</v>
      </c>
      <c r="S1555" s="118"/>
      <c r="T1555" s="183">
        <v>12</v>
      </c>
      <c r="U1555" s="185"/>
      <c r="V1555" s="173" t="s">
        <v>4668</v>
      </c>
      <c r="W1555" s="174"/>
      <c r="X1555" s="227">
        <v>185</v>
      </c>
      <c r="Y1555" s="228"/>
      <c r="Z1555" s="229"/>
      <c r="AA1555" s="110" t="s">
        <v>1159</v>
      </c>
      <c r="AB1555" s="111"/>
      <c r="AC1555" s="239" t="s">
        <v>2211</v>
      </c>
      <c r="AD1555" s="240"/>
      <c r="AE1555" s="31" t="s">
        <v>4659</v>
      </c>
      <c r="AF1555" s="292"/>
      <c r="AG1555" s="314"/>
      <c r="AH1555" s="293"/>
      <c r="AI1555" s="167"/>
      <c r="AJ1555" s="48"/>
      <c r="AK1555" s="15"/>
      <c r="AL1555" s="15"/>
    </row>
    <row r="1556" spans="1:38" ht="105" x14ac:dyDescent="0.3">
      <c r="A1556" s="179"/>
      <c r="B1556" s="292"/>
      <c r="C1556" s="314"/>
      <c r="D1556" s="293"/>
      <c r="E1556" s="28" t="s">
        <v>4669</v>
      </c>
      <c r="F1556" s="124" t="s">
        <v>4670</v>
      </c>
      <c r="G1556" s="182"/>
      <c r="H1556" s="125"/>
      <c r="I1556" s="183">
        <v>18</v>
      </c>
      <c r="J1556" s="185"/>
      <c r="K1556" s="114" t="s">
        <v>4671</v>
      </c>
      <c r="L1556" s="116"/>
      <c r="M1556" s="173" t="s">
        <v>4672</v>
      </c>
      <c r="N1556" s="276"/>
      <c r="O1556" s="174"/>
      <c r="P1556" s="173" t="s">
        <v>4673</v>
      </c>
      <c r="Q1556" s="174"/>
      <c r="R1556" s="183">
        <v>26</v>
      </c>
      <c r="S1556" s="185"/>
      <c r="T1556" s="183">
        <v>15</v>
      </c>
      <c r="U1556" s="185"/>
      <c r="V1556" s="173" t="s">
        <v>4674</v>
      </c>
      <c r="W1556" s="174"/>
      <c r="X1556" s="227">
        <v>230</v>
      </c>
      <c r="Y1556" s="228"/>
      <c r="Z1556" s="229"/>
      <c r="AA1556" s="110" t="s">
        <v>1023</v>
      </c>
      <c r="AB1556" s="111"/>
      <c r="AC1556" s="239" t="s">
        <v>4657</v>
      </c>
      <c r="AD1556" s="240"/>
      <c r="AE1556" s="31"/>
      <c r="AF1556" s="292"/>
      <c r="AG1556" s="314"/>
      <c r="AH1556" s="293"/>
      <c r="AI1556" s="167"/>
      <c r="AJ1556" s="48"/>
      <c r="AK1556" s="15"/>
      <c r="AL1556" s="15"/>
    </row>
    <row r="1557" spans="1:38" ht="105" x14ac:dyDescent="0.3">
      <c r="A1557" s="179"/>
      <c r="B1557" s="292"/>
      <c r="C1557" s="314"/>
      <c r="D1557" s="293"/>
      <c r="E1557" s="28" t="s">
        <v>4675</v>
      </c>
      <c r="F1557" s="124" t="s">
        <v>4647</v>
      </c>
      <c r="G1557" s="182"/>
      <c r="H1557" s="125"/>
      <c r="I1557" s="183">
        <v>11</v>
      </c>
      <c r="J1557" s="185"/>
      <c r="K1557" s="110" t="s">
        <v>4648</v>
      </c>
      <c r="L1557" s="111"/>
      <c r="M1557" s="173" t="s">
        <v>4661</v>
      </c>
      <c r="N1557" s="276"/>
      <c r="O1557" s="174"/>
      <c r="P1557" s="173" t="s">
        <v>1033</v>
      </c>
      <c r="Q1557" s="174"/>
      <c r="R1557" s="88" t="s">
        <v>977</v>
      </c>
      <c r="S1557" s="89"/>
      <c r="T1557" s="183">
        <v>10</v>
      </c>
      <c r="U1557" s="185"/>
      <c r="V1557" s="173" t="s">
        <v>4662</v>
      </c>
      <c r="W1557" s="174"/>
      <c r="X1557" s="227">
        <v>132</v>
      </c>
      <c r="Y1557" s="228"/>
      <c r="Z1557" s="229"/>
      <c r="AA1557" s="110" t="s">
        <v>1127</v>
      </c>
      <c r="AB1557" s="111"/>
      <c r="AC1557" s="239"/>
      <c r="AD1557" s="240"/>
      <c r="AE1557" s="31"/>
      <c r="AF1557" s="292"/>
      <c r="AG1557" s="314"/>
      <c r="AH1557" s="293"/>
      <c r="AI1557" s="167"/>
      <c r="AJ1557" s="48"/>
      <c r="AK1557" s="15"/>
      <c r="AL1557" s="15"/>
    </row>
    <row r="1558" spans="1:38" ht="105" x14ac:dyDescent="0.3">
      <c r="A1558" s="179"/>
      <c r="B1558" s="292"/>
      <c r="C1558" s="314"/>
      <c r="D1558" s="293"/>
      <c r="E1558" s="28" t="s">
        <v>4676</v>
      </c>
      <c r="F1558" s="124" t="s">
        <v>4664</v>
      </c>
      <c r="G1558" s="182"/>
      <c r="H1558" s="125"/>
      <c r="I1558" s="183">
        <v>15</v>
      </c>
      <c r="J1558" s="185"/>
      <c r="K1558" s="114" t="s">
        <v>4665</v>
      </c>
      <c r="L1558" s="116"/>
      <c r="M1558" s="173" t="s">
        <v>4666</v>
      </c>
      <c r="N1558" s="276"/>
      <c r="O1558" s="174"/>
      <c r="P1558" s="173" t="s">
        <v>4667</v>
      </c>
      <c r="Q1558" s="174"/>
      <c r="R1558" s="117" t="s">
        <v>977</v>
      </c>
      <c r="S1558" s="118"/>
      <c r="T1558" s="183">
        <v>12</v>
      </c>
      <c r="U1558" s="185"/>
      <c r="V1558" s="173" t="s">
        <v>4668</v>
      </c>
      <c r="W1558" s="174"/>
      <c r="X1558" s="227">
        <v>185</v>
      </c>
      <c r="Y1558" s="228"/>
      <c r="Z1558" s="229"/>
      <c r="AA1558" s="110" t="s">
        <v>1159</v>
      </c>
      <c r="AB1558" s="111"/>
      <c r="AC1558" s="239"/>
      <c r="AD1558" s="240"/>
      <c r="AE1558" s="31"/>
      <c r="AF1558" s="292"/>
      <c r="AG1558" s="314"/>
      <c r="AH1558" s="293"/>
      <c r="AI1558" s="167"/>
      <c r="AJ1558" s="48"/>
      <c r="AK1558" s="15"/>
      <c r="AL1558" s="15"/>
    </row>
    <row r="1559" spans="1:38" ht="105" x14ac:dyDescent="0.3">
      <c r="A1559" s="179"/>
      <c r="B1559" s="292"/>
      <c r="C1559" s="314"/>
      <c r="D1559" s="293"/>
      <c r="E1559" s="28" t="s">
        <v>4677</v>
      </c>
      <c r="F1559" s="124" t="s">
        <v>4670</v>
      </c>
      <c r="G1559" s="182"/>
      <c r="H1559" s="125"/>
      <c r="I1559" s="183">
        <v>18</v>
      </c>
      <c r="J1559" s="185"/>
      <c r="K1559" s="114" t="s">
        <v>4671</v>
      </c>
      <c r="L1559" s="116"/>
      <c r="M1559" s="173" t="s">
        <v>4672</v>
      </c>
      <c r="N1559" s="276"/>
      <c r="O1559" s="174"/>
      <c r="P1559" s="173" t="s">
        <v>4673</v>
      </c>
      <c r="Q1559" s="174"/>
      <c r="R1559" s="183">
        <v>26</v>
      </c>
      <c r="S1559" s="185"/>
      <c r="T1559" s="183">
        <v>15</v>
      </c>
      <c r="U1559" s="185"/>
      <c r="V1559" s="173" t="s">
        <v>4674</v>
      </c>
      <c r="W1559" s="174"/>
      <c r="X1559" s="227">
        <v>230</v>
      </c>
      <c r="Y1559" s="228"/>
      <c r="Z1559" s="229"/>
      <c r="AA1559" s="110" t="s">
        <v>1023</v>
      </c>
      <c r="AB1559" s="111"/>
      <c r="AC1559" s="239"/>
      <c r="AD1559" s="240"/>
      <c r="AE1559" s="31"/>
      <c r="AF1559" s="292"/>
      <c r="AG1559" s="314"/>
      <c r="AH1559" s="293"/>
      <c r="AI1559" s="167"/>
      <c r="AJ1559" s="48"/>
      <c r="AK1559" s="15"/>
      <c r="AL1559" s="15"/>
    </row>
    <row r="1560" spans="1:38" ht="105" x14ac:dyDescent="0.3">
      <c r="A1560" s="179"/>
      <c r="B1560" s="292"/>
      <c r="C1560" s="314"/>
      <c r="D1560" s="293"/>
      <c r="E1560" s="28" t="s">
        <v>4678</v>
      </c>
      <c r="F1560" s="124" t="s">
        <v>4647</v>
      </c>
      <c r="G1560" s="182"/>
      <c r="H1560" s="125"/>
      <c r="I1560" s="183">
        <v>11</v>
      </c>
      <c r="J1560" s="185"/>
      <c r="K1560" s="110" t="s">
        <v>4648</v>
      </c>
      <c r="L1560" s="111"/>
      <c r="M1560" s="173" t="s">
        <v>4679</v>
      </c>
      <c r="N1560" s="276"/>
      <c r="O1560" s="174"/>
      <c r="P1560" s="173" t="s">
        <v>1033</v>
      </c>
      <c r="Q1560" s="174"/>
      <c r="R1560" s="88" t="s">
        <v>977</v>
      </c>
      <c r="S1560" s="89"/>
      <c r="T1560" s="183">
        <v>10</v>
      </c>
      <c r="U1560" s="185"/>
      <c r="V1560" s="173" t="s">
        <v>4680</v>
      </c>
      <c r="W1560" s="174"/>
      <c r="X1560" s="227">
        <v>132</v>
      </c>
      <c r="Y1560" s="228"/>
      <c r="Z1560" s="229"/>
      <c r="AA1560" s="110" t="s">
        <v>1045</v>
      </c>
      <c r="AB1560" s="111"/>
      <c r="AC1560" s="239"/>
      <c r="AD1560" s="240"/>
      <c r="AE1560" s="31"/>
      <c r="AF1560" s="292"/>
      <c r="AG1560" s="314"/>
      <c r="AH1560" s="293"/>
      <c r="AI1560" s="167"/>
      <c r="AJ1560" s="48"/>
      <c r="AK1560" s="15"/>
      <c r="AL1560" s="15"/>
    </row>
    <row r="1561" spans="1:38" ht="105" x14ac:dyDescent="0.3">
      <c r="A1561" s="179"/>
      <c r="B1561" s="292"/>
      <c r="C1561" s="314"/>
      <c r="D1561" s="293"/>
      <c r="E1561" s="28" t="s">
        <v>4681</v>
      </c>
      <c r="F1561" s="124" t="s">
        <v>4664</v>
      </c>
      <c r="G1561" s="182"/>
      <c r="H1561" s="125"/>
      <c r="I1561" s="183">
        <v>15</v>
      </c>
      <c r="J1561" s="185"/>
      <c r="K1561" s="114" t="s">
        <v>4665</v>
      </c>
      <c r="L1561" s="116"/>
      <c r="M1561" s="173" t="s">
        <v>4682</v>
      </c>
      <c r="N1561" s="276"/>
      <c r="O1561" s="174"/>
      <c r="P1561" s="173" t="s">
        <v>4667</v>
      </c>
      <c r="Q1561" s="174"/>
      <c r="R1561" s="117" t="s">
        <v>977</v>
      </c>
      <c r="S1561" s="118"/>
      <c r="T1561" s="183">
        <v>12</v>
      </c>
      <c r="U1561" s="185"/>
      <c r="V1561" s="173" t="s">
        <v>2071</v>
      </c>
      <c r="W1561" s="174"/>
      <c r="X1561" s="227">
        <v>185</v>
      </c>
      <c r="Y1561" s="228"/>
      <c r="Z1561" s="229"/>
      <c r="AA1561" s="110" t="s">
        <v>1338</v>
      </c>
      <c r="AB1561" s="111"/>
      <c r="AC1561" s="239"/>
      <c r="AD1561" s="240"/>
      <c r="AE1561" s="31"/>
      <c r="AF1561" s="292"/>
      <c r="AG1561" s="314"/>
      <c r="AH1561" s="293"/>
      <c r="AI1561" s="167"/>
      <c r="AJ1561" s="48"/>
      <c r="AK1561" s="15"/>
      <c r="AL1561" s="15"/>
    </row>
    <row r="1562" spans="1:38" ht="105" x14ac:dyDescent="0.3">
      <c r="A1562" s="179"/>
      <c r="B1562" s="292"/>
      <c r="C1562" s="314"/>
      <c r="D1562" s="293"/>
      <c r="E1562" s="28" t="s">
        <v>4683</v>
      </c>
      <c r="F1562" s="124" t="s">
        <v>4670</v>
      </c>
      <c r="G1562" s="182"/>
      <c r="H1562" s="125"/>
      <c r="I1562" s="183">
        <v>18</v>
      </c>
      <c r="J1562" s="185"/>
      <c r="K1562" s="114" t="s">
        <v>4671</v>
      </c>
      <c r="L1562" s="116"/>
      <c r="M1562" s="173" t="s">
        <v>4684</v>
      </c>
      <c r="N1562" s="276"/>
      <c r="O1562" s="174"/>
      <c r="P1562" s="173" t="s">
        <v>4673</v>
      </c>
      <c r="Q1562" s="174"/>
      <c r="R1562" s="183">
        <v>26</v>
      </c>
      <c r="S1562" s="185"/>
      <c r="T1562" s="183">
        <v>15</v>
      </c>
      <c r="U1562" s="185"/>
      <c r="V1562" s="173" t="s">
        <v>3279</v>
      </c>
      <c r="W1562" s="174"/>
      <c r="X1562" s="227">
        <v>230</v>
      </c>
      <c r="Y1562" s="228"/>
      <c r="Z1562" s="229"/>
      <c r="AA1562" s="110" t="s">
        <v>1090</v>
      </c>
      <c r="AB1562" s="111"/>
      <c r="AC1562" s="239"/>
      <c r="AD1562" s="240"/>
      <c r="AE1562" s="31"/>
      <c r="AF1562" s="292"/>
      <c r="AG1562" s="314"/>
      <c r="AH1562" s="293"/>
      <c r="AI1562" s="167"/>
      <c r="AJ1562" s="48"/>
      <c r="AK1562" s="15"/>
      <c r="AL1562" s="15"/>
    </row>
    <row r="1563" spans="1:38" ht="105" x14ac:dyDescent="0.3">
      <c r="A1563" s="179"/>
      <c r="B1563" s="292"/>
      <c r="C1563" s="314"/>
      <c r="D1563" s="293"/>
      <c r="E1563" s="28" t="s">
        <v>4685</v>
      </c>
      <c r="F1563" s="124" t="s">
        <v>4647</v>
      </c>
      <c r="G1563" s="182"/>
      <c r="H1563" s="125"/>
      <c r="I1563" s="183">
        <v>11</v>
      </c>
      <c r="J1563" s="185"/>
      <c r="K1563" s="110" t="s">
        <v>4648</v>
      </c>
      <c r="L1563" s="111"/>
      <c r="M1563" s="173" t="s">
        <v>4679</v>
      </c>
      <c r="N1563" s="276"/>
      <c r="O1563" s="174"/>
      <c r="P1563" s="173" t="s">
        <v>1033</v>
      </c>
      <c r="Q1563" s="174"/>
      <c r="R1563" s="88" t="s">
        <v>977</v>
      </c>
      <c r="S1563" s="89"/>
      <c r="T1563" s="183">
        <v>10</v>
      </c>
      <c r="U1563" s="185"/>
      <c r="V1563" s="173" t="s">
        <v>4680</v>
      </c>
      <c r="W1563" s="174"/>
      <c r="X1563" s="227">
        <v>132</v>
      </c>
      <c r="Y1563" s="228"/>
      <c r="Z1563" s="229"/>
      <c r="AA1563" s="110" t="s">
        <v>1045</v>
      </c>
      <c r="AB1563" s="111"/>
      <c r="AC1563" s="239"/>
      <c r="AD1563" s="240"/>
      <c r="AE1563" s="31"/>
      <c r="AF1563" s="292"/>
      <c r="AG1563" s="314"/>
      <c r="AH1563" s="293"/>
      <c r="AI1563" s="167"/>
      <c r="AJ1563" s="48"/>
      <c r="AK1563" s="15"/>
      <c r="AL1563" s="15"/>
    </row>
    <row r="1564" spans="1:38" ht="120" x14ac:dyDescent="0.3">
      <c r="A1564" s="179"/>
      <c r="B1564" s="292"/>
      <c r="C1564" s="314"/>
      <c r="D1564" s="293"/>
      <c r="E1564" s="28" t="s">
        <v>4686</v>
      </c>
      <c r="F1564" s="124" t="s">
        <v>4664</v>
      </c>
      <c r="G1564" s="182"/>
      <c r="H1564" s="125"/>
      <c r="I1564" s="183">
        <v>15</v>
      </c>
      <c r="J1564" s="185"/>
      <c r="K1564" s="114" t="s">
        <v>4665</v>
      </c>
      <c r="L1564" s="116"/>
      <c r="M1564" s="173" t="s">
        <v>4682</v>
      </c>
      <c r="N1564" s="276"/>
      <c r="O1564" s="174"/>
      <c r="P1564" s="173" t="s">
        <v>4667</v>
      </c>
      <c r="Q1564" s="174"/>
      <c r="R1564" s="117" t="s">
        <v>977</v>
      </c>
      <c r="S1564" s="118"/>
      <c r="T1564" s="183">
        <v>12</v>
      </c>
      <c r="U1564" s="185"/>
      <c r="V1564" s="173" t="s">
        <v>2071</v>
      </c>
      <c r="W1564" s="174"/>
      <c r="X1564" s="227">
        <v>185</v>
      </c>
      <c r="Y1564" s="228"/>
      <c r="Z1564" s="229"/>
      <c r="AA1564" s="110" t="s">
        <v>1338</v>
      </c>
      <c r="AB1564" s="111"/>
      <c r="AC1564" s="239"/>
      <c r="AD1564" s="240"/>
      <c r="AE1564" s="31"/>
      <c r="AF1564" s="292"/>
      <c r="AG1564" s="314"/>
      <c r="AH1564" s="293"/>
      <c r="AI1564" s="167"/>
      <c r="AJ1564" s="48"/>
      <c r="AK1564" s="15"/>
      <c r="AL1564" s="15"/>
    </row>
    <row r="1565" spans="1:38" ht="105" x14ac:dyDescent="0.3">
      <c r="A1565" s="179"/>
      <c r="B1565" s="292"/>
      <c r="C1565" s="314"/>
      <c r="D1565" s="293"/>
      <c r="E1565" s="28" t="s">
        <v>4687</v>
      </c>
      <c r="F1565" s="124" t="s">
        <v>4670</v>
      </c>
      <c r="G1565" s="182"/>
      <c r="H1565" s="125"/>
      <c r="I1565" s="183">
        <v>18</v>
      </c>
      <c r="J1565" s="185"/>
      <c r="K1565" s="114" t="s">
        <v>4671</v>
      </c>
      <c r="L1565" s="116"/>
      <c r="M1565" s="173" t="s">
        <v>4684</v>
      </c>
      <c r="N1565" s="276"/>
      <c r="O1565" s="174"/>
      <c r="P1565" s="173" t="s">
        <v>4673</v>
      </c>
      <c r="Q1565" s="174"/>
      <c r="R1565" s="183">
        <v>26</v>
      </c>
      <c r="S1565" s="185"/>
      <c r="T1565" s="183">
        <v>15</v>
      </c>
      <c r="U1565" s="185"/>
      <c r="V1565" s="173" t="s">
        <v>3279</v>
      </c>
      <c r="W1565" s="174"/>
      <c r="X1565" s="227">
        <v>230</v>
      </c>
      <c r="Y1565" s="228"/>
      <c r="Z1565" s="229"/>
      <c r="AA1565" s="110" t="s">
        <v>1090</v>
      </c>
      <c r="AB1565" s="111"/>
      <c r="AC1565" s="239"/>
      <c r="AD1565" s="240"/>
      <c r="AE1565" s="31"/>
      <c r="AF1565" s="292"/>
      <c r="AG1565" s="314"/>
      <c r="AH1565" s="293"/>
      <c r="AI1565" s="167"/>
      <c r="AJ1565" s="48"/>
      <c r="AK1565" s="15"/>
      <c r="AL1565" s="15"/>
    </row>
    <row r="1566" spans="1:38" ht="105" x14ac:dyDescent="0.3">
      <c r="A1566" s="179"/>
      <c r="B1566" s="292"/>
      <c r="C1566" s="314"/>
      <c r="D1566" s="293"/>
      <c r="E1566" s="28" t="s">
        <v>4688</v>
      </c>
      <c r="F1566" s="124" t="s">
        <v>4647</v>
      </c>
      <c r="G1566" s="182"/>
      <c r="H1566" s="125"/>
      <c r="I1566" s="183">
        <v>11</v>
      </c>
      <c r="J1566" s="185"/>
      <c r="K1566" s="110" t="s">
        <v>4648</v>
      </c>
      <c r="L1566" s="111"/>
      <c r="M1566" s="173" t="s">
        <v>4689</v>
      </c>
      <c r="N1566" s="276"/>
      <c r="O1566" s="174"/>
      <c r="P1566" s="173" t="s">
        <v>1033</v>
      </c>
      <c r="Q1566" s="174"/>
      <c r="R1566" s="88" t="s">
        <v>977</v>
      </c>
      <c r="S1566" s="89"/>
      <c r="T1566" s="183">
        <v>10</v>
      </c>
      <c r="U1566" s="185"/>
      <c r="V1566" s="173" t="s">
        <v>4690</v>
      </c>
      <c r="W1566" s="174"/>
      <c r="X1566" s="227">
        <v>142</v>
      </c>
      <c r="Y1566" s="228"/>
      <c r="Z1566" s="229"/>
      <c r="AA1566" s="110" t="s">
        <v>1038</v>
      </c>
      <c r="AB1566" s="111"/>
      <c r="AC1566" s="239"/>
      <c r="AD1566" s="240"/>
      <c r="AE1566" s="31"/>
      <c r="AF1566" s="292"/>
      <c r="AG1566" s="314"/>
      <c r="AH1566" s="293"/>
      <c r="AI1566" s="167"/>
      <c r="AJ1566" s="48"/>
      <c r="AK1566" s="15"/>
      <c r="AL1566" s="15"/>
    </row>
    <row r="1567" spans="1:38" ht="105" x14ac:dyDescent="0.3">
      <c r="A1567" s="179"/>
      <c r="B1567" s="292"/>
      <c r="C1567" s="314"/>
      <c r="D1567" s="293"/>
      <c r="E1567" s="28" t="s">
        <v>4691</v>
      </c>
      <c r="F1567" s="124" t="s">
        <v>4664</v>
      </c>
      <c r="G1567" s="182"/>
      <c r="H1567" s="125"/>
      <c r="I1567" s="183">
        <v>15</v>
      </c>
      <c r="J1567" s="185"/>
      <c r="K1567" s="114" t="s">
        <v>4665</v>
      </c>
      <c r="L1567" s="116"/>
      <c r="M1567" s="173" t="s">
        <v>4692</v>
      </c>
      <c r="N1567" s="276"/>
      <c r="O1567" s="174"/>
      <c r="P1567" s="173" t="s">
        <v>4667</v>
      </c>
      <c r="Q1567" s="174"/>
      <c r="R1567" s="117" t="s">
        <v>977</v>
      </c>
      <c r="S1567" s="118"/>
      <c r="T1567" s="183">
        <v>12</v>
      </c>
      <c r="U1567" s="185"/>
      <c r="V1567" s="173" t="s">
        <v>1787</v>
      </c>
      <c r="W1567" s="174"/>
      <c r="X1567" s="227">
        <v>195</v>
      </c>
      <c r="Y1567" s="228"/>
      <c r="Z1567" s="229"/>
      <c r="AA1567" s="110" t="s">
        <v>1338</v>
      </c>
      <c r="AB1567" s="111"/>
      <c r="AC1567" s="239"/>
      <c r="AD1567" s="240"/>
      <c r="AE1567" s="31"/>
      <c r="AF1567" s="292"/>
      <c r="AG1567" s="314"/>
      <c r="AH1567" s="293"/>
      <c r="AI1567" s="167"/>
      <c r="AJ1567" s="48"/>
      <c r="AK1567" s="15"/>
      <c r="AL1567" s="15"/>
    </row>
    <row r="1568" spans="1:38" ht="120" x14ac:dyDescent="0.3">
      <c r="A1568" s="179"/>
      <c r="B1568" s="292"/>
      <c r="C1568" s="314"/>
      <c r="D1568" s="293"/>
      <c r="E1568" s="28" t="s">
        <v>4693</v>
      </c>
      <c r="F1568" s="124" t="s">
        <v>4670</v>
      </c>
      <c r="G1568" s="182"/>
      <c r="H1568" s="125"/>
      <c r="I1568" s="183">
        <v>18</v>
      </c>
      <c r="J1568" s="185"/>
      <c r="K1568" s="114" t="s">
        <v>4671</v>
      </c>
      <c r="L1568" s="116"/>
      <c r="M1568" s="173" t="s">
        <v>4694</v>
      </c>
      <c r="N1568" s="276"/>
      <c r="O1568" s="174"/>
      <c r="P1568" s="173" t="s">
        <v>4673</v>
      </c>
      <c r="Q1568" s="174"/>
      <c r="R1568" s="183">
        <v>26</v>
      </c>
      <c r="S1568" s="185"/>
      <c r="T1568" s="183">
        <v>15</v>
      </c>
      <c r="U1568" s="185"/>
      <c r="V1568" s="173" t="s">
        <v>4695</v>
      </c>
      <c r="W1568" s="174"/>
      <c r="X1568" s="227">
        <v>240</v>
      </c>
      <c r="Y1568" s="228"/>
      <c r="Z1568" s="229"/>
      <c r="AA1568" s="110" t="s">
        <v>1090</v>
      </c>
      <c r="AB1568" s="111"/>
      <c r="AC1568" s="239"/>
      <c r="AD1568" s="240"/>
      <c r="AE1568" s="31"/>
      <c r="AF1568" s="292"/>
      <c r="AG1568" s="314"/>
      <c r="AH1568" s="293"/>
      <c r="AI1568" s="167"/>
      <c r="AJ1568" s="48"/>
      <c r="AK1568" s="15"/>
      <c r="AL1568" s="15"/>
    </row>
    <row r="1569" spans="1:38" ht="105" x14ac:dyDescent="0.3">
      <c r="A1569" s="179"/>
      <c r="B1569" s="292"/>
      <c r="C1569" s="314"/>
      <c r="D1569" s="293"/>
      <c r="E1569" s="28" t="s">
        <v>4696</v>
      </c>
      <c r="F1569" s="124" t="s">
        <v>4647</v>
      </c>
      <c r="G1569" s="182"/>
      <c r="H1569" s="125"/>
      <c r="I1569" s="183">
        <v>11</v>
      </c>
      <c r="J1569" s="185"/>
      <c r="K1569" s="110" t="s">
        <v>4648</v>
      </c>
      <c r="L1569" s="111"/>
      <c r="M1569" s="173" t="s">
        <v>4689</v>
      </c>
      <c r="N1569" s="276"/>
      <c r="O1569" s="174"/>
      <c r="P1569" s="173" t="s">
        <v>1033</v>
      </c>
      <c r="Q1569" s="174"/>
      <c r="R1569" s="88" t="s">
        <v>977</v>
      </c>
      <c r="S1569" s="89"/>
      <c r="T1569" s="183">
        <v>10</v>
      </c>
      <c r="U1569" s="185"/>
      <c r="V1569" s="173" t="s">
        <v>4690</v>
      </c>
      <c r="W1569" s="174"/>
      <c r="X1569" s="227">
        <v>142</v>
      </c>
      <c r="Y1569" s="228"/>
      <c r="Z1569" s="229"/>
      <c r="AA1569" s="110" t="s">
        <v>1038</v>
      </c>
      <c r="AB1569" s="111"/>
      <c r="AC1569" s="239"/>
      <c r="AD1569" s="240"/>
      <c r="AE1569" s="31"/>
      <c r="AF1569" s="292"/>
      <c r="AG1569" s="314"/>
      <c r="AH1569" s="293"/>
      <c r="AI1569" s="167"/>
      <c r="AJ1569" s="48"/>
      <c r="AK1569" s="15"/>
      <c r="AL1569" s="15"/>
    </row>
    <row r="1570" spans="1:38" ht="105" x14ac:dyDescent="0.3">
      <c r="A1570" s="179"/>
      <c r="B1570" s="292"/>
      <c r="C1570" s="314"/>
      <c r="D1570" s="293"/>
      <c r="E1570" s="28" t="s">
        <v>4697</v>
      </c>
      <c r="F1570" s="124" t="s">
        <v>4664</v>
      </c>
      <c r="G1570" s="182"/>
      <c r="H1570" s="125"/>
      <c r="I1570" s="183">
        <v>15</v>
      </c>
      <c r="J1570" s="185"/>
      <c r="K1570" s="114" t="s">
        <v>4665</v>
      </c>
      <c r="L1570" s="116"/>
      <c r="M1570" s="173" t="s">
        <v>4692</v>
      </c>
      <c r="N1570" s="276"/>
      <c r="O1570" s="174"/>
      <c r="P1570" s="173" t="s">
        <v>4667</v>
      </c>
      <c r="Q1570" s="174"/>
      <c r="R1570" s="117" t="s">
        <v>977</v>
      </c>
      <c r="S1570" s="118"/>
      <c r="T1570" s="183">
        <v>12</v>
      </c>
      <c r="U1570" s="185"/>
      <c r="V1570" s="173" t="s">
        <v>1787</v>
      </c>
      <c r="W1570" s="174"/>
      <c r="X1570" s="227">
        <v>195</v>
      </c>
      <c r="Y1570" s="228"/>
      <c r="Z1570" s="229"/>
      <c r="AA1570" s="110" t="s">
        <v>1338</v>
      </c>
      <c r="AB1570" s="111"/>
      <c r="AC1570" s="239"/>
      <c r="AD1570" s="240"/>
      <c r="AE1570" s="31"/>
      <c r="AF1570" s="292"/>
      <c r="AG1570" s="314"/>
      <c r="AH1570" s="293"/>
      <c r="AI1570" s="167"/>
      <c r="AJ1570" s="48"/>
      <c r="AK1570" s="15"/>
      <c r="AL1570" s="15"/>
    </row>
    <row r="1571" spans="1:38" ht="120" x14ac:dyDescent="0.3">
      <c r="A1571" s="230"/>
      <c r="B1571" s="290"/>
      <c r="C1571" s="345"/>
      <c r="D1571" s="291"/>
      <c r="E1571" s="28" t="s">
        <v>4698</v>
      </c>
      <c r="F1571" s="124" t="s">
        <v>4670</v>
      </c>
      <c r="G1571" s="182"/>
      <c r="H1571" s="125"/>
      <c r="I1571" s="183">
        <v>18</v>
      </c>
      <c r="J1571" s="185"/>
      <c r="K1571" s="114" t="s">
        <v>4671</v>
      </c>
      <c r="L1571" s="116"/>
      <c r="M1571" s="173" t="s">
        <v>4694</v>
      </c>
      <c r="N1571" s="276"/>
      <c r="O1571" s="174"/>
      <c r="P1571" s="173" t="s">
        <v>4673</v>
      </c>
      <c r="Q1571" s="174"/>
      <c r="R1571" s="183">
        <v>26</v>
      </c>
      <c r="S1571" s="185"/>
      <c r="T1571" s="183">
        <v>15</v>
      </c>
      <c r="U1571" s="185"/>
      <c r="V1571" s="173" t="s">
        <v>4695</v>
      </c>
      <c r="W1571" s="174"/>
      <c r="X1571" s="227">
        <v>240</v>
      </c>
      <c r="Y1571" s="228"/>
      <c r="Z1571" s="229"/>
      <c r="AA1571" s="110" t="s">
        <v>1090</v>
      </c>
      <c r="AB1571" s="111"/>
      <c r="AC1571" s="225"/>
      <c r="AD1571" s="226"/>
      <c r="AE1571" s="31"/>
      <c r="AF1571" s="290"/>
      <c r="AG1571" s="345"/>
      <c r="AH1571" s="291"/>
      <c r="AI1571" s="167"/>
      <c r="AJ1571" s="48"/>
      <c r="AK1571" s="15"/>
      <c r="AL1571" s="15"/>
    </row>
    <row r="1572" spans="1:38" ht="90" x14ac:dyDescent="0.25">
      <c r="A1572" s="178"/>
      <c r="B1572" s="303" t="s">
        <v>4699</v>
      </c>
      <c r="C1572" s="344"/>
      <c r="D1572" s="304"/>
      <c r="E1572" s="28" t="s">
        <v>4700</v>
      </c>
      <c r="F1572" s="233" t="s">
        <v>4701</v>
      </c>
      <c r="G1572" s="305"/>
      <c r="H1572" s="234"/>
      <c r="I1572" s="183">
        <v>4</v>
      </c>
      <c r="J1572" s="185"/>
      <c r="K1572" s="143" t="s">
        <v>4702</v>
      </c>
      <c r="L1572" s="145"/>
      <c r="M1572" s="285">
        <v>65</v>
      </c>
      <c r="N1572" s="400"/>
      <c r="O1572" s="286"/>
      <c r="P1572" s="173" t="s">
        <v>4703</v>
      </c>
      <c r="Q1572" s="174"/>
      <c r="R1572" s="112">
        <v>7</v>
      </c>
      <c r="S1572" s="113"/>
      <c r="T1572" s="183">
        <v>6</v>
      </c>
      <c r="U1572" s="185"/>
      <c r="V1572" s="173" t="s">
        <v>4704</v>
      </c>
      <c r="W1572" s="174"/>
      <c r="X1572" s="227">
        <v>105</v>
      </c>
      <c r="Y1572" s="228"/>
      <c r="Z1572" s="229"/>
      <c r="AA1572" s="110" t="s">
        <v>1081</v>
      </c>
      <c r="AB1572" s="111"/>
      <c r="AC1572" s="303" t="s">
        <v>3194</v>
      </c>
      <c r="AD1572" s="304"/>
      <c r="AE1572" s="35" t="s">
        <v>4706</v>
      </c>
      <c r="AF1572" s="164"/>
      <c r="AG1572" s="165"/>
      <c r="AH1572" s="166"/>
      <c r="AI1572" s="167"/>
      <c r="AJ1572" s="48"/>
      <c r="AK1572" s="15"/>
      <c r="AL1572" s="15"/>
    </row>
    <row r="1573" spans="1:38" ht="105" x14ac:dyDescent="0.25">
      <c r="A1573" s="179"/>
      <c r="B1573" s="292"/>
      <c r="C1573" s="314"/>
      <c r="D1573" s="293"/>
      <c r="E1573" s="28" t="s">
        <v>4708</v>
      </c>
      <c r="F1573" s="235"/>
      <c r="G1573" s="270"/>
      <c r="H1573" s="236"/>
      <c r="I1573" s="183">
        <v>4</v>
      </c>
      <c r="J1573" s="185"/>
      <c r="K1573" s="104" t="s">
        <v>4702</v>
      </c>
      <c r="L1573" s="105"/>
      <c r="M1573" s="180" t="s">
        <v>4709</v>
      </c>
      <c r="N1573" s="450"/>
      <c r="O1573" s="181"/>
      <c r="P1573" s="173" t="s">
        <v>4703</v>
      </c>
      <c r="Q1573" s="174"/>
      <c r="R1573" s="155">
        <v>7</v>
      </c>
      <c r="S1573" s="157"/>
      <c r="T1573" s="183">
        <v>6</v>
      </c>
      <c r="U1573" s="185"/>
      <c r="V1573" s="180" t="s">
        <v>4564</v>
      </c>
      <c r="W1573" s="181"/>
      <c r="X1573" s="227">
        <v>109</v>
      </c>
      <c r="Y1573" s="228"/>
      <c r="Z1573" s="229"/>
      <c r="AA1573" s="110" t="s">
        <v>1369</v>
      </c>
      <c r="AB1573" s="111"/>
      <c r="AC1573" s="292" t="s">
        <v>4705</v>
      </c>
      <c r="AD1573" s="293"/>
      <c r="AE1573" s="36" t="s">
        <v>1356</v>
      </c>
      <c r="AF1573" s="167"/>
      <c r="AG1573" s="168"/>
      <c r="AH1573" s="169"/>
      <c r="AI1573" s="167"/>
      <c r="AJ1573" s="48"/>
      <c r="AK1573" s="15"/>
      <c r="AL1573" s="15"/>
    </row>
    <row r="1574" spans="1:38" ht="90" x14ac:dyDescent="0.25">
      <c r="A1574" s="179"/>
      <c r="B1574" s="292"/>
      <c r="C1574" s="314"/>
      <c r="D1574" s="293"/>
      <c r="E1574" s="28" t="s">
        <v>4710</v>
      </c>
      <c r="F1574" s="235"/>
      <c r="G1574" s="270"/>
      <c r="H1574" s="236"/>
      <c r="I1574" s="183">
        <v>4</v>
      </c>
      <c r="J1574" s="185"/>
      <c r="K1574" s="104" t="s">
        <v>4702</v>
      </c>
      <c r="L1574" s="105"/>
      <c r="M1574" s="285">
        <v>65</v>
      </c>
      <c r="N1574" s="400"/>
      <c r="O1574" s="286"/>
      <c r="P1574" s="173" t="s">
        <v>4703</v>
      </c>
      <c r="Q1574" s="174"/>
      <c r="R1574" s="155">
        <v>7</v>
      </c>
      <c r="S1574" s="157"/>
      <c r="T1574" s="183">
        <v>6</v>
      </c>
      <c r="U1574" s="185"/>
      <c r="V1574" s="173" t="s">
        <v>4704</v>
      </c>
      <c r="W1574" s="174"/>
      <c r="X1574" s="227">
        <v>105</v>
      </c>
      <c r="Y1574" s="228"/>
      <c r="Z1574" s="229"/>
      <c r="AA1574" s="110" t="s">
        <v>1081</v>
      </c>
      <c r="AB1574" s="111"/>
      <c r="AC1574" s="292"/>
      <c r="AD1574" s="293"/>
      <c r="AE1574" s="36" t="s">
        <v>4707</v>
      </c>
      <c r="AF1574" s="167"/>
      <c r="AG1574" s="168"/>
      <c r="AH1574" s="169"/>
      <c r="AI1574" s="167"/>
      <c r="AJ1574" s="48"/>
      <c r="AK1574" s="15"/>
      <c r="AL1574" s="15"/>
    </row>
    <row r="1575" spans="1:38" ht="105" x14ac:dyDescent="0.25">
      <c r="A1575" s="179"/>
      <c r="B1575" s="292"/>
      <c r="C1575" s="314"/>
      <c r="D1575" s="293"/>
      <c r="E1575" s="28" t="s">
        <v>4711</v>
      </c>
      <c r="F1575" s="235"/>
      <c r="G1575" s="270"/>
      <c r="H1575" s="236"/>
      <c r="I1575" s="183">
        <v>4</v>
      </c>
      <c r="J1575" s="185"/>
      <c r="K1575" s="104" t="s">
        <v>4702</v>
      </c>
      <c r="L1575" s="105"/>
      <c r="M1575" s="180" t="s">
        <v>4709</v>
      </c>
      <c r="N1575" s="450"/>
      <c r="O1575" s="181"/>
      <c r="P1575" s="173" t="s">
        <v>4703</v>
      </c>
      <c r="Q1575" s="174"/>
      <c r="R1575" s="155">
        <v>7</v>
      </c>
      <c r="S1575" s="157"/>
      <c r="T1575" s="183">
        <v>6</v>
      </c>
      <c r="U1575" s="185"/>
      <c r="V1575" s="180" t="s">
        <v>4564</v>
      </c>
      <c r="W1575" s="181"/>
      <c r="X1575" s="227">
        <v>109</v>
      </c>
      <c r="Y1575" s="228"/>
      <c r="Z1575" s="229"/>
      <c r="AA1575" s="110" t="s">
        <v>1369</v>
      </c>
      <c r="AB1575" s="111"/>
      <c r="AC1575" s="292"/>
      <c r="AD1575" s="293"/>
      <c r="AE1575" s="36"/>
      <c r="AF1575" s="167"/>
      <c r="AG1575" s="168"/>
      <c r="AH1575" s="169"/>
      <c r="AI1575" s="167"/>
      <c r="AJ1575" s="48"/>
      <c r="AK1575" s="15"/>
      <c r="AL1575" s="15"/>
    </row>
    <row r="1576" spans="1:38" ht="90" x14ac:dyDescent="0.25">
      <c r="A1576" s="179"/>
      <c r="B1576" s="292"/>
      <c r="C1576" s="314"/>
      <c r="D1576" s="293"/>
      <c r="E1576" s="28" t="s">
        <v>4712</v>
      </c>
      <c r="F1576" s="235"/>
      <c r="G1576" s="270"/>
      <c r="H1576" s="236"/>
      <c r="I1576" s="183">
        <v>4</v>
      </c>
      <c r="J1576" s="185"/>
      <c r="K1576" s="104" t="s">
        <v>4702</v>
      </c>
      <c r="L1576" s="105"/>
      <c r="M1576" s="285">
        <v>65</v>
      </c>
      <c r="N1576" s="400"/>
      <c r="O1576" s="286"/>
      <c r="P1576" s="173" t="s">
        <v>4703</v>
      </c>
      <c r="Q1576" s="174"/>
      <c r="R1576" s="155">
        <v>7</v>
      </c>
      <c r="S1576" s="157"/>
      <c r="T1576" s="183">
        <v>6</v>
      </c>
      <c r="U1576" s="185"/>
      <c r="V1576" s="173" t="s">
        <v>4704</v>
      </c>
      <c r="W1576" s="174"/>
      <c r="X1576" s="227">
        <v>105</v>
      </c>
      <c r="Y1576" s="228"/>
      <c r="Z1576" s="229"/>
      <c r="AA1576" s="110" t="s">
        <v>1081</v>
      </c>
      <c r="AB1576" s="111"/>
      <c r="AC1576" s="292"/>
      <c r="AD1576" s="293"/>
      <c r="AE1576" s="36"/>
      <c r="AF1576" s="167"/>
      <c r="AG1576" s="168"/>
      <c r="AH1576" s="169"/>
      <c r="AI1576" s="167"/>
      <c r="AJ1576" s="48"/>
      <c r="AK1576" s="15"/>
      <c r="AL1576" s="15"/>
    </row>
    <row r="1577" spans="1:38" ht="105" x14ac:dyDescent="0.25">
      <c r="A1577" s="179"/>
      <c r="B1577" s="292"/>
      <c r="C1577" s="314"/>
      <c r="D1577" s="293"/>
      <c r="E1577" s="28" t="s">
        <v>4713</v>
      </c>
      <c r="F1577" s="235"/>
      <c r="G1577" s="270"/>
      <c r="H1577" s="236"/>
      <c r="I1577" s="183">
        <v>4</v>
      </c>
      <c r="J1577" s="185"/>
      <c r="K1577" s="104" t="s">
        <v>4702</v>
      </c>
      <c r="L1577" s="105"/>
      <c r="M1577" s="180" t="s">
        <v>4709</v>
      </c>
      <c r="N1577" s="450"/>
      <c r="O1577" s="181"/>
      <c r="P1577" s="173" t="s">
        <v>4703</v>
      </c>
      <c r="Q1577" s="174"/>
      <c r="R1577" s="155">
        <v>7</v>
      </c>
      <c r="S1577" s="157"/>
      <c r="T1577" s="183">
        <v>6</v>
      </c>
      <c r="U1577" s="185"/>
      <c r="V1577" s="180" t="s">
        <v>4564</v>
      </c>
      <c r="W1577" s="181"/>
      <c r="X1577" s="227">
        <v>109</v>
      </c>
      <c r="Y1577" s="228"/>
      <c r="Z1577" s="229"/>
      <c r="AA1577" s="110" t="s">
        <v>1369</v>
      </c>
      <c r="AB1577" s="111"/>
      <c r="AC1577" s="292"/>
      <c r="AD1577" s="293"/>
      <c r="AE1577" s="36"/>
      <c r="AF1577" s="167"/>
      <c r="AG1577" s="168"/>
      <c r="AH1577" s="169"/>
      <c r="AI1577" s="167"/>
      <c r="AJ1577" s="48"/>
      <c r="AK1577" s="15"/>
      <c r="AL1577" s="15"/>
    </row>
    <row r="1578" spans="1:38" ht="90" x14ac:dyDescent="0.25">
      <c r="A1578" s="179"/>
      <c r="B1578" s="292"/>
      <c r="C1578" s="314"/>
      <c r="D1578" s="293"/>
      <c r="E1578" s="28" t="s">
        <v>4714</v>
      </c>
      <c r="F1578" s="235"/>
      <c r="G1578" s="270"/>
      <c r="H1578" s="236"/>
      <c r="I1578" s="183">
        <v>4</v>
      </c>
      <c r="J1578" s="185"/>
      <c r="K1578" s="104" t="s">
        <v>4702</v>
      </c>
      <c r="L1578" s="105"/>
      <c r="M1578" s="285">
        <v>65</v>
      </c>
      <c r="N1578" s="400"/>
      <c r="O1578" s="286"/>
      <c r="P1578" s="173" t="s">
        <v>4703</v>
      </c>
      <c r="Q1578" s="174"/>
      <c r="R1578" s="155">
        <v>7</v>
      </c>
      <c r="S1578" s="157"/>
      <c r="T1578" s="183">
        <v>6</v>
      </c>
      <c r="U1578" s="185"/>
      <c r="V1578" s="173" t="s">
        <v>4704</v>
      </c>
      <c r="W1578" s="174"/>
      <c r="X1578" s="227">
        <v>105</v>
      </c>
      <c r="Y1578" s="228"/>
      <c r="Z1578" s="229"/>
      <c r="AA1578" s="110" t="s">
        <v>1081</v>
      </c>
      <c r="AB1578" s="111"/>
      <c r="AC1578" s="292"/>
      <c r="AD1578" s="293"/>
      <c r="AE1578" s="36"/>
      <c r="AF1578" s="167"/>
      <c r="AG1578" s="168"/>
      <c r="AH1578" s="169"/>
      <c r="AI1578" s="167"/>
      <c r="AJ1578" s="48"/>
      <c r="AK1578" s="15"/>
      <c r="AL1578" s="15"/>
    </row>
    <row r="1579" spans="1:38" ht="105" x14ac:dyDescent="0.25">
      <c r="A1579" s="179"/>
      <c r="B1579" s="292"/>
      <c r="C1579" s="314"/>
      <c r="D1579" s="293"/>
      <c r="E1579" s="28" t="s">
        <v>4715</v>
      </c>
      <c r="F1579" s="237"/>
      <c r="G1579" s="306"/>
      <c r="H1579" s="238"/>
      <c r="I1579" s="183">
        <v>4</v>
      </c>
      <c r="J1579" s="185"/>
      <c r="K1579" s="146" t="s">
        <v>4702</v>
      </c>
      <c r="L1579" s="148"/>
      <c r="M1579" s="180" t="s">
        <v>4709</v>
      </c>
      <c r="N1579" s="450"/>
      <c r="O1579" s="181"/>
      <c r="P1579" s="173" t="s">
        <v>4703</v>
      </c>
      <c r="Q1579" s="174"/>
      <c r="R1579" s="160">
        <v>7</v>
      </c>
      <c r="S1579" s="161"/>
      <c r="T1579" s="183">
        <v>6</v>
      </c>
      <c r="U1579" s="185"/>
      <c r="V1579" s="180" t="s">
        <v>4564</v>
      </c>
      <c r="W1579" s="181"/>
      <c r="X1579" s="227">
        <v>109</v>
      </c>
      <c r="Y1579" s="228"/>
      <c r="Z1579" s="229"/>
      <c r="AA1579" s="110" t="s">
        <v>1369</v>
      </c>
      <c r="AB1579" s="111"/>
      <c r="AC1579" s="292"/>
      <c r="AD1579" s="293"/>
      <c r="AE1579" s="36"/>
      <c r="AF1579" s="167"/>
      <c r="AG1579" s="168"/>
      <c r="AH1579" s="169"/>
      <c r="AI1579" s="167"/>
      <c r="AJ1579" s="48"/>
      <c r="AK1579" s="15"/>
      <c r="AL1579" s="15"/>
    </row>
    <row r="1580" spans="1:38" ht="105" x14ac:dyDescent="0.25">
      <c r="A1580" s="179"/>
      <c r="B1580" s="292"/>
      <c r="C1580" s="314"/>
      <c r="D1580" s="293"/>
      <c r="E1580" s="28" t="s">
        <v>4716</v>
      </c>
      <c r="F1580" s="233" t="s">
        <v>4717</v>
      </c>
      <c r="G1580" s="305"/>
      <c r="H1580" s="234"/>
      <c r="I1580" s="183">
        <v>8</v>
      </c>
      <c r="J1580" s="185"/>
      <c r="K1580" s="143" t="s">
        <v>2444</v>
      </c>
      <c r="L1580" s="145"/>
      <c r="M1580" s="183">
        <v>80</v>
      </c>
      <c r="N1580" s="184"/>
      <c r="O1580" s="185"/>
      <c r="P1580" s="173" t="s">
        <v>1062</v>
      </c>
      <c r="Q1580" s="174"/>
      <c r="R1580" s="112">
        <v>13</v>
      </c>
      <c r="S1580" s="113"/>
      <c r="T1580" s="183">
        <v>8</v>
      </c>
      <c r="U1580" s="185"/>
      <c r="V1580" s="173" t="s">
        <v>4718</v>
      </c>
      <c r="W1580" s="174"/>
      <c r="X1580" s="227">
        <v>139</v>
      </c>
      <c r="Y1580" s="228"/>
      <c r="Z1580" s="229"/>
      <c r="AA1580" s="110" t="s">
        <v>1081</v>
      </c>
      <c r="AB1580" s="111"/>
      <c r="AC1580" s="292"/>
      <c r="AD1580" s="293"/>
      <c r="AE1580" s="36"/>
      <c r="AF1580" s="167"/>
      <c r="AG1580" s="168"/>
      <c r="AH1580" s="169"/>
      <c r="AI1580" s="167"/>
      <c r="AJ1580" s="48"/>
      <c r="AK1580" s="15"/>
      <c r="AL1580" s="15"/>
    </row>
    <row r="1581" spans="1:38" ht="105" x14ac:dyDescent="0.25">
      <c r="A1581" s="179"/>
      <c r="B1581" s="292"/>
      <c r="C1581" s="314"/>
      <c r="D1581" s="293"/>
      <c r="E1581" s="28" t="s">
        <v>4719</v>
      </c>
      <c r="F1581" s="235"/>
      <c r="G1581" s="270"/>
      <c r="H1581" s="236"/>
      <c r="I1581" s="183">
        <v>8</v>
      </c>
      <c r="J1581" s="185"/>
      <c r="K1581" s="104" t="s">
        <v>2444</v>
      </c>
      <c r="L1581" s="105"/>
      <c r="M1581" s="183">
        <v>90</v>
      </c>
      <c r="N1581" s="184"/>
      <c r="O1581" s="185"/>
      <c r="P1581" s="173" t="s">
        <v>1062</v>
      </c>
      <c r="Q1581" s="174"/>
      <c r="R1581" s="155">
        <v>13</v>
      </c>
      <c r="S1581" s="157"/>
      <c r="T1581" s="183">
        <v>8</v>
      </c>
      <c r="U1581" s="185"/>
      <c r="V1581" s="173" t="s">
        <v>4720</v>
      </c>
      <c r="W1581" s="174"/>
      <c r="X1581" s="227">
        <v>149</v>
      </c>
      <c r="Y1581" s="228"/>
      <c r="Z1581" s="229"/>
      <c r="AA1581" s="110" t="s">
        <v>975</v>
      </c>
      <c r="AB1581" s="111"/>
      <c r="AC1581" s="292"/>
      <c r="AD1581" s="293"/>
      <c r="AE1581" s="36"/>
      <c r="AF1581" s="167"/>
      <c r="AG1581" s="168"/>
      <c r="AH1581" s="169"/>
      <c r="AI1581" s="167"/>
      <c r="AJ1581" s="48"/>
      <c r="AK1581" s="15"/>
      <c r="AL1581" s="15"/>
    </row>
    <row r="1582" spans="1:38" ht="105" x14ac:dyDescent="0.25">
      <c r="A1582" s="179"/>
      <c r="B1582" s="292"/>
      <c r="C1582" s="314"/>
      <c r="D1582" s="293"/>
      <c r="E1582" s="28" t="s">
        <v>4721</v>
      </c>
      <c r="F1582" s="235"/>
      <c r="G1582" s="270"/>
      <c r="H1582" s="236"/>
      <c r="I1582" s="183">
        <v>8</v>
      </c>
      <c r="J1582" s="185"/>
      <c r="K1582" s="104" t="s">
        <v>2444</v>
      </c>
      <c r="L1582" s="105"/>
      <c r="M1582" s="183">
        <v>80</v>
      </c>
      <c r="N1582" s="184"/>
      <c r="O1582" s="185"/>
      <c r="P1582" s="173" t="s">
        <v>1062</v>
      </c>
      <c r="Q1582" s="174"/>
      <c r="R1582" s="155">
        <v>13</v>
      </c>
      <c r="S1582" s="157"/>
      <c r="T1582" s="183">
        <v>8</v>
      </c>
      <c r="U1582" s="185"/>
      <c r="V1582" s="173" t="s">
        <v>4718</v>
      </c>
      <c r="W1582" s="174"/>
      <c r="X1582" s="227">
        <v>139</v>
      </c>
      <c r="Y1582" s="228"/>
      <c r="Z1582" s="229"/>
      <c r="AA1582" s="110" t="s">
        <v>1081</v>
      </c>
      <c r="AB1582" s="111"/>
      <c r="AC1582" s="292"/>
      <c r="AD1582" s="293"/>
      <c r="AE1582" s="36"/>
      <c r="AF1582" s="167"/>
      <c r="AG1582" s="168"/>
      <c r="AH1582" s="169"/>
      <c r="AI1582" s="167"/>
      <c r="AJ1582" s="48"/>
      <c r="AK1582" s="15"/>
      <c r="AL1582" s="15"/>
    </row>
    <row r="1583" spans="1:38" ht="90" x14ac:dyDescent="0.25">
      <c r="A1583" s="179"/>
      <c r="B1583" s="292"/>
      <c r="C1583" s="314"/>
      <c r="D1583" s="293"/>
      <c r="E1583" s="28" t="s">
        <v>4722</v>
      </c>
      <c r="F1583" s="235"/>
      <c r="G1583" s="270"/>
      <c r="H1583" s="236"/>
      <c r="I1583" s="183">
        <v>8</v>
      </c>
      <c r="J1583" s="185"/>
      <c r="K1583" s="104" t="s">
        <v>2444</v>
      </c>
      <c r="L1583" s="105"/>
      <c r="M1583" s="183">
        <v>90</v>
      </c>
      <c r="N1583" s="184"/>
      <c r="O1583" s="185"/>
      <c r="P1583" s="173" t="s">
        <v>1062</v>
      </c>
      <c r="Q1583" s="174"/>
      <c r="R1583" s="155">
        <v>13</v>
      </c>
      <c r="S1583" s="157"/>
      <c r="T1583" s="183">
        <v>8</v>
      </c>
      <c r="U1583" s="185"/>
      <c r="V1583" s="173" t="s">
        <v>4720</v>
      </c>
      <c r="W1583" s="174"/>
      <c r="X1583" s="227">
        <v>149</v>
      </c>
      <c r="Y1583" s="228"/>
      <c r="Z1583" s="229"/>
      <c r="AA1583" s="110" t="s">
        <v>975</v>
      </c>
      <c r="AB1583" s="111"/>
      <c r="AC1583" s="292"/>
      <c r="AD1583" s="293"/>
      <c r="AE1583" s="36"/>
      <c r="AF1583" s="167"/>
      <c r="AG1583" s="168"/>
      <c r="AH1583" s="169"/>
      <c r="AI1583" s="167"/>
      <c r="AJ1583" s="48"/>
      <c r="AK1583" s="15"/>
      <c r="AL1583" s="15"/>
    </row>
    <row r="1584" spans="1:38" ht="105" x14ac:dyDescent="0.25">
      <c r="A1584" s="179"/>
      <c r="B1584" s="292"/>
      <c r="C1584" s="314"/>
      <c r="D1584" s="293"/>
      <c r="E1584" s="28" t="s">
        <v>4723</v>
      </c>
      <c r="F1584" s="235"/>
      <c r="G1584" s="270"/>
      <c r="H1584" s="236"/>
      <c r="I1584" s="183">
        <v>8</v>
      </c>
      <c r="J1584" s="185"/>
      <c r="K1584" s="104" t="s">
        <v>2444</v>
      </c>
      <c r="L1584" s="105"/>
      <c r="M1584" s="183">
        <v>80</v>
      </c>
      <c r="N1584" s="184"/>
      <c r="O1584" s="185"/>
      <c r="P1584" s="173" t="s">
        <v>1062</v>
      </c>
      <c r="Q1584" s="174"/>
      <c r="R1584" s="155">
        <v>13</v>
      </c>
      <c r="S1584" s="157"/>
      <c r="T1584" s="183">
        <v>8</v>
      </c>
      <c r="U1584" s="185"/>
      <c r="V1584" s="173" t="s">
        <v>4718</v>
      </c>
      <c r="W1584" s="174"/>
      <c r="X1584" s="227">
        <v>139</v>
      </c>
      <c r="Y1584" s="228"/>
      <c r="Z1584" s="229"/>
      <c r="AA1584" s="110" t="s">
        <v>1081</v>
      </c>
      <c r="AB1584" s="111"/>
      <c r="AC1584" s="292"/>
      <c r="AD1584" s="293"/>
      <c r="AE1584" s="36"/>
      <c r="AF1584" s="167"/>
      <c r="AG1584" s="168"/>
      <c r="AH1584" s="169"/>
      <c r="AI1584" s="167"/>
      <c r="AJ1584" s="48"/>
      <c r="AK1584" s="15"/>
      <c r="AL1584" s="15"/>
    </row>
    <row r="1585" spans="1:38" ht="90" x14ac:dyDescent="0.25">
      <c r="A1585" s="179"/>
      <c r="B1585" s="292"/>
      <c r="C1585" s="314"/>
      <c r="D1585" s="293"/>
      <c r="E1585" s="28" t="s">
        <v>4724</v>
      </c>
      <c r="F1585" s="235"/>
      <c r="G1585" s="270"/>
      <c r="H1585" s="236"/>
      <c r="I1585" s="183">
        <v>8</v>
      </c>
      <c r="J1585" s="185"/>
      <c r="K1585" s="104" t="s">
        <v>2444</v>
      </c>
      <c r="L1585" s="105"/>
      <c r="M1585" s="183">
        <v>90</v>
      </c>
      <c r="N1585" s="184"/>
      <c r="O1585" s="185"/>
      <c r="P1585" s="173" t="s">
        <v>1062</v>
      </c>
      <c r="Q1585" s="174"/>
      <c r="R1585" s="155">
        <v>13</v>
      </c>
      <c r="S1585" s="157"/>
      <c r="T1585" s="183">
        <v>8</v>
      </c>
      <c r="U1585" s="185"/>
      <c r="V1585" s="173" t="s">
        <v>4720</v>
      </c>
      <c r="W1585" s="174"/>
      <c r="X1585" s="227">
        <v>149</v>
      </c>
      <c r="Y1585" s="228"/>
      <c r="Z1585" s="229"/>
      <c r="AA1585" s="110" t="s">
        <v>975</v>
      </c>
      <c r="AB1585" s="111"/>
      <c r="AC1585" s="292"/>
      <c r="AD1585" s="293"/>
      <c r="AE1585" s="36"/>
      <c r="AF1585" s="167"/>
      <c r="AG1585" s="168"/>
      <c r="AH1585" s="169"/>
      <c r="AI1585" s="167"/>
      <c r="AJ1585" s="48"/>
      <c r="AK1585" s="15"/>
      <c r="AL1585" s="15"/>
    </row>
    <row r="1586" spans="1:38" ht="105" x14ac:dyDescent="0.25">
      <c r="A1586" s="179"/>
      <c r="B1586" s="292"/>
      <c r="C1586" s="314"/>
      <c r="D1586" s="293"/>
      <c r="E1586" s="28" t="s">
        <v>4725</v>
      </c>
      <c r="F1586" s="235"/>
      <c r="G1586" s="270"/>
      <c r="H1586" s="236"/>
      <c r="I1586" s="183">
        <v>8</v>
      </c>
      <c r="J1586" s="185"/>
      <c r="K1586" s="104" t="s">
        <v>2444</v>
      </c>
      <c r="L1586" s="105"/>
      <c r="M1586" s="183">
        <v>80</v>
      </c>
      <c r="N1586" s="184"/>
      <c r="O1586" s="185"/>
      <c r="P1586" s="173" t="s">
        <v>1062</v>
      </c>
      <c r="Q1586" s="174"/>
      <c r="R1586" s="155">
        <v>13</v>
      </c>
      <c r="S1586" s="157"/>
      <c r="T1586" s="183">
        <v>8</v>
      </c>
      <c r="U1586" s="185"/>
      <c r="V1586" s="173" t="s">
        <v>4718</v>
      </c>
      <c r="W1586" s="174"/>
      <c r="X1586" s="227">
        <v>139</v>
      </c>
      <c r="Y1586" s="228"/>
      <c r="Z1586" s="229"/>
      <c r="AA1586" s="110" t="s">
        <v>1081</v>
      </c>
      <c r="AB1586" s="111"/>
      <c r="AC1586" s="292"/>
      <c r="AD1586" s="293"/>
      <c r="AE1586" s="36"/>
      <c r="AF1586" s="167"/>
      <c r="AG1586" s="168"/>
      <c r="AH1586" s="169"/>
      <c r="AI1586" s="167"/>
      <c r="AJ1586" s="48"/>
      <c r="AK1586" s="15"/>
      <c r="AL1586" s="15"/>
    </row>
    <row r="1587" spans="1:38" ht="90" x14ac:dyDescent="0.25">
      <c r="A1587" s="179"/>
      <c r="B1587" s="292"/>
      <c r="C1587" s="314"/>
      <c r="D1587" s="293"/>
      <c r="E1587" s="28" t="s">
        <v>4726</v>
      </c>
      <c r="F1587" s="237"/>
      <c r="G1587" s="306"/>
      <c r="H1587" s="238"/>
      <c r="I1587" s="183">
        <v>8</v>
      </c>
      <c r="J1587" s="185"/>
      <c r="K1587" s="146" t="s">
        <v>2444</v>
      </c>
      <c r="L1587" s="148"/>
      <c r="M1587" s="183">
        <v>90</v>
      </c>
      <c r="N1587" s="184"/>
      <c r="O1587" s="185"/>
      <c r="P1587" s="173" t="s">
        <v>1062</v>
      </c>
      <c r="Q1587" s="174"/>
      <c r="R1587" s="160">
        <v>13</v>
      </c>
      <c r="S1587" s="161"/>
      <c r="T1587" s="183">
        <v>8</v>
      </c>
      <c r="U1587" s="185"/>
      <c r="V1587" s="173" t="s">
        <v>4720</v>
      </c>
      <c r="W1587" s="174"/>
      <c r="X1587" s="227">
        <v>149</v>
      </c>
      <c r="Y1587" s="228"/>
      <c r="Z1587" s="229"/>
      <c r="AA1587" s="110" t="s">
        <v>975</v>
      </c>
      <c r="AB1587" s="111"/>
      <c r="AC1587" s="292"/>
      <c r="AD1587" s="293"/>
      <c r="AE1587" s="36"/>
      <c r="AF1587" s="167"/>
      <c r="AG1587" s="168"/>
      <c r="AH1587" s="169"/>
      <c r="AI1587" s="167"/>
      <c r="AJ1587" s="48"/>
      <c r="AK1587" s="15"/>
      <c r="AL1587" s="15"/>
    </row>
    <row r="1588" spans="1:38" ht="105" x14ac:dyDescent="0.25">
      <c r="A1588" s="179"/>
      <c r="B1588" s="292"/>
      <c r="C1588" s="314"/>
      <c r="D1588" s="293"/>
      <c r="E1588" s="28" t="s">
        <v>4727</v>
      </c>
      <c r="F1588" s="233" t="s">
        <v>4728</v>
      </c>
      <c r="G1588" s="305"/>
      <c r="H1588" s="234"/>
      <c r="I1588" s="183">
        <v>9</v>
      </c>
      <c r="J1588" s="185"/>
      <c r="K1588" s="143" t="s">
        <v>4729</v>
      </c>
      <c r="L1588" s="145"/>
      <c r="M1588" s="183">
        <v>91</v>
      </c>
      <c r="N1588" s="184"/>
      <c r="O1588" s="185"/>
      <c r="P1588" s="173" t="s">
        <v>1071</v>
      </c>
      <c r="Q1588" s="174"/>
      <c r="R1588" s="88" t="s">
        <v>977</v>
      </c>
      <c r="S1588" s="89"/>
      <c r="T1588" s="183">
        <v>8</v>
      </c>
      <c r="U1588" s="185"/>
      <c r="V1588" s="180" t="s">
        <v>4730</v>
      </c>
      <c r="W1588" s="181"/>
      <c r="X1588" s="227">
        <v>159</v>
      </c>
      <c r="Y1588" s="228"/>
      <c r="Z1588" s="229"/>
      <c r="AA1588" s="110" t="s">
        <v>1181</v>
      </c>
      <c r="AB1588" s="111"/>
      <c r="AC1588" s="292"/>
      <c r="AD1588" s="293"/>
      <c r="AE1588" s="36"/>
      <c r="AF1588" s="167"/>
      <c r="AG1588" s="168"/>
      <c r="AH1588" s="169"/>
      <c r="AI1588" s="167"/>
      <c r="AJ1588" s="48"/>
      <c r="AK1588" s="15"/>
      <c r="AL1588" s="15"/>
    </row>
    <row r="1589" spans="1:38" ht="105" x14ac:dyDescent="0.25">
      <c r="A1589" s="179"/>
      <c r="B1589" s="292"/>
      <c r="C1589" s="314"/>
      <c r="D1589" s="293"/>
      <c r="E1589" s="28" t="s">
        <v>4731</v>
      </c>
      <c r="F1589" s="235"/>
      <c r="G1589" s="270"/>
      <c r="H1589" s="236"/>
      <c r="I1589" s="183">
        <v>9</v>
      </c>
      <c r="J1589" s="185"/>
      <c r="K1589" s="104" t="s">
        <v>4729</v>
      </c>
      <c r="L1589" s="105"/>
      <c r="M1589" s="183">
        <v>101</v>
      </c>
      <c r="N1589" s="184"/>
      <c r="O1589" s="185"/>
      <c r="P1589" s="173" t="s">
        <v>1071</v>
      </c>
      <c r="Q1589" s="174"/>
      <c r="R1589" s="126" t="s">
        <v>977</v>
      </c>
      <c r="S1589" s="127"/>
      <c r="T1589" s="183">
        <v>8</v>
      </c>
      <c r="U1589" s="185"/>
      <c r="V1589" s="180" t="s">
        <v>4732</v>
      </c>
      <c r="W1589" s="181"/>
      <c r="X1589" s="227">
        <v>169</v>
      </c>
      <c r="Y1589" s="228"/>
      <c r="Z1589" s="229"/>
      <c r="AA1589" s="110" t="s">
        <v>1369</v>
      </c>
      <c r="AB1589" s="111"/>
      <c r="AC1589" s="292"/>
      <c r="AD1589" s="293"/>
      <c r="AE1589" s="36"/>
      <c r="AF1589" s="167"/>
      <c r="AG1589" s="168"/>
      <c r="AH1589" s="169"/>
      <c r="AI1589" s="167"/>
      <c r="AJ1589" s="48"/>
      <c r="AK1589" s="15"/>
      <c r="AL1589" s="15"/>
    </row>
    <row r="1590" spans="1:38" ht="90" x14ac:dyDescent="0.25">
      <c r="A1590" s="179"/>
      <c r="B1590" s="292"/>
      <c r="C1590" s="314"/>
      <c r="D1590" s="293"/>
      <c r="E1590" s="28" t="s">
        <v>4733</v>
      </c>
      <c r="F1590" s="235"/>
      <c r="G1590" s="270"/>
      <c r="H1590" s="236"/>
      <c r="I1590" s="183">
        <v>9</v>
      </c>
      <c r="J1590" s="185"/>
      <c r="K1590" s="104" t="s">
        <v>4729</v>
      </c>
      <c r="L1590" s="105"/>
      <c r="M1590" s="183">
        <v>91</v>
      </c>
      <c r="N1590" s="184"/>
      <c r="O1590" s="185"/>
      <c r="P1590" s="173" t="s">
        <v>1071</v>
      </c>
      <c r="Q1590" s="174"/>
      <c r="R1590" s="126" t="s">
        <v>977</v>
      </c>
      <c r="S1590" s="127"/>
      <c r="T1590" s="183">
        <v>8</v>
      </c>
      <c r="U1590" s="185"/>
      <c r="V1590" s="180" t="s">
        <v>4730</v>
      </c>
      <c r="W1590" s="181"/>
      <c r="X1590" s="227">
        <v>159</v>
      </c>
      <c r="Y1590" s="228"/>
      <c r="Z1590" s="229"/>
      <c r="AA1590" s="110" t="s">
        <v>1181</v>
      </c>
      <c r="AB1590" s="111"/>
      <c r="AC1590" s="292"/>
      <c r="AD1590" s="293"/>
      <c r="AE1590" s="36"/>
      <c r="AF1590" s="167"/>
      <c r="AG1590" s="168"/>
      <c r="AH1590" s="169"/>
      <c r="AI1590" s="167"/>
      <c r="AJ1590" s="48"/>
      <c r="AK1590" s="15"/>
      <c r="AL1590" s="15"/>
    </row>
    <row r="1591" spans="1:38" ht="90" x14ac:dyDescent="0.25">
      <c r="A1591" s="179"/>
      <c r="B1591" s="292"/>
      <c r="C1591" s="314"/>
      <c r="D1591" s="293"/>
      <c r="E1591" s="28" t="s">
        <v>4734</v>
      </c>
      <c r="F1591" s="235"/>
      <c r="G1591" s="270"/>
      <c r="H1591" s="236"/>
      <c r="I1591" s="183">
        <v>9</v>
      </c>
      <c r="J1591" s="185"/>
      <c r="K1591" s="104" t="s">
        <v>4729</v>
      </c>
      <c r="L1591" s="105"/>
      <c r="M1591" s="183">
        <v>101</v>
      </c>
      <c r="N1591" s="184"/>
      <c r="O1591" s="185"/>
      <c r="P1591" s="173" t="s">
        <v>1071</v>
      </c>
      <c r="Q1591" s="174"/>
      <c r="R1591" s="126" t="s">
        <v>977</v>
      </c>
      <c r="S1591" s="127"/>
      <c r="T1591" s="183">
        <v>8</v>
      </c>
      <c r="U1591" s="185"/>
      <c r="V1591" s="180" t="s">
        <v>4732</v>
      </c>
      <c r="W1591" s="181"/>
      <c r="X1591" s="227">
        <v>169</v>
      </c>
      <c r="Y1591" s="228"/>
      <c r="Z1591" s="229"/>
      <c r="AA1591" s="110" t="s">
        <v>1369</v>
      </c>
      <c r="AB1591" s="111"/>
      <c r="AC1591" s="292"/>
      <c r="AD1591" s="293"/>
      <c r="AE1591" s="36"/>
      <c r="AF1591" s="167"/>
      <c r="AG1591" s="168"/>
      <c r="AH1591" s="169"/>
      <c r="AI1591" s="167"/>
      <c r="AJ1591" s="48"/>
      <c r="AK1591" s="15"/>
      <c r="AL1591" s="15"/>
    </row>
    <row r="1592" spans="1:38" ht="90" x14ac:dyDescent="0.25">
      <c r="A1592" s="179"/>
      <c r="B1592" s="292"/>
      <c r="C1592" s="314"/>
      <c r="D1592" s="293"/>
      <c r="E1592" s="28" t="s">
        <v>4735</v>
      </c>
      <c r="F1592" s="235"/>
      <c r="G1592" s="270"/>
      <c r="H1592" s="236"/>
      <c r="I1592" s="183">
        <v>9</v>
      </c>
      <c r="J1592" s="185"/>
      <c r="K1592" s="104" t="s">
        <v>4729</v>
      </c>
      <c r="L1592" s="105"/>
      <c r="M1592" s="183">
        <v>91</v>
      </c>
      <c r="N1592" s="184"/>
      <c r="O1592" s="185"/>
      <c r="P1592" s="173" t="s">
        <v>1071</v>
      </c>
      <c r="Q1592" s="174"/>
      <c r="R1592" s="126" t="s">
        <v>977</v>
      </c>
      <c r="S1592" s="127"/>
      <c r="T1592" s="183">
        <v>8</v>
      </c>
      <c r="U1592" s="185"/>
      <c r="V1592" s="180" t="s">
        <v>4730</v>
      </c>
      <c r="W1592" s="181"/>
      <c r="X1592" s="227">
        <v>159</v>
      </c>
      <c r="Y1592" s="228"/>
      <c r="Z1592" s="229"/>
      <c r="AA1592" s="110" t="s">
        <v>1181</v>
      </c>
      <c r="AB1592" s="111"/>
      <c r="AC1592" s="292"/>
      <c r="AD1592" s="293"/>
      <c r="AE1592" s="36"/>
      <c r="AF1592" s="167"/>
      <c r="AG1592" s="168"/>
      <c r="AH1592" s="169"/>
      <c r="AI1592" s="167"/>
      <c r="AJ1592" s="48"/>
      <c r="AK1592" s="15"/>
      <c r="AL1592" s="15"/>
    </row>
    <row r="1593" spans="1:38" ht="90" x14ac:dyDescent="0.25">
      <c r="A1593" s="179"/>
      <c r="B1593" s="292"/>
      <c r="C1593" s="314"/>
      <c r="D1593" s="293"/>
      <c r="E1593" s="28" t="s">
        <v>4736</v>
      </c>
      <c r="F1593" s="235"/>
      <c r="G1593" s="270"/>
      <c r="H1593" s="236"/>
      <c r="I1593" s="183">
        <v>9</v>
      </c>
      <c r="J1593" s="185"/>
      <c r="K1593" s="104" t="s">
        <v>4729</v>
      </c>
      <c r="L1593" s="105"/>
      <c r="M1593" s="183">
        <v>101</v>
      </c>
      <c r="N1593" s="184"/>
      <c r="O1593" s="185"/>
      <c r="P1593" s="173" t="s">
        <v>1071</v>
      </c>
      <c r="Q1593" s="174"/>
      <c r="R1593" s="126" t="s">
        <v>977</v>
      </c>
      <c r="S1593" s="127"/>
      <c r="T1593" s="183">
        <v>8</v>
      </c>
      <c r="U1593" s="185"/>
      <c r="V1593" s="180" t="s">
        <v>4732</v>
      </c>
      <c r="W1593" s="181"/>
      <c r="X1593" s="227">
        <v>169</v>
      </c>
      <c r="Y1593" s="228"/>
      <c r="Z1593" s="229"/>
      <c r="AA1593" s="110" t="s">
        <v>1369</v>
      </c>
      <c r="AB1593" s="111"/>
      <c r="AC1593" s="292"/>
      <c r="AD1593" s="293"/>
      <c r="AE1593" s="36"/>
      <c r="AF1593" s="167"/>
      <c r="AG1593" s="168"/>
      <c r="AH1593" s="169"/>
      <c r="AI1593" s="167"/>
      <c r="AJ1593" s="48"/>
      <c r="AK1593" s="15"/>
      <c r="AL1593" s="15"/>
    </row>
    <row r="1594" spans="1:38" ht="105" x14ac:dyDescent="0.25">
      <c r="A1594" s="179"/>
      <c r="B1594" s="292"/>
      <c r="C1594" s="314"/>
      <c r="D1594" s="293"/>
      <c r="E1594" s="28" t="s">
        <v>4737</v>
      </c>
      <c r="F1594" s="235"/>
      <c r="G1594" s="270"/>
      <c r="H1594" s="236"/>
      <c r="I1594" s="183">
        <v>9</v>
      </c>
      <c r="J1594" s="185"/>
      <c r="K1594" s="104" t="s">
        <v>4729</v>
      </c>
      <c r="L1594" s="105"/>
      <c r="M1594" s="183">
        <v>91</v>
      </c>
      <c r="N1594" s="184"/>
      <c r="O1594" s="185"/>
      <c r="P1594" s="173" t="s">
        <v>1071</v>
      </c>
      <c r="Q1594" s="174"/>
      <c r="R1594" s="126" t="s">
        <v>977</v>
      </c>
      <c r="S1594" s="127"/>
      <c r="T1594" s="183">
        <v>8</v>
      </c>
      <c r="U1594" s="185"/>
      <c r="V1594" s="180" t="s">
        <v>4730</v>
      </c>
      <c r="W1594" s="181"/>
      <c r="X1594" s="227">
        <v>159</v>
      </c>
      <c r="Y1594" s="228"/>
      <c r="Z1594" s="229"/>
      <c r="AA1594" s="110" t="s">
        <v>1181</v>
      </c>
      <c r="AB1594" s="111"/>
      <c r="AC1594" s="292"/>
      <c r="AD1594" s="293"/>
      <c r="AE1594" s="36"/>
      <c r="AF1594" s="167"/>
      <c r="AG1594" s="168"/>
      <c r="AH1594" s="169"/>
      <c r="AI1594" s="167"/>
      <c r="AJ1594" s="48"/>
      <c r="AK1594" s="15"/>
      <c r="AL1594" s="15"/>
    </row>
    <row r="1595" spans="1:38" ht="105" x14ac:dyDescent="0.25">
      <c r="A1595" s="230"/>
      <c r="B1595" s="290"/>
      <c r="C1595" s="345"/>
      <c r="D1595" s="291"/>
      <c r="E1595" s="28" t="s">
        <v>4738</v>
      </c>
      <c r="F1595" s="237"/>
      <c r="G1595" s="306"/>
      <c r="H1595" s="238"/>
      <c r="I1595" s="183">
        <v>9</v>
      </c>
      <c r="J1595" s="185"/>
      <c r="K1595" s="146" t="s">
        <v>4729</v>
      </c>
      <c r="L1595" s="148"/>
      <c r="M1595" s="183">
        <v>101</v>
      </c>
      <c r="N1595" s="184"/>
      <c r="O1595" s="185"/>
      <c r="P1595" s="173" t="s">
        <v>1071</v>
      </c>
      <c r="Q1595" s="174"/>
      <c r="R1595" s="117" t="s">
        <v>977</v>
      </c>
      <c r="S1595" s="118"/>
      <c r="T1595" s="183">
        <v>8</v>
      </c>
      <c r="U1595" s="185"/>
      <c r="V1595" s="180" t="s">
        <v>4732</v>
      </c>
      <c r="W1595" s="181"/>
      <c r="X1595" s="227">
        <v>169</v>
      </c>
      <c r="Y1595" s="228"/>
      <c r="Z1595" s="229"/>
      <c r="AA1595" s="110" t="s">
        <v>1369</v>
      </c>
      <c r="AB1595" s="111"/>
      <c r="AC1595" s="290"/>
      <c r="AD1595" s="291"/>
      <c r="AE1595" s="36"/>
      <c r="AF1595" s="214"/>
      <c r="AG1595" s="215"/>
      <c r="AH1595" s="216"/>
      <c r="AI1595" s="167"/>
      <c r="AJ1595" s="48"/>
      <c r="AK1595" s="15"/>
      <c r="AL1595" s="15"/>
    </row>
    <row r="1596" spans="1:38" ht="75" x14ac:dyDescent="0.3">
      <c r="A1596" s="178"/>
      <c r="B1596" s="223" t="s">
        <v>4739</v>
      </c>
      <c r="C1596" s="398"/>
      <c r="D1596" s="224"/>
      <c r="E1596" s="66" t="s">
        <v>4742</v>
      </c>
      <c r="F1596" s="88" t="s">
        <v>4743</v>
      </c>
      <c r="G1596" s="153"/>
      <c r="H1596" s="89"/>
      <c r="I1596" s="171" t="s">
        <v>4744</v>
      </c>
      <c r="J1596" s="172"/>
      <c r="K1596" s="171" t="s">
        <v>4746</v>
      </c>
      <c r="L1596" s="172"/>
      <c r="M1596" s="497">
        <v>255</v>
      </c>
      <c r="N1596" s="498"/>
      <c r="O1596" s="499"/>
      <c r="P1596" s="164"/>
      <c r="Q1596" s="166"/>
      <c r="R1596" s="387">
        <v>60</v>
      </c>
      <c r="S1596" s="388"/>
      <c r="T1596" s="164"/>
      <c r="U1596" s="166"/>
      <c r="V1596" s="491" t="s">
        <v>4747</v>
      </c>
      <c r="W1596" s="492"/>
      <c r="X1596" s="252">
        <v>388</v>
      </c>
      <c r="Y1596" s="253"/>
      <c r="Z1596" s="254"/>
      <c r="AA1596" s="192" t="s">
        <v>1062</v>
      </c>
      <c r="AB1596" s="193"/>
      <c r="AC1596" s="171" t="s">
        <v>3194</v>
      </c>
      <c r="AD1596" s="172"/>
      <c r="AE1596" s="24" t="s">
        <v>4751</v>
      </c>
      <c r="AF1596" s="164"/>
      <c r="AG1596" s="165"/>
      <c r="AH1596" s="166"/>
      <c r="AI1596" s="167"/>
      <c r="AJ1596" s="271"/>
      <c r="AK1596" s="15"/>
      <c r="AL1596" s="15"/>
    </row>
    <row r="1597" spans="1:38" ht="45" x14ac:dyDescent="0.3">
      <c r="A1597" s="179"/>
      <c r="B1597" s="239" t="s">
        <v>4740</v>
      </c>
      <c r="C1597" s="399"/>
      <c r="D1597" s="240"/>
      <c r="E1597" s="74"/>
      <c r="F1597" s="126"/>
      <c r="G1597" s="203"/>
      <c r="H1597" s="127"/>
      <c r="I1597" s="162" t="s">
        <v>4745</v>
      </c>
      <c r="J1597" s="163"/>
      <c r="K1597" s="162"/>
      <c r="L1597" s="163"/>
      <c r="M1597" s="503"/>
      <c r="N1597" s="504"/>
      <c r="O1597" s="505"/>
      <c r="P1597" s="167"/>
      <c r="Q1597" s="169"/>
      <c r="R1597" s="506"/>
      <c r="S1597" s="507"/>
      <c r="T1597" s="167"/>
      <c r="U1597" s="169"/>
      <c r="V1597" s="508"/>
      <c r="W1597" s="509"/>
      <c r="X1597" s="311"/>
      <c r="Y1597" s="312"/>
      <c r="Z1597" s="313"/>
      <c r="AA1597" s="272"/>
      <c r="AB1597" s="273"/>
      <c r="AC1597" s="162" t="s">
        <v>4748</v>
      </c>
      <c r="AD1597" s="163"/>
      <c r="AE1597" s="31" t="s">
        <v>1356</v>
      </c>
      <c r="AF1597" s="167"/>
      <c r="AG1597" s="168"/>
      <c r="AH1597" s="169"/>
      <c r="AI1597" s="167"/>
      <c r="AJ1597" s="271"/>
      <c r="AK1597" s="15"/>
      <c r="AL1597" s="15"/>
    </row>
    <row r="1598" spans="1:38" ht="60" x14ac:dyDescent="0.3">
      <c r="A1598" s="179"/>
      <c r="B1598" s="239" t="s">
        <v>4741</v>
      </c>
      <c r="C1598" s="399"/>
      <c r="D1598" s="240"/>
      <c r="E1598" s="67"/>
      <c r="F1598" s="117"/>
      <c r="G1598" s="154"/>
      <c r="H1598" s="118"/>
      <c r="I1598" s="212"/>
      <c r="J1598" s="213"/>
      <c r="K1598" s="212"/>
      <c r="L1598" s="213"/>
      <c r="M1598" s="500"/>
      <c r="N1598" s="501"/>
      <c r="O1598" s="502"/>
      <c r="P1598" s="214"/>
      <c r="Q1598" s="216"/>
      <c r="R1598" s="389"/>
      <c r="S1598" s="390"/>
      <c r="T1598" s="214"/>
      <c r="U1598" s="216"/>
      <c r="V1598" s="493"/>
      <c r="W1598" s="494"/>
      <c r="X1598" s="255"/>
      <c r="Y1598" s="256"/>
      <c r="Z1598" s="257"/>
      <c r="AA1598" s="194"/>
      <c r="AB1598" s="195"/>
      <c r="AC1598" s="162" t="s">
        <v>1939</v>
      </c>
      <c r="AD1598" s="163"/>
      <c r="AE1598" s="31" t="s">
        <v>4752</v>
      </c>
      <c r="AF1598" s="167"/>
      <c r="AG1598" s="168"/>
      <c r="AH1598" s="169"/>
      <c r="AI1598" s="167"/>
      <c r="AJ1598" s="271"/>
      <c r="AK1598" s="15"/>
      <c r="AL1598" s="15"/>
    </row>
    <row r="1599" spans="1:38" ht="15.5" x14ac:dyDescent="0.3">
      <c r="A1599" s="179"/>
      <c r="B1599" s="239"/>
      <c r="C1599" s="399"/>
      <c r="D1599" s="240"/>
      <c r="E1599" s="66" t="s">
        <v>4753</v>
      </c>
      <c r="F1599" s="171" t="s">
        <v>4754</v>
      </c>
      <c r="G1599" s="407"/>
      <c r="H1599" s="172"/>
      <c r="I1599" s="88" t="s">
        <v>4755</v>
      </c>
      <c r="J1599" s="89"/>
      <c r="K1599" s="171" t="s">
        <v>4756</v>
      </c>
      <c r="L1599" s="172"/>
      <c r="M1599" s="497">
        <v>295</v>
      </c>
      <c r="N1599" s="498"/>
      <c r="O1599" s="499"/>
      <c r="P1599" s="149"/>
      <c r="Q1599" s="150"/>
      <c r="R1599" s="387">
        <v>70</v>
      </c>
      <c r="S1599" s="388"/>
      <c r="T1599" s="149"/>
      <c r="U1599" s="150"/>
      <c r="V1599" s="491" t="s">
        <v>1729</v>
      </c>
      <c r="W1599" s="492"/>
      <c r="X1599" s="252">
        <v>458</v>
      </c>
      <c r="Y1599" s="253"/>
      <c r="Z1599" s="254"/>
      <c r="AA1599" s="192" t="s">
        <v>1364</v>
      </c>
      <c r="AB1599" s="193"/>
      <c r="AC1599" s="162" t="s">
        <v>4749</v>
      </c>
      <c r="AD1599" s="163"/>
      <c r="AE1599" s="31"/>
      <c r="AF1599" s="167"/>
      <c r="AG1599" s="168"/>
      <c r="AH1599" s="169"/>
      <c r="AI1599" s="167"/>
      <c r="AJ1599" s="271"/>
      <c r="AK1599" s="15"/>
      <c r="AL1599" s="15"/>
    </row>
    <row r="1600" spans="1:38" ht="15.5" x14ac:dyDescent="0.3">
      <c r="A1600" s="179"/>
      <c r="B1600" s="239"/>
      <c r="C1600" s="399"/>
      <c r="D1600" s="240"/>
      <c r="E1600" s="67"/>
      <c r="F1600" s="212"/>
      <c r="G1600" s="408"/>
      <c r="H1600" s="213"/>
      <c r="I1600" s="117" t="s">
        <v>4745</v>
      </c>
      <c r="J1600" s="118"/>
      <c r="K1600" s="212"/>
      <c r="L1600" s="213"/>
      <c r="M1600" s="500"/>
      <c r="N1600" s="501"/>
      <c r="O1600" s="502"/>
      <c r="P1600" s="151"/>
      <c r="Q1600" s="152"/>
      <c r="R1600" s="389"/>
      <c r="S1600" s="390"/>
      <c r="T1600" s="151"/>
      <c r="U1600" s="152"/>
      <c r="V1600" s="493"/>
      <c r="W1600" s="494"/>
      <c r="X1600" s="255"/>
      <c r="Y1600" s="256"/>
      <c r="Z1600" s="257"/>
      <c r="AA1600" s="194"/>
      <c r="AB1600" s="195"/>
      <c r="AC1600" s="162" t="s">
        <v>4750</v>
      </c>
      <c r="AD1600" s="163"/>
      <c r="AE1600" s="31"/>
      <c r="AF1600" s="167"/>
      <c r="AG1600" s="168"/>
      <c r="AH1600" s="169"/>
      <c r="AI1600" s="167"/>
      <c r="AJ1600" s="271"/>
      <c r="AK1600" s="15"/>
      <c r="AL1600" s="15"/>
    </row>
    <row r="1601" spans="1:38" ht="15.5" x14ac:dyDescent="0.3">
      <c r="A1601" s="179"/>
      <c r="B1601" s="239"/>
      <c r="C1601" s="399"/>
      <c r="D1601" s="240"/>
      <c r="E1601" s="66" t="s">
        <v>4757</v>
      </c>
      <c r="F1601" s="88" t="s">
        <v>4758</v>
      </c>
      <c r="G1601" s="153"/>
      <c r="H1601" s="89"/>
      <c r="I1601" s="171" t="s">
        <v>4759</v>
      </c>
      <c r="J1601" s="172"/>
      <c r="K1601" s="171" t="s">
        <v>4760</v>
      </c>
      <c r="L1601" s="172"/>
      <c r="M1601" s="497">
        <v>325</v>
      </c>
      <c r="N1601" s="498"/>
      <c r="O1601" s="499"/>
      <c r="P1601" s="164"/>
      <c r="Q1601" s="166"/>
      <c r="R1601" s="387">
        <v>80</v>
      </c>
      <c r="S1601" s="388"/>
      <c r="T1601" s="164"/>
      <c r="U1601" s="166"/>
      <c r="V1601" s="491" t="s">
        <v>1689</v>
      </c>
      <c r="W1601" s="492"/>
      <c r="X1601" s="252">
        <v>538</v>
      </c>
      <c r="Y1601" s="253"/>
      <c r="Z1601" s="254"/>
      <c r="AA1601" s="192" t="s">
        <v>1038</v>
      </c>
      <c r="AB1601" s="193"/>
      <c r="AC1601" s="162"/>
      <c r="AD1601" s="163"/>
      <c r="AE1601" s="31"/>
      <c r="AF1601" s="167"/>
      <c r="AG1601" s="168"/>
      <c r="AH1601" s="169"/>
      <c r="AI1601" s="167"/>
      <c r="AJ1601" s="271"/>
      <c r="AK1601" s="15"/>
      <c r="AL1601" s="15"/>
    </row>
    <row r="1602" spans="1:38" ht="15.5" x14ac:dyDescent="0.3">
      <c r="A1602" s="230"/>
      <c r="B1602" s="225"/>
      <c r="C1602" s="391"/>
      <c r="D1602" s="226"/>
      <c r="E1602" s="67"/>
      <c r="F1602" s="117"/>
      <c r="G1602" s="154"/>
      <c r="H1602" s="118"/>
      <c r="I1602" s="212" t="s">
        <v>4745</v>
      </c>
      <c r="J1602" s="213"/>
      <c r="K1602" s="212"/>
      <c r="L1602" s="213"/>
      <c r="M1602" s="500"/>
      <c r="N1602" s="501"/>
      <c r="O1602" s="502"/>
      <c r="P1602" s="214"/>
      <c r="Q1602" s="216"/>
      <c r="R1602" s="389"/>
      <c r="S1602" s="390"/>
      <c r="T1602" s="214"/>
      <c r="U1602" s="216"/>
      <c r="V1602" s="493"/>
      <c r="W1602" s="494"/>
      <c r="X1602" s="255"/>
      <c r="Y1602" s="256"/>
      <c r="Z1602" s="257"/>
      <c r="AA1602" s="194"/>
      <c r="AB1602" s="195"/>
      <c r="AC1602" s="212"/>
      <c r="AD1602" s="213"/>
      <c r="AE1602" s="31"/>
      <c r="AF1602" s="214"/>
      <c r="AG1602" s="215"/>
      <c r="AH1602" s="216"/>
      <c r="AI1602" s="214"/>
      <c r="AJ1602" s="271"/>
      <c r="AK1602" s="15"/>
      <c r="AL1602" s="15"/>
    </row>
    <row r="1603" spans="1:38" ht="90" x14ac:dyDescent="0.3">
      <c r="A1603" s="178"/>
      <c r="B1603" s="303" t="s">
        <v>4761</v>
      </c>
      <c r="C1603" s="344"/>
      <c r="D1603" s="304"/>
      <c r="E1603" s="28" t="s">
        <v>4762</v>
      </c>
      <c r="F1603" s="192" t="s">
        <v>4763</v>
      </c>
      <c r="G1603" s="196"/>
      <c r="H1603" s="193"/>
      <c r="I1603" s="143" t="s">
        <v>3827</v>
      </c>
      <c r="J1603" s="145"/>
      <c r="K1603" s="143" t="s">
        <v>4764</v>
      </c>
      <c r="L1603" s="145"/>
      <c r="M1603" s="110" t="s">
        <v>1140</v>
      </c>
      <c r="N1603" s="138"/>
      <c r="O1603" s="111"/>
      <c r="P1603" s="183">
        <v>1</v>
      </c>
      <c r="Q1603" s="185"/>
      <c r="R1603" s="88" t="s">
        <v>758</v>
      </c>
      <c r="S1603" s="89"/>
      <c r="T1603" s="183">
        <v>1</v>
      </c>
      <c r="U1603" s="185"/>
      <c r="V1603" s="173" t="s">
        <v>2783</v>
      </c>
      <c r="W1603" s="174"/>
      <c r="X1603" s="175" t="s">
        <v>4765</v>
      </c>
      <c r="Y1603" s="176"/>
      <c r="Z1603" s="177"/>
      <c r="AA1603" s="110" t="s">
        <v>3559</v>
      </c>
      <c r="AB1603" s="111"/>
      <c r="AC1603" s="171" t="s">
        <v>3194</v>
      </c>
      <c r="AD1603" s="172"/>
      <c r="AE1603" s="24" t="s">
        <v>4768</v>
      </c>
      <c r="AF1603" s="164"/>
      <c r="AG1603" s="165"/>
      <c r="AH1603" s="166"/>
      <c r="AI1603" s="24" t="s">
        <v>4770</v>
      </c>
      <c r="AJ1603" s="48"/>
      <c r="AK1603" s="15"/>
      <c r="AL1603" s="15"/>
    </row>
    <row r="1604" spans="1:38" ht="75" x14ac:dyDescent="0.3">
      <c r="A1604" s="179"/>
      <c r="B1604" s="292"/>
      <c r="C1604" s="314"/>
      <c r="D1604" s="293"/>
      <c r="E1604" s="28" t="s">
        <v>4772</v>
      </c>
      <c r="F1604" s="272"/>
      <c r="G1604" s="282"/>
      <c r="H1604" s="273"/>
      <c r="I1604" s="104" t="s">
        <v>3827</v>
      </c>
      <c r="J1604" s="105"/>
      <c r="K1604" s="104" t="s">
        <v>4764</v>
      </c>
      <c r="L1604" s="105"/>
      <c r="M1604" s="110" t="s">
        <v>1140</v>
      </c>
      <c r="N1604" s="138"/>
      <c r="O1604" s="111"/>
      <c r="P1604" s="183">
        <v>1</v>
      </c>
      <c r="Q1604" s="185"/>
      <c r="R1604" s="126" t="s">
        <v>758</v>
      </c>
      <c r="S1604" s="127"/>
      <c r="T1604" s="183">
        <v>1</v>
      </c>
      <c r="U1604" s="185"/>
      <c r="V1604" s="173" t="s">
        <v>2783</v>
      </c>
      <c r="W1604" s="174"/>
      <c r="X1604" s="175" t="s">
        <v>4765</v>
      </c>
      <c r="Y1604" s="176"/>
      <c r="Z1604" s="177"/>
      <c r="AA1604" s="110" t="s">
        <v>3559</v>
      </c>
      <c r="AB1604" s="111"/>
      <c r="AC1604" s="162" t="s">
        <v>4766</v>
      </c>
      <c r="AD1604" s="163"/>
      <c r="AE1604" s="31" t="s">
        <v>1356</v>
      </c>
      <c r="AF1604" s="167"/>
      <c r="AG1604" s="168"/>
      <c r="AH1604" s="169"/>
      <c r="AI1604" s="31" t="s">
        <v>681</v>
      </c>
      <c r="AJ1604" s="48"/>
      <c r="AK1604" s="15"/>
      <c r="AL1604" s="15"/>
    </row>
    <row r="1605" spans="1:38" ht="75" x14ac:dyDescent="0.3">
      <c r="A1605" s="179"/>
      <c r="B1605" s="292"/>
      <c r="C1605" s="314"/>
      <c r="D1605" s="293"/>
      <c r="E1605" s="28" t="s">
        <v>4773</v>
      </c>
      <c r="F1605" s="194"/>
      <c r="G1605" s="197"/>
      <c r="H1605" s="195"/>
      <c r="I1605" s="146" t="s">
        <v>3827</v>
      </c>
      <c r="J1605" s="148"/>
      <c r="K1605" s="146" t="s">
        <v>4764</v>
      </c>
      <c r="L1605" s="148"/>
      <c r="M1605" s="183">
        <v>5</v>
      </c>
      <c r="N1605" s="184"/>
      <c r="O1605" s="185"/>
      <c r="P1605" s="183">
        <v>1</v>
      </c>
      <c r="Q1605" s="185"/>
      <c r="R1605" s="117" t="s">
        <v>758</v>
      </c>
      <c r="S1605" s="118"/>
      <c r="T1605" s="183">
        <v>1</v>
      </c>
      <c r="U1605" s="185"/>
      <c r="V1605" s="173" t="s">
        <v>4298</v>
      </c>
      <c r="W1605" s="174"/>
      <c r="X1605" s="488" t="s">
        <v>4298</v>
      </c>
      <c r="Y1605" s="489"/>
      <c r="Z1605" s="490"/>
      <c r="AA1605" s="124" t="s">
        <v>4774</v>
      </c>
      <c r="AB1605" s="125"/>
      <c r="AC1605" s="162" t="s">
        <v>2211</v>
      </c>
      <c r="AD1605" s="163"/>
      <c r="AE1605" s="31" t="s">
        <v>4769</v>
      </c>
      <c r="AF1605" s="167"/>
      <c r="AG1605" s="168"/>
      <c r="AH1605" s="169"/>
      <c r="AI1605" s="31" t="s">
        <v>4771</v>
      </c>
      <c r="AJ1605" s="48"/>
      <c r="AK1605" s="15"/>
      <c r="AL1605" s="15"/>
    </row>
    <row r="1606" spans="1:38" ht="75" x14ac:dyDescent="0.3">
      <c r="A1606" s="179"/>
      <c r="B1606" s="292"/>
      <c r="C1606" s="314"/>
      <c r="D1606" s="293"/>
      <c r="E1606" s="28" t="s">
        <v>4775</v>
      </c>
      <c r="F1606" s="192" t="s">
        <v>4776</v>
      </c>
      <c r="G1606" s="196"/>
      <c r="H1606" s="193"/>
      <c r="I1606" s="143" t="s">
        <v>4639</v>
      </c>
      <c r="J1606" s="145"/>
      <c r="K1606" s="143" t="s">
        <v>2337</v>
      </c>
      <c r="L1606" s="145"/>
      <c r="M1606" s="183">
        <v>13</v>
      </c>
      <c r="N1606" s="184"/>
      <c r="O1606" s="185"/>
      <c r="P1606" s="183">
        <v>1</v>
      </c>
      <c r="Q1606" s="185"/>
      <c r="R1606" s="112">
        <v>4</v>
      </c>
      <c r="S1606" s="113"/>
      <c r="T1606" s="183">
        <v>1</v>
      </c>
      <c r="U1606" s="185"/>
      <c r="V1606" s="114" t="s">
        <v>4777</v>
      </c>
      <c r="W1606" s="116"/>
      <c r="X1606" s="175" t="s">
        <v>1418</v>
      </c>
      <c r="Y1606" s="176"/>
      <c r="Z1606" s="177"/>
      <c r="AA1606" s="110" t="s">
        <v>4778</v>
      </c>
      <c r="AB1606" s="111"/>
      <c r="AC1606" s="162" t="s">
        <v>4767</v>
      </c>
      <c r="AD1606" s="163"/>
      <c r="AE1606" s="31"/>
      <c r="AF1606" s="167"/>
      <c r="AG1606" s="168"/>
      <c r="AH1606" s="169"/>
      <c r="AI1606" s="31"/>
      <c r="AJ1606" s="48"/>
      <c r="AK1606" s="15"/>
      <c r="AL1606" s="15"/>
    </row>
    <row r="1607" spans="1:38" ht="75" x14ac:dyDescent="0.3">
      <c r="A1607" s="179"/>
      <c r="B1607" s="292"/>
      <c r="C1607" s="314"/>
      <c r="D1607" s="293"/>
      <c r="E1607" s="28" t="s">
        <v>4779</v>
      </c>
      <c r="F1607" s="194"/>
      <c r="G1607" s="197"/>
      <c r="H1607" s="195"/>
      <c r="I1607" s="146" t="s">
        <v>4639</v>
      </c>
      <c r="J1607" s="148"/>
      <c r="K1607" s="146" t="s">
        <v>2337</v>
      </c>
      <c r="L1607" s="148"/>
      <c r="M1607" s="183">
        <v>13</v>
      </c>
      <c r="N1607" s="184"/>
      <c r="O1607" s="185"/>
      <c r="P1607" s="183">
        <v>1</v>
      </c>
      <c r="Q1607" s="185"/>
      <c r="R1607" s="160">
        <v>4</v>
      </c>
      <c r="S1607" s="161"/>
      <c r="T1607" s="183">
        <v>1</v>
      </c>
      <c r="U1607" s="185"/>
      <c r="V1607" s="114" t="s">
        <v>4777</v>
      </c>
      <c r="W1607" s="116"/>
      <c r="X1607" s="175" t="s">
        <v>1418</v>
      </c>
      <c r="Y1607" s="176"/>
      <c r="Z1607" s="177"/>
      <c r="AA1607" s="110" t="s">
        <v>4778</v>
      </c>
      <c r="AB1607" s="111"/>
      <c r="AC1607" s="162"/>
      <c r="AD1607" s="163"/>
      <c r="AE1607" s="31"/>
      <c r="AF1607" s="167"/>
      <c r="AG1607" s="168"/>
      <c r="AH1607" s="169"/>
      <c r="AI1607" s="31"/>
      <c r="AJ1607" s="48"/>
      <c r="AK1607" s="15"/>
      <c r="AL1607" s="15"/>
    </row>
    <row r="1608" spans="1:38" ht="90" x14ac:dyDescent="0.3">
      <c r="A1608" s="179"/>
      <c r="B1608" s="292"/>
      <c r="C1608" s="314"/>
      <c r="D1608" s="293"/>
      <c r="E1608" s="28" t="s">
        <v>4780</v>
      </c>
      <c r="F1608" s="192" t="s">
        <v>4763</v>
      </c>
      <c r="G1608" s="196"/>
      <c r="H1608" s="193"/>
      <c r="I1608" s="143" t="s">
        <v>3827</v>
      </c>
      <c r="J1608" s="145"/>
      <c r="K1608" s="143" t="s">
        <v>4764</v>
      </c>
      <c r="L1608" s="145"/>
      <c r="M1608" s="110" t="s">
        <v>1140</v>
      </c>
      <c r="N1608" s="138"/>
      <c r="O1608" s="111"/>
      <c r="P1608" s="183">
        <v>1</v>
      </c>
      <c r="Q1608" s="185"/>
      <c r="R1608" s="88" t="s">
        <v>758</v>
      </c>
      <c r="S1608" s="89"/>
      <c r="T1608" s="183">
        <v>1</v>
      </c>
      <c r="U1608" s="185"/>
      <c r="V1608" s="173" t="s">
        <v>2783</v>
      </c>
      <c r="W1608" s="174"/>
      <c r="X1608" s="175" t="s">
        <v>4765</v>
      </c>
      <c r="Y1608" s="176"/>
      <c r="Z1608" s="177"/>
      <c r="AA1608" s="110" t="s">
        <v>3559</v>
      </c>
      <c r="AB1608" s="111"/>
      <c r="AC1608" s="162"/>
      <c r="AD1608" s="163"/>
      <c r="AE1608" s="31"/>
      <c r="AF1608" s="167"/>
      <c r="AG1608" s="168"/>
      <c r="AH1608" s="169"/>
      <c r="AI1608" s="31"/>
      <c r="AJ1608" s="48"/>
      <c r="AK1608" s="15"/>
      <c r="AL1608" s="15"/>
    </row>
    <row r="1609" spans="1:38" ht="75" x14ac:dyDescent="0.3">
      <c r="A1609" s="179"/>
      <c r="B1609" s="292"/>
      <c r="C1609" s="314"/>
      <c r="D1609" s="293"/>
      <c r="E1609" s="28" t="s">
        <v>4781</v>
      </c>
      <c r="F1609" s="272"/>
      <c r="G1609" s="282"/>
      <c r="H1609" s="273"/>
      <c r="I1609" s="104" t="s">
        <v>3827</v>
      </c>
      <c r="J1609" s="105"/>
      <c r="K1609" s="104" t="s">
        <v>4764</v>
      </c>
      <c r="L1609" s="105"/>
      <c r="M1609" s="110" t="s">
        <v>1140</v>
      </c>
      <c r="N1609" s="138"/>
      <c r="O1609" s="111"/>
      <c r="P1609" s="183">
        <v>1</v>
      </c>
      <c r="Q1609" s="185"/>
      <c r="R1609" s="126" t="s">
        <v>758</v>
      </c>
      <c r="S1609" s="127"/>
      <c r="T1609" s="183">
        <v>1</v>
      </c>
      <c r="U1609" s="185"/>
      <c r="V1609" s="173" t="s">
        <v>2783</v>
      </c>
      <c r="W1609" s="174"/>
      <c r="X1609" s="175" t="s">
        <v>4765</v>
      </c>
      <c r="Y1609" s="176"/>
      <c r="Z1609" s="177"/>
      <c r="AA1609" s="110" t="s">
        <v>3559</v>
      </c>
      <c r="AB1609" s="111"/>
      <c r="AC1609" s="162"/>
      <c r="AD1609" s="163"/>
      <c r="AE1609" s="31"/>
      <c r="AF1609" s="167"/>
      <c r="AG1609" s="168"/>
      <c r="AH1609" s="169"/>
      <c r="AI1609" s="31"/>
      <c r="AJ1609" s="48"/>
      <c r="AK1609" s="15"/>
      <c r="AL1609" s="15"/>
    </row>
    <row r="1610" spans="1:38" ht="75" x14ac:dyDescent="0.3">
      <c r="A1610" s="179"/>
      <c r="B1610" s="292"/>
      <c r="C1610" s="314"/>
      <c r="D1610" s="293"/>
      <c r="E1610" s="28" t="s">
        <v>4782</v>
      </c>
      <c r="F1610" s="194"/>
      <c r="G1610" s="197"/>
      <c r="H1610" s="195"/>
      <c r="I1610" s="146" t="s">
        <v>3827</v>
      </c>
      <c r="J1610" s="148"/>
      <c r="K1610" s="146" t="s">
        <v>4764</v>
      </c>
      <c r="L1610" s="148"/>
      <c r="M1610" s="183">
        <v>5</v>
      </c>
      <c r="N1610" s="184"/>
      <c r="O1610" s="185"/>
      <c r="P1610" s="183">
        <v>1</v>
      </c>
      <c r="Q1610" s="185"/>
      <c r="R1610" s="117" t="s">
        <v>758</v>
      </c>
      <c r="S1610" s="118"/>
      <c r="T1610" s="183">
        <v>1</v>
      </c>
      <c r="U1610" s="185"/>
      <c r="V1610" s="173" t="s">
        <v>4298</v>
      </c>
      <c r="W1610" s="174"/>
      <c r="X1610" s="488" t="s">
        <v>4298</v>
      </c>
      <c r="Y1610" s="489"/>
      <c r="Z1610" s="490"/>
      <c r="AA1610" s="124" t="s">
        <v>4774</v>
      </c>
      <c r="AB1610" s="125"/>
      <c r="AC1610" s="162"/>
      <c r="AD1610" s="163"/>
      <c r="AE1610" s="31"/>
      <c r="AF1610" s="167"/>
      <c r="AG1610" s="168"/>
      <c r="AH1610" s="169"/>
      <c r="AI1610" s="31"/>
      <c r="AJ1610" s="48"/>
      <c r="AK1610" s="15"/>
      <c r="AL1610" s="15"/>
    </row>
    <row r="1611" spans="1:38" ht="75" x14ac:dyDescent="0.3">
      <c r="A1611" s="179"/>
      <c r="B1611" s="292"/>
      <c r="C1611" s="314"/>
      <c r="D1611" s="293"/>
      <c r="E1611" s="28" t="s">
        <v>4783</v>
      </c>
      <c r="F1611" s="192" t="s">
        <v>4776</v>
      </c>
      <c r="G1611" s="196"/>
      <c r="H1611" s="193"/>
      <c r="I1611" s="143" t="s">
        <v>4639</v>
      </c>
      <c r="J1611" s="145"/>
      <c r="K1611" s="143" t="s">
        <v>2337</v>
      </c>
      <c r="L1611" s="145"/>
      <c r="M1611" s="183">
        <v>13</v>
      </c>
      <c r="N1611" s="184"/>
      <c r="O1611" s="185"/>
      <c r="P1611" s="183">
        <v>1</v>
      </c>
      <c r="Q1611" s="185"/>
      <c r="R1611" s="112">
        <v>4</v>
      </c>
      <c r="S1611" s="113"/>
      <c r="T1611" s="183">
        <v>1</v>
      </c>
      <c r="U1611" s="185"/>
      <c r="V1611" s="114" t="s">
        <v>4777</v>
      </c>
      <c r="W1611" s="116"/>
      <c r="X1611" s="175" t="s">
        <v>1418</v>
      </c>
      <c r="Y1611" s="176"/>
      <c r="Z1611" s="177"/>
      <c r="AA1611" s="110" t="s">
        <v>4778</v>
      </c>
      <c r="AB1611" s="111"/>
      <c r="AC1611" s="162"/>
      <c r="AD1611" s="163"/>
      <c r="AE1611" s="31"/>
      <c r="AF1611" s="167"/>
      <c r="AG1611" s="168"/>
      <c r="AH1611" s="169"/>
      <c r="AI1611" s="31"/>
      <c r="AJ1611" s="48"/>
      <c r="AK1611" s="15"/>
      <c r="AL1611" s="15"/>
    </row>
    <row r="1612" spans="1:38" ht="75" x14ac:dyDescent="0.3">
      <c r="A1612" s="179"/>
      <c r="B1612" s="292"/>
      <c r="C1612" s="314"/>
      <c r="D1612" s="293"/>
      <c r="E1612" s="28" t="s">
        <v>4784</v>
      </c>
      <c r="F1612" s="194"/>
      <c r="G1612" s="197"/>
      <c r="H1612" s="195"/>
      <c r="I1612" s="146" t="s">
        <v>4639</v>
      </c>
      <c r="J1612" s="148"/>
      <c r="K1612" s="146" t="s">
        <v>2337</v>
      </c>
      <c r="L1612" s="148"/>
      <c r="M1612" s="183">
        <v>13</v>
      </c>
      <c r="N1612" s="184"/>
      <c r="O1612" s="185"/>
      <c r="P1612" s="183">
        <v>1</v>
      </c>
      <c r="Q1612" s="185"/>
      <c r="R1612" s="160">
        <v>4</v>
      </c>
      <c r="S1612" s="161"/>
      <c r="T1612" s="183">
        <v>1</v>
      </c>
      <c r="U1612" s="185"/>
      <c r="V1612" s="114" t="s">
        <v>4777</v>
      </c>
      <c r="W1612" s="116"/>
      <c r="X1612" s="175" t="s">
        <v>1418</v>
      </c>
      <c r="Y1612" s="176"/>
      <c r="Z1612" s="177"/>
      <c r="AA1612" s="110" t="s">
        <v>4778</v>
      </c>
      <c r="AB1612" s="111"/>
      <c r="AC1612" s="162"/>
      <c r="AD1612" s="163"/>
      <c r="AE1612" s="31"/>
      <c r="AF1612" s="167"/>
      <c r="AG1612" s="168"/>
      <c r="AH1612" s="169"/>
      <c r="AI1612" s="31"/>
      <c r="AJ1612" s="48"/>
      <c r="AK1612" s="15"/>
      <c r="AL1612" s="15"/>
    </row>
    <row r="1613" spans="1:38" ht="90" x14ac:dyDescent="0.3">
      <c r="A1613" s="179"/>
      <c r="B1613" s="292"/>
      <c r="C1613" s="314"/>
      <c r="D1613" s="293"/>
      <c r="E1613" s="28" t="s">
        <v>4785</v>
      </c>
      <c r="F1613" s="192" t="s">
        <v>4763</v>
      </c>
      <c r="G1613" s="196"/>
      <c r="H1613" s="193"/>
      <c r="I1613" s="143" t="s">
        <v>3827</v>
      </c>
      <c r="J1613" s="145"/>
      <c r="K1613" s="143" t="s">
        <v>4764</v>
      </c>
      <c r="L1613" s="145"/>
      <c r="M1613" s="183">
        <v>7</v>
      </c>
      <c r="N1613" s="184"/>
      <c r="O1613" s="185"/>
      <c r="P1613" s="183">
        <v>1</v>
      </c>
      <c r="Q1613" s="185"/>
      <c r="R1613" s="88" t="s">
        <v>758</v>
      </c>
      <c r="S1613" s="89"/>
      <c r="T1613" s="183">
        <v>1</v>
      </c>
      <c r="U1613" s="185"/>
      <c r="V1613" s="173" t="s">
        <v>4765</v>
      </c>
      <c r="W1613" s="174"/>
      <c r="X1613" s="175" t="s">
        <v>1462</v>
      </c>
      <c r="Y1613" s="176"/>
      <c r="Z1613" s="177"/>
      <c r="AA1613" s="110" t="s">
        <v>1462</v>
      </c>
      <c r="AB1613" s="111"/>
      <c r="AC1613" s="162"/>
      <c r="AD1613" s="163"/>
      <c r="AE1613" s="31"/>
      <c r="AF1613" s="167"/>
      <c r="AG1613" s="168"/>
      <c r="AH1613" s="169"/>
      <c r="AI1613" s="31"/>
      <c r="AJ1613" s="48"/>
      <c r="AK1613" s="15"/>
      <c r="AL1613" s="15"/>
    </row>
    <row r="1614" spans="1:38" ht="75" x14ac:dyDescent="0.3">
      <c r="A1614" s="179"/>
      <c r="B1614" s="292"/>
      <c r="C1614" s="314"/>
      <c r="D1614" s="293"/>
      <c r="E1614" s="28" t="s">
        <v>4786</v>
      </c>
      <c r="F1614" s="272"/>
      <c r="G1614" s="282"/>
      <c r="H1614" s="273"/>
      <c r="I1614" s="104" t="s">
        <v>3827</v>
      </c>
      <c r="J1614" s="105"/>
      <c r="K1614" s="104" t="s">
        <v>4764</v>
      </c>
      <c r="L1614" s="105"/>
      <c r="M1614" s="183">
        <v>7</v>
      </c>
      <c r="N1614" s="184"/>
      <c r="O1614" s="185"/>
      <c r="P1614" s="183">
        <v>1</v>
      </c>
      <c r="Q1614" s="185"/>
      <c r="R1614" s="126" t="s">
        <v>758</v>
      </c>
      <c r="S1614" s="127"/>
      <c r="T1614" s="183">
        <v>1</v>
      </c>
      <c r="U1614" s="185"/>
      <c r="V1614" s="173" t="s">
        <v>4765</v>
      </c>
      <c r="W1614" s="174"/>
      <c r="X1614" s="175" t="s">
        <v>1462</v>
      </c>
      <c r="Y1614" s="176"/>
      <c r="Z1614" s="177"/>
      <c r="AA1614" s="110" t="s">
        <v>1462</v>
      </c>
      <c r="AB1614" s="111"/>
      <c r="AC1614" s="162"/>
      <c r="AD1614" s="163"/>
      <c r="AE1614" s="31"/>
      <c r="AF1614" s="167"/>
      <c r="AG1614" s="168"/>
      <c r="AH1614" s="169"/>
      <c r="AI1614" s="31"/>
      <c r="AJ1614" s="48"/>
      <c r="AK1614" s="15"/>
      <c r="AL1614" s="15"/>
    </row>
    <row r="1615" spans="1:38" ht="75" x14ac:dyDescent="0.3">
      <c r="A1615" s="179"/>
      <c r="B1615" s="292"/>
      <c r="C1615" s="314"/>
      <c r="D1615" s="293"/>
      <c r="E1615" s="28" t="s">
        <v>4787</v>
      </c>
      <c r="F1615" s="194"/>
      <c r="G1615" s="197"/>
      <c r="H1615" s="195"/>
      <c r="I1615" s="146" t="s">
        <v>3827</v>
      </c>
      <c r="J1615" s="148"/>
      <c r="K1615" s="146" t="s">
        <v>4764</v>
      </c>
      <c r="L1615" s="148"/>
      <c r="M1615" s="110" t="s">
        <v>1751</v>
      </c>
      <c r="N1615" s="138"/>
      <c r="O1615" s="111"/>
      <c r="P1615" s="183">
        <v>1</v>
      </c>
      <c r="Q1615" s="185"/>
      <c r="R1615" s="117" t="s">
        <v>758</v>
      </c>
      <c r="S1615" s="118"/>
      <c r="T1615" s="183">
        <v>1</v>
      </c>
      <c r="U1615" s="185"/>
      <c r="V1615" s="173" t="s">
        <v>2099</v>
      </c>
      <c r="W1615" s="174"/>
      <c r="X1615" s="175" t="s">
        <v>2092</v>
      </c>
      <c r="Y1615" s="176"/>
      <c r="Z1615" s="177"/>
      <c r="AA1615" s="110" t="s">
        <v>4788</v>
      </c>
      <c r="AB1615" s="111"/>
      <c r="AC1615" s="162"/>
      <c r="AD1615" s="163"/>
      <c r="AE1615" s="31"/>
      <c r="AF1615" s="167"/>
      <c r="AG1615" s="168"/>
      <c r="AH1615" s="169"/>
      <c r="AI1615" s="31"/>
      <c r="AJ1615" s="48"/>
      <c r="AK1615" s="15"/>
      <c r="AL1615" s="15"/>
    </row>
    <row r="1616" spans="1:38" ht="75" x14ac:dyDescent="0.3">
      <c r="A1616" s="179"/>
      <c r="B1616" s="292"/>
      <c r="C1616" s="314"/>
      <c r="D1616" s="293"/>
      <c r="E1616" s="28" t="s">
        <v>4789</v>
      </c>
      <c r="F1616" s="192" t="s">
        <v>4776</v>
      </c>
      <c r="G1616" s="196"/>
      <c r="H1616" s="193"/>
      <c r="I1616" s="143" t="s">
        <v>4639</v>
      </c>
      <c r="J1616" s="145"/>
      <c r="K1616" s="143" t="s">
        <v>2337</v>
      </c>
      <c r="L1616" s="145"/>
      <c r="M1616" s="183">
        <v>14</v>
      </c>
      <c r="N1616" s="184"/>
      <c r="O1616" s="185"/>
      <c r="P1616" s="183">
        <v>1</v>
      </c>
      <c r="Q1616" s="185"/>
      <c r="R1616" s="112">
        <v>4</v>
      </c>
      <c r="S1616" s="113"/>
      <c r="T1616" s="183">
        <v>1</v>
      </c>
      <c r="U1616" s="185"/>
      <c r="V1616" s="114" t="s">
        <v>1294</v>
      </c>
      <c r="W1616" s="116"/>
      <c r="X1616" s="175" t="s">
        <v>4635</v>
      </c>
      <c r="Y1616" s="176"/>
      <c r="Z1616" s="177"/>
      <c r="AA1616" s="110" t="s">
        <v>4790</v>
      </c>
      <c r="AB1616" s="111"/>
      <c r="AC1616" s="162"/>
      <c r="AD1616" s="163"/>
      <c r="AE1616" s="31"/>
      <c r="AF1616" s="167"/>
      <c r="AG1616" s="168"/>
      <c r="AH1616" s="169"/>
      <c r="AI1616" s="31"/>
      <c r="AJ1616" s="48"/>
      <c r="AK1616" s="15"/>
      <c r="AL1616" s="15"/>
    </row>
    <row r="1617" spans="1:38" ht="75" x14ac:dyDescent="0.3">
      <c r="A1617" s="230"/>
      <c r="B1617" s="290"/>
      <c r="C1617" s="345"/>
      <c r="D1617" s="291"/>
      <c r="E1617" s="28" t="s">
        <v>4791</v>
      </c>
      <c r="F1617" s="194"/>
      <c r="G1617" s="197"/>
      <c r="H1617" s="195"/>
      <c r="I1617" s="146" t="s">
        <v>4639</v>
      </c>
      <c r="J1617" s="148"/>
      <c r="K1617" s="146" t="s">
        <v>2337</v>
      </c>
      <c r="L1617" s="148"/>
      <c r="M1617" s="183">
        <v>14</v>
      </c>
      <c r="N1617" s="184"/>
      <c r="O1617" s="185"/>
      <c r="P1617" s="183">
        <v>1</v>
      </c>
      <c r="Q1617" s="185"/>
      <c r="R1617" s="160">
        <v>4</v>
      </c>
      <c r="S1617" s="161"/>
      <c r="T1617" s="183">
        <v>1</v>
      </c>
      <c r="U1617" s="185"/>
      <c r="V1617" s="114" t="s">
        <v>1294</v>
      </c>
      <c r="W1617" s="116"/>
      <c r="X1617" s="175" t="s">
        <v>4635</v>
      </c>
      <c r="Y1617" s="176"/>
      <c r="Z1617" s="177"/>
      <c r="AA1617" s="110" t="s">
        <v>4790</v>
      </c>
      <c r="AB1617" s="111"/>
      <c r="AC1617" s="212"/>
      <c r="AD1617" s="213"/>
      <c r="AE1617" s="31"/>
      <c r="AF1617" s="214"/>
      <c r="AG1617" s="215"/>
      <c r="AH1617" s="216"/>
      <c r="AI1617" s="31"/>
      <c r="AJ1617" s="48"/>
      <c r="AK1617" s="15"/>
      <c r="AL1617" s="15"/>
    </row>
    <row r="1618" spans="1:38" ht="90" x14ac:dyDescent="0.25">
      <c r="A1618" s="178"/>
      <c r="B1618" s="303" t="s">
        <v>4792</v>
      </c>
      <c r="C1618" s="344"/>
      <c r="D1618" s="304"/>
      <c r="E1618" s="28" t="s">
        <v>4794</v>
      </c>
      <c r="F1618" s="233" t="s">
        <v>4795</v>
      </c>
      <c r="G1618" s="305"/>
      <c r="H1618" s="234"/>
      <c r="I1618" s="110" t="s">
        <v>758</v>
      </c>
      <c r="J1618" s="111"/>
      <c r="K1618" s="143" t="s">
        <v>4796</v>
      </c>
      <c r="L1618" s="145"/>
      <c r="M1618" s="180" t="s">
        <v>4797</v>
      </c>
      <c r="N1618" s="450"/>
      <c r="O1618" s="181"/>
      <c r="P1618" s="180" t="s">
        <v>4798</v>
      </c>
      <c r="Q1618" s="181"/>
      <c r="R1618" s="112">
        <v>5</v>
      </c>
      <c r="S1618" s="113"/>
      <c r="T1618" s="183">
        <v>3</v>
      </c>
      <c r="U1618" s="185"/>
      <c r="V1618" s="180" t="s">
        <v>4799</v>
      </c>
      <c r="W1618" s="181"/>
      <c r="X1618" s="261" t="s">
        <v>1479</v>
      </c>
      <c r="Y1618" s="262"/>
      <c r="Z1618" s="263"/>
      <c r="AA1618" s="233" t="s">
        <v>3561</v>
      </c>
      <c r="AB1618" s="234"/>
      <c r="AC1618" s="303" t="s">
        <v>675</v>
      </c>
      <c r="AD1618" s="304"/>
      <c r="AE1618" s="35" t="s">
        <v>4802</v>
      </c>
      <c r="AF1618" s="164"/>
      <c r="AG1618" s="165"/>
      <c r="AH1618" s="166"/>
      <c r="AI1618" s="35" t="s">
        <v>4804</v>
      </c>
      <c r="AJ1618" s="48"/>
      <c r="AK1618" s="15"/>
      <c r="AL1618" s="15"/>
    </row>
    <row r="1619" spans="1:38" ht="60" x14ac:dyDescent="0.25">
      <c r="A1619" s="179"/>
      <c r="B1619" s="292" t="s">
        <v>4793</v>
      </c>
      <c r="C1619" s="314"/>
      <c r="D1619" s="293"/>
      <c r="E1619" s="28" t="s">
        <v>4806</v>
      </c>
      <c r="F1619" s="235"/>
      <c r="G1619" s="270"/>
      <c r="H1619" s="236"/>
      <c r="I1619" s="110" t="s">
        <v>758</v>
      </c>
      <c r="J1619" s="111"/>
      <c r="K1619" s="104" t="s">
        <v>4796</v>
      </c>
      <c r="L1619" s="105"/>
      <c r="M1619" s="180" t="s">
        <v>4797</v>
      </c>
      <c r="N1619" s="450"/>
      <c r="O1619" s="181"/>
      <c r="P1619" s="180" t="s">
        <v>4798</v>
      </c>
      <c r="Q1619" s="181"/>
      <c r="R1619" s="155">
        <v>5</v>
      </c>
      <c r="S1619" s="157"/>
      <c r="T1619" s="183">
        <v>3</v>
      </c>
      <c r="U1619" s="185"/>
      <c r="V1619" s="180" t="s">
        <v>4799</v>
      </c>
      <c r="W1619" s="181"/>
      <c r="X1619" s="264"/>
      <c r="Y1619" s="265"/>
      <c r="Z1619" s="266"/>
      <c r="AA1619" s="235"/>
      <c r="AB1619" s="236"/>
      <c r="AC1619" s="292" t="s">
        <v>4800</v>
      </c>
      <c r="AD1619" s="293"/>
      <c r="AE1619" s="36" t="s">
        <v>1356</v>
      </c>
      <c r="AF1619" s="167"/>
      <c r="AG1619" s="168"/>
      <c r="AH1619" s="169"/>
      <c r="AI1619" s="36" t="s">
        <v>681</v>
      </c>
      <c r="AJ1619" s="48"/>
      <c r="AK1619" s="15"/>
      <c r="AL1619" s="15"/>
    </row>
    <row r="1620" spans="1:38" ht="75" x14ac:dyDescent="0.25">
      <c r="A1620" s="179"/>
      <c r="B1620" s="292"/>
      <c r="C1620" s="314"/>
      <c r="D1620" s="293"/>
      <c r="E1620" s="28" t="s">
        <v>4807</v>
      </c>
      <c r="F1620" s="235"/>
      <c r="G1620" s="270"/>
      <c r="H1620" s="236"/>
      <c r="I1620" s="110" t="s">
        <v>758</v>
      </c>
      <c r="J1620" s="111"/>
      <c r="K1620" s="104" t="s">
        <v>4796</v>
      </c>
      <c r="L1620" s="105"/>
      <c r="M1620" s="180" t="s">
        <v>4797</v>
      </c>
      <c r="N1620" s="450"/>
      <c r="O1620" s="181"/>
      <c r="P1620" s="180" t="s">
        <v>4798</v>
      </c>
      <c r="Q1620" s="181"/>
      <c r="R1620" s="155">
        <v>5</v>
      </c>
      <c r="S1620" s="157"/>
      <c r="T1620" s="183">
        <v>3</v>
      </c>
      <c r="U1620" s="185"/>
      <c r="V1620" s="180" t="s">
        <v>4799</v>
      </c>
      <c r="W1620" s="181"/>
      <c r="X1620" s="264"/>
      <c r="Y1620" s="265"/>
      <c r="Z1620" s="266"/>
      <c r="AA1620" s="235"/>
      <c r="AB1620" s="236"/>
      <c r="AC1620" s="292" t="s">
        <v>4801</v>
      </c>
      <c r="AD1620" s="293"/>
      <c r="AE1620" s="36" t="s">
        <v>4803</v>
      </c>
      <c r="AF1620" s="167"/>
      <c r="AG1620" s="168"/>
      <c r="AH1620" s="169"/>
      <c r="AI1620" s="36" t="s">
        <v>4805</v>
      </c>
      <c r="AJ1620" s="48"/>
      <c r="AK1620" s="15"/>
      <c r="AL1620" s="15"/>
    </row>
    <row r="1621" spans="1:38" ht="60" x14ac:dyDescent="0.25">
      <c r="A1621" s="179"/>
      <c r="B1621" s="292"/>
      <c r="C1621" s="314"/>
      <c r="D1621" s="293"/>
      <c r="E1621" s="28" t="s">
        <v>4808</v>
      </c>
      <c r="F1621" s="235"/>
      <c r="G1621" s="270"/>
      <c r="H1621" s="236"/>
      <c r="I1621" s="110" t="s">
        <v>758</v>
      </c>
      <c r="J1621" s="111"/>
      <c r="K1621" s="104" t="s">
        <v>4796</v>
      </c>
      <c r="L1621" s="105"/>
      <c r="M1621" s="180" t="s">
        <v>4797</v>
      </c>
      <c r="N1621" s="450"/>
      <c r="O1621" s="181"/>
      <c r="P1621" s="180" t="s">
        <v>4798</v>
      </c>
      <c r="Q1621" s="181"/>
      <c r="R1621" s="155">
        <v>5</v>
      </c>
      <c r="S1621" s="157"/>
      <c r="T1621" s="183">
        <v>3</v>
      </c>
      <c r="U1621" s="185"/>
      <c r="V1621" s="180" t="s">
        <v>4799</v>
      </c>
      <c r="W1621" s="181"/>
      <c r="X1621" s="264"/>
      <c r="Y1621" s="265"/>
      <c r="Z1621" s="266"/>
      <c r="AA1621" s="235"/>
      <c r="AB1621" s="236"/>
      <c r="AC1621" s="292"/>
      <c r="AD1621" s="293"/>
      <c r="AE1621" s="36"/>
      <c r="AF1621" s="167"/>
      <c r="AG1621" s="168"/>
      <c r="AH1621" s="169"/>
      <c r="AI1621" s="36"/>
      <c r="AJ1621" s="48"/>
      <c r="AK1621" s="15"/>
      <c r="AL1621" s="15"/>
    </row>
    <row r="1622" spans="1:38" ht="60" x14ac:dyDescent="0.25">
      <c r="A1622" s="179"/>
      <c r="B1622" s="292"/>
      <c r="C1622" s="314"/>
      <c r="D1622" s="293"/>
      <c r="E1622" s="28" t="s">
        <v>4809</v>
      </c>
      <c r="F1622" s="235"/>
      <c r="G1622" s="270"/>
      <c r="H1622" s="236"/>
      <c r="I1622" s="110" t="s">
        <v>758</v>
      </c>
      <c r="J1622" s="111"/>
      <c r="K1622" s="104" t="s">
        <v>4796</v>
      </c>
      <c r="L1622" s="105"/>
      <c r="M1622" s="180" t="s">
        <v>4797</v>
      </c>
      <c r="N1622" s="450"/>
      <c r="O1622" s="181"/>
      <c r="P1622" s="180" t="s">
        <v>4798</v>
      </c>
      <c r="Q1622" s="181"/>
      <c r="R1622" s="155">
        <v>5</v>
      </c>
      <c r="S1622" s="157"/>
      <c r="T1622" s="183">
        <v>3</v>
      </c>
      <c r="U1622" s="185"/>
      <c r="V1622" s="180" t="s">
        <v>4799</v>
      </c>
      <c r="W1622" s="181"/>
      <c r="X1622" s="264"/>
      <c r="Y1622" s="265"/>
      <c r="Z1622" s="266"/>
      <c r="AA1622" s="235"/>
      <c r="AB1622" s="236"/>
      <c r="AC1622" s="292"/>
      <c r="AD1622" s="293"/>
      <c r="AE1622" s="36"/>
      <c r="AF1622" s="167"/>
      <c r="AG1622" s="168"/>
      <c r="AH1622" s="169"/>
      <c r="AI1622" s="36"/>
      <c r="AJ1622" s="48"/>
      <c r="AK1622" s="15"/>
      <c r="AL1622" s="15"/>
    </row>
    <row r="1623" spans="1:38" ht="60" x14ac:dyDescent="0.25">
      <c r="A1623" s="179"/>
      <c r="B1623" s="292"/>
      <c r="C1623" s="314"/>
      <c r="D1623" s="293"/>
      <c r="E1623" s="28" t="s">
        <v>4810</v>
      </c>
      <c r="F1623" s="235"/>
      <c r="G1623" s="270"/>
      <c r="H1623" s="236"/>
      <c r="I1623" s="110" t="s">
        <v>758</v>
      </c>
      <c r="J1623" s="111"/>
      <c r="K1623" s="104" t="s">
        <v>4796</v>
      </c>
      <c r="L1623" s="105"/>
      <c r="M1623" s="180" t="s">
        <v>4797</v>
      </c>
      <c r="N1623" s="450"/>
      <c r="O1623" s="181"/>
      <c r="P1623" s="180" t="s">
        <v>4798</v>
      </c>
      <c r="Q1623" s="181"/>
      <c r="R1623" s="155">
        <v>5</v>
      </c>
      <c r="S1623" s="157"/>
      <c r="T1623" s="183">
        <v>3</v>
      </c>
      <c r="U1623" s="185"/>
      <c r="V1623" s="180" t="s">
        <v>4799</v>
      </c>
      <c r="W1623" s="181"/>
      <c r="X1623" s="267"/>
      <c r="Y1623" s="268"/>
      <c r="Z1623" s="269"/>
      <c r="AA1623" s="237"/>
      <c r="AB1623" s="238"/>
      <c r="AC1623" s="292"/>
      <c r="AD1623" s="293"/>
      <c r="AE1623" s="36"/>
      <c r="AF1623" s="167"/>
      <c r="AG1623" s="168"/>
      <c r="AH1623" s="169"/>
      <c r="AI1623" s="36"/>
      <c r="AJ1623" s="48"/>
      <c r="AK1623" s="15"/>
      <c r="AL1623" s="15"/>
    </row>
    <row r="1624" spans="1:38" ht="75" x14ac:dyDescent="0.25">
      <c r="A1624" s="179"/>
      <c r="B1624" s="292"/>
      <c r="C1624" s="314"/>
      <c r="D1624" s="293"/>
      <c r="E1624" s="28" t="s">
        <v>4811</v>
      </c>
      <c r="F1624" s="235"/>
      <c r="G1624" s="270"/>
      <c r="H1624" s="236"/>
      <c r="I1624" s="110" t="s">
        <v>758</v>
      </c>
      <c r="J1624" s="111"/>
      <c r="K1624" s="104" t="s">
        <v>4796</v>
      </c>
      <c r="L1624" s="105"/>
      <c r="M1624" s="180" t="s">
        <v>4797</v>
      </c>
      <c r="N1624" s="450"/>
      <c r="O1624" s="181"/>
      <c r="P1624" s="180" t="s">
        <v>4798</v>
      </c>
      <c r="Q1624" s="181"/>
      <c r="R1624" s="155">
        <v>5</v>
      </c>
      <c r="S1624" s="157"/>
      <c r="T1624" s="183">
        <v>3</v>
      </c>
      <c r="U1624" s="185"/>
      <c r="V1624" s="180" t="s">
        <v>4799</v>
      </c>
      <c r="W1624" s="181"/>
      <c r="X1624" s="261" t="s">
        <v>1488</v>
      </c>
      <c r="Y1624" s="262"/>
      <c r="Z1624" s="263"/>
      <c r="AA1624" s="233" t="s">
        <v>1038</v>
      </c>
      <c r="AB1624" s="234"/>
      <c r="AC1624" s="292"/>
      <c r="AD1624" s="293"/>
      <c r="AE1624" s="36"/>
      <c r="AF1624" s="167"/>
      <c r="AG1624" s="168"/>
      <c r="AH1624" s="169"/>
      <c r="AI1624" s="36"/>
      <c r="AJ1624" s="48"/>
      <c r="AK1624" s="15"/>
      <c r="AL1624" s="15"/>
    </row>
    <row r="1625" spans="1:38" ht="75" x14ac:dyDescent="0.25">
      <c r="A1625" s="179"/>
      <c r="B1625" s="292"/>
      <c r="C1625" s="314"/>
      <c r="D1625" s="293"/>
      <c r="E1625" s="28" t="s">
        <v>4812</v>
      </c>
      <c r="F1625" s="235"/>
      <c r="G1625" s="270"/>
      <c r="H1625" s="236"/>
      <c r="I1625" s="110" t="s">
        <v>758</v>
      </c>
      <c r="J1625" s="111"/>
      <c r="K1625" s="104" t="s">
        <v>4796</v>
      </c>
      <c r="L1625" s="105"/>
      <c r="M1625" s="180" t="s">
        <v>4797</v>
      </c>
      <c r="N1625" s="450"/>
      <c r="O1625" s="181"/>
      <c r="P1625" s="180" t="s">
        <v>4798</v>
      </c>
      <c r="Q1625" s="181"/>
      <c r="R1625" s="155">
        <v>5</v>
      </c>
      <c r="S1625" s="157"/>
      <c r="T1625" s="183">
        <v>3</v>
      </c>
      <c r="U1625" s="185"/>
      <c r="V1625" s="180" t="s">
        <v>4799</v>
      </c>
      <c r="W1625" s="181"/>
      <c r="X1625" s="264"/>
      <c r="Y1625" s="265"/>
      <c r="Z1625" s="266"/>
      <c r="AA1625" s="235"/>
      <c r="AB1625" s="236"/>
      <c r="AC1625" s="292"/>
      <c r="AD1625" s="293"/>
      <c r="AE1625" s="36"/>
      <c r="AF1625" s="167"/>
      <c r="AG1625" s="168"/>
      <c r="AH1625" s="169"/>
      <c r="AI1625" s="36"/>
      <c r="AJ1625" s="48"/>
      <c r="AK1625" s="15"/>
      <c r="AL1625" s="15"/>
    </row>
    <row r="1626" spans="1:38" ht="75" x14ac:dyDescent="0.25">
      <c r="A1626" s="179"/>
      <c r="B1626" s="292"/>
      <c r="C1626" s="314"/>
      <c r="D1626" s="293"/>
      <c r="E1626" s="28" t="s">
        <v>4813</v>
      </c>
      <c r="F1626" s="235"/>
      <c r="G1626" s="270"/>
      <c r="H1626" s="236"/>
      <c r="I1626" s="110" t="s">
        <v>758</v>
      </c>
      <c r="J1626" s="111"/>
      <c r="K1626" s="104" t="s">
        <v>4796</v>
      </c>
      <c r="L1626" s="105"/>
      <c r="M1626" s="180" t="s">
        <v>4797</v>
      </c>
      <c r="N1626" s="450"/>
      <c r="O1626" s="181"/>
      <c r="P1626" s="180" t="s">
        <v>4798</v>
      </c>
      <c r="Q1626" s="181"/>
      <c r="R1626" s="155">
        <v>5</v>
      </c>
      <c r="S1626" s="157"/>
      <c r="T1626" s="183">
        <v>3</v>
      </c>
      <c r="U1626" s="185"/>
      <c r="V1626" s="180" t="s">
        <v>4799</v>
      </c>
      <c r="W1626" s="181"/>
      <c r="X1626" s="264"/>
      <c r="Y1626" s="265"/>
      <c r="Z1626" s="266"/>
      <c r="AA1626" s="235"/>
      <c r="AB1626" s="236"/>
      <c r="AC1626" s="292"/>
      <c r="AD1626" s="293"/>
      <c r="AE1626" s="36"/>
      <c r="AF1626" s="167"/>
      <c r="AG1626" s="168"/>
      <c r="AH1626" s="169"/>
      <c r="AI1626" s="36"/>
      <c r="AJ1626" s="48"/>
      <c r="AK1626" s="15"/>
      <c r="AL1626" s="15"/>
    </row>
    <row r="1627" spans="1:38" ht="75" x14ac:dyDescent="0.25">
      <c r="A1627" s="179"/>
      <c r="B1627" s="292"/>
      <c r="C1627" s="314"/>
      <c r="D1627" s="293"/>
      <c r="E1627" s="28" t="s">
        <v>4814</v>
      </c>
      <c r="F1627" s="235"/>
      <c r="G1627" s="270"/>
      <c r="H1627" s="236"/>
      <c r="I1627" s="110" t="s">
        <v>758</v>
      </c>
      <c r="J1627" s="111"/>
      <c r="K1627" s="104" t="s">
        <v>4796</v>
      </c>
      <c r="L1627" s="105"/>
      <c r="M1627" s="180" t="s">
        <v>4797</v>
      </c>
      <c r="N1627" s="450"/>
      <c r="O1627" s="181"/>
      <c r="P1627" s="180" t="s">
        <v>4798</v>
      </c>
      <c r="Q1627" s="181"/>
      <c r="R1627" s="155">
        <v>5</v>
      </c>
      <c r="S1627" s="157"/>
      <c r="T1627" s="183">
        <v>3</v>
      </c>
      <c r="U1627" s="185"/>
      <c r="V1627" s="180" t="s">
        <v>4799</v>
      </c>
      <c r="W1627" s="181"/>
      <c r="X1627" s="264"/>
      <c r="Y1627" s="265"/>
      <c r="Z1627" s="266"/>
      <c r="AA1627" s="235"/>
      <c r="AB1627" s="236"/>
      <c r="AC1627" s="292"/>
      <c r="AD1627" s="293"/>
      <c r="AE1627" s="36"/>
      <c r="AF1627" s="167"/>
      <c r="AG1627" s="168"/>
      <c r="AH1627" s="169"/>
      <c r="AI1627" s="36"/>
      <c r="AJ1627" s="48"/>
      <c r="AK1627" s="15"/>
      <c r="AL1627" s="15"/>
    </row>
    <row r="1628" spans="1:38" ht="75" x14ac:dyDescent="0.25">
      <c r="A1628" s="179"/>
      <c r="B1628" s="292"/>
      <c r="C1628" s="314"/>
      <c r="D1628" s="293"/>
      <c r="E1628" s="28" t="s">
        <v>4815</v>
      </c>
      <c r="F1628" s="235"/>
      <c r="G1628" s="270"/>
      <c r="H1628" s="236"/>
      <c r="I1628" s="110" t="s">
        <v>758</v>
      </c>
      <c r="J1628" s="111"/>
      <c r="K1628" s="104" t="s">
        <v>4796</v>
      </c>
      <c r="L1628" s="105"/>
      <c r="M1628" s="180" t="s">
        <v>4797</v>
      </c>
      <c r="N1628" s="450"/>
      <c r="O1628" s="181"/>
      <c r="P1628" s="180" t="s">
        <v>4798</v>
      </c>
      <c r="Q1628" s="181"/>
      <c r="R1628" s="155">
        <v>5</v>
      </c>
      <c r="S1628" s="157"/>
      <c r="T1628" s="183">
        <v>3</v>
      </c>
      <c r="U1628" s="185"/>
      <c r="V1628" s="180" t="s">
        <v>4799</v>
      </c>
      <c r="W1628" s="181"/>
      <c r="X1628" s="264"/>
      <c r="Y1628" s="265"/>
      <c r="Z1628" s="266"/>
      <c r="AA1628" s="235"/>
      <c r="AB1628" s="236"/>
      <c r="AC1628" s="292"/>
      <c r="AD1628" s="293"/>
      <c r="AE1628" s="36"/>
      <c r="AF1628" s="167"/>
      <c r="AG1628" s="168"/>
      <c r="AH1628" s="169"/>
      <c r="AI1628" s="36"/>
      <c r="AJ1628" s="48"/>
      <c r="AK1628" s="15"/>
      <c r="AL1628" s="15"/>
    </row>
    <row r="1629" spans="1:38" ht="75" x14ac:dyDescent="0.25">
      <c r="A1629" s="179"/>
      <c r="B1629" s="292"/>
      <c r="C1629" s="314"/>
      <c r="D1629" s="293"/>
      <c r="E1629" s="28" t="s">
        <v>4816</v>
      </c>
      <c r="F1629" s="235"/>
      <c r="G1629" s="270"/>
      <c r="H1629" s="236"/>
      <c r="I1629" s="110" t="s">
        <v>758</v>
      </c>
      <c r="J1629" s="111"/>
      <c r="K1629" s="146" t="s">
        <v>4796</v>
      </c>
      <c r="L1629" s="148"/>
      <c r="M1629" s="180" t="s">
        <v>4797</v>
      </c>
      <c r="N1629" s="450"/>
      <c r="O1629" s="181"/>
      <c r="P1629" s="180" t="s">
        <v>4798</v>
      </c>
      <c r="Q1629" s="181"/>
      <c r="R1629" s="155">
        <v>5</v>
      </c>
      <c r="S1629" s="157"/>
      <c r="T1629" s="183">
        <v>3</v>
      </c>
      <c r="U1629" s="185"/>
      <c r="V1629" s="180" t="s">
        <v>4799</v>
      </c>
      <c r="W1629" s="181"/>
      <c r="X1629" s="267"/>
      <c r="Y1629" s="268"/>
      <c r="Z1629" s="269"/>
      <c r="AA1629" s="237"/>
      <c r="AB1629" s="238"/>
      <c r="AC1629" s="292"/>
      <c r="AD1629" s="293"/>
      <c r="AE1629" s="36"/>
      <c r="AF1629" s="167"/>
      <c r="AG1629" s="168"/>
      <c r="AH1629" s="169"/>
      <c r="AI1629" s="36"/>
      <c r="AJ1629" s="48"/>
      <c r="AK1629" s="15"/>
      <c r="AL1629" s="15"/>
    </row>
    <row r="1630" spans="1:38" ht="75" x14ac:dyDescent="0.25">
      <c r="A1630" s="179"/>
      <c r="B1630" s="292"/>
      <c r="C1630" s="314"/>
      <c r="D1630" s="293"/>
      <c r="E1630" s="28" t="s">
        <v>4817</v>
      </c>
      <c r="F1630" s="235"/>
      <c r="G1630" s="270"/>
      <c r="H1630" s="236"/>
      <c r="I1630" s="112">
        <v>3</v>
      </c>
      <c r="J1630" s="113"/>
      <c r="K1630" s="143" t="s">
        <v>4796</v>
      </c>
      <c r="L1630" s="145"/>
      <c r="M1630" s="180" t="s">
        <v>969</v>
      </c>
      <c r="N1630" s="450"/>
      <c r="O1630" s="181"/>
      <c r="P1630" s="180" t="s">
        <v>4798</v>
      </c>
      <c r="Q1630" s="181"/>
      <c r="R1630" s="155">
        <v>5</v>
      </c>
      <c r="S1630" s="157"/>
      <c r="T1630" s="183">
        <v>3</v>
      </c>
      <c r="U1630" s="185"/>
      <c r="V1630" s="180" t="s">
        <v>4818</v>
      </c>
      <c r="W1630" s="181"/>
      <c r="X1630" s="261" t="s">
        <v>4819</v>
      </c>
      <c r="Y1630" s="262"/>
      <c r="Z1630" s="263"/>
      <c r="AA1630" s="233" t="s">
        <v>2395</v>
      </c>
      <c r="AB1630" s="234"/>
      <c r="AC1630" s="292"/>
      <c r="AD1630" s="293"/>
      <c r="AE1630" s="36"/>
      <c r="AF1630" s="167"/>
      <c r="AG1630" s="168"/>
      <c r="AH1630" s="169"/>
      <c r="AI1630" s="36"/>
      <c r="AJ1630" s="48"/>
      <c r="AK1630" s="15"/>
      <c r="AL1630" s="15"/>
    </row>
    <row r="1631" spans="1:38" ht="75" x14ac:dyDescent="0.25">
      <c r="A1631" s="179"/>
      <c r="B1631" s="292"/>
      <c r="C1631" s="314"/>
      <c r="D1631" s="293"/>
      <c r="E1631" s="28" t="s">
        <v>4820</v>
      </c>
      <c r="F1631" s="235"/>
      <c r="G1631" s="270"/>
      <c r="H1631" s="236"/>
      <c r="I1631" s="155">
        <v>3</v>
      </c>
      <c r="J1631" s="157"/>
      <c r="K1631" s="104" t="s">
        <v>4796</v>
      </c>
      <c r="L1631" s="105"/>
      <c r="M1631" s="180" t="s">
        <v>969</v>
      </c>
      <c r="N1631" s="450"/>
      <c r="O1631" s="181"/>
      <c r="P1631" s="180" t="s">
        <v>4798</v>
      </c>
      <c r="Q1631" s="181"/>
      <c r="R1631" s="155">
        <v>5</v>
      </c>
      <c r="S1631" s="157"/>
      <c r="T1631" s="183">
        <v>3</v>
      </c>
      <c r="U1631" s="185"/>
      <c r="V1631" s="180" t="s">
        <v>4818</v>
      </c>
      <c r="W1631" s="181"/>
      <c r="X1631" s="264"/>
      <c r="Y1631" s="265"/>
      <c r="Z1631" s="266"/>
      <c r="AA1631" s="235"/>
      <c r="AB1631" s="236"/>
      <c r="AC1631" s="292"/>
      <c r="AD1631" s="293"/>
      <c r="AE1631" s="36"/>
      <c r="AF1631" s="167"/>
      <c r="AG1631" s="168"/>
      <c r="AH1631" s="169"/>
      <c r="AI1631" s="36"/>
      <c r="AJ1631" s="48"/>
      <c r="AK1631" s="15"/>
      <c r="AL1631" s="15"/>
    </row>
    <row r="1632" spans="1:38" ht="75" x14ac:dyDescent="0.25">
      <c r="A1632" s="179"/>
      <c r="B1632" s="292"/>
      <c r="C1632" s="314"/>
      <c r="D1632" s="293"/>
      <c r="E1632" s="28" t="s">
        <v>4821</v>
      </c>
      <c r="F1632" s="235"/>
      <c r="G1632" s="270"/>
      <c r="H1632" s="236"/>
      <c r="I1632" s="155">
        <v>3</v>
      </c>
      <c r="J1632" s="157"/>
      <c r="K1632" s="104" t="s">
        <v>4796</v>
      </c>
      <c r="L1632" s="105"/>
      <c r="M1632" s="180" t="s">
        <v>969</v>
      </c>
      <c r="N1632" s="450"/>
      <c r="O1632" s="181"/>
      <c r="P1632" s="180" t="s">
        <v>4798</v>
      </c>
      <c r="Q1632" s="181"/>
      <c r="R1632" s="155">
        <v>5</v>
      </c>
      <c r="S1632" s="157"/>
      <c r="T1632" s="183">
        <v>3</v>
      </c>
      <c r="U1632" s="185"/>
      <c r="V1632" s="180" t="s">
        <v>4818</v>
      </c>
      <c r="W1632" s="181"/>
      <c r="X1632" s="264"/>
      <c r="Y1632" s="265"/>
      <c r="Z1632" s="266"/>
      <c r="AA1632" s="235"/>
      <c r="AB1632" s="236"/>
      <c r="AC1632" s="292"/>
      <c r="AD1632" s="293"/>
      <c r="AE1632" s="36"/>
      <c r="AF1632" s="167"/>
      <c r="AG1632" s="168"/>
      <c r="AH1632" s="169"/>
      <c r="AI1632" s="36"/>
      <c r="AJ1632" s="48"/>
      <c r="AK1632" s="15"/>
      <c r="AL1632" s="15"/>
    </row>
    <row r="1633" spans="1:38" ht="75" x14ac:dyDescent="0.25">
      <c r="A1633" s="179"/>
      <c r="B1633" s="292"/>
      <c r="C1633" s="314"/>
      <c r="D1633" s="293"/>
      <c r="E1633" s="28" t="s">
        <v>4822</v>
      </c>
      <c r="F1633" s="235"/>
      <c r="G1633" s="270"/>
      <c r="H1633" s="236"/>
      <c r="I1633" s="155">
        <v>3</v>
      </c>
      <c r="J1633" s="157"/>
      <c r="K1633" s="104" t="s">
        <v>4796</v>
      </c>
      <c r="L1633" s="105"/>
      <c r="M1633" s="180" t="s">
        <v>969</v>
      </c>
      <c r="N1633" s="450"/>
      <c r="O1633" s="181"/>
      <c r="P1633" s="180" t="s">
        <v>4798</v>
      </c>
      <c r="Q1633" s="181"/>
      <c r="R1633" s="155">
        <v>5</v>
      </c>
      <c r="S1633" s="157"/>
      <c r="T1633" s="183">
        <v>3</v>
      </c>
      <c r="U1633" s="185"/>
      <c r="V1633" s="180" t="s">
        <v>4818</v>
      </c>
      <c r="W1633" s="181"/>
      <c r="X1633" s="264"/>
      <c r="Y1633" s="265"/>
      <c r="Z1633" s="266"/>
      <c r="AA1633" s="235"/>
      <c r="AB1633" s="236"/>
      <c r="AC1633" s="292"/>
      <c r="AD1633" s="293"/>
      <c r="AE1633" s="36"/>
      <c r="AF1633" s="167"/>
      <c r="AG1633" s="168"/>
      <c r="AH1633" s="169"/>
      <c r="AI1633" s="36"/>
      <c r="AJ1633" s="48"/>
      <c r="AK1633" s="15"/>
      <c r="AL1633" s="15"/>
    </row>
    <row r="1634" spans="1:38" ht="75" x14ac:dyDescent="0.25">
      <c r="A1634" s="179"/>
      <c r="B1634" s="292"/>
      <c r="C1634" s="314"/>
      <c r="D1634" s="293"/>
      <c r="E1634" s="28" t="s">
        <v>4823</v>
      </c>
      <c r="F1634" s="235"/>
      <c r="G1634" s="270"/>
      <c r="H1634" s="236"/>
      <c r="I1634" s="155">
        <v>3</v>
      </c>
      <c r="J1634" s="157"/>
      <c r="K1634" s="104" t="s">
        <v>4796</v>
      </c>
      <c r="L1634" s="105"/>
      <c r="M1634" s="180" t="s">
        <v>969</v>
      </c>
      <c r="N1634" s="450"/>
      <c r="O1634" s="181"/>
      <c r="P1634" s="180" t="s">
        <v>4798</v>
      </c>
      <c r="Q1634" s="181"/>
      <c r="R1634" s="155">
        <v>5</v>
      </c>
      <c r="S1634" s="157"/>
      <c r="T1634" s="183">
        <v>3</v>
      </c>
      <c r="U1634" s="185"/>
      <c r="V1634" s="180" t="s">
        <v>4818</v>
      </c>
      <c r="W1634" s="181"/>
      <c r="X1634" s="264"/>
      <c r="Y1634" s="265"/>
      <c r="Z1634" s="266"/>
      <c r="AA1634" s="235"/>
      <c r="AB1634" s="236"/>
      <c r="AC1634" s="292"/>
      <c r="AD1634" s="293"/>
      <c r="AE1634" s="36"/>
      <c r="AF1634" s="167"/>
      <c r="AG1634" s="168"/>
      <c r="AH1634" s="169"/>
      <c r="AI1634" s="36"/>
      <c r="AJ1634" s="48"/>
      <c r="AK1634" s="15"/>
      <c r="AL1634" s="15"/>
    </row>
    <row r="1635" spans="1:38" ht="75" x14ac:dyDescent="0.25">
      <c r="A1635" s="179"/>
      <c r="B1635" s="292"/>
      <c r="C1635" s="314"/>
      <c r="D1635" s="293"/>
      <c r="E1635" s="28" t="s">
        <v>4824</v>
      </c>
      <c r="F1635" s="235"/>
      <c r="G1635" s="270"/>
      <c r="H1635" s="236"/>
      <c r="I1635" s="155">
        <v>3</v>
      </c>
      <c r="J1635" s="157"/>
      <c r="K1635" s="104" t="s">
        <v>4796</v>
      </c>
      <c r="L1635" s="105"/>
      <c r="M1635" s="180" t="s">
        <v>969</v>
      </c>
      <c r="N1635" s="450"/>
      <c r="O1635" s="181"/>
      <c r="P1635" s="180" t="s">
        <v>4798</v>
      </c>
      <c r="Q1635" s="181"/>
      <c r="R1635" s="155">
        <v>5</v>
      </c>
      <c r="S1635" s="157"/>
      <c r="T1635" s="183">
        <v>3</v>
      </c>
      <c r="U1635" s="185"/>
      <c r="V1635" s="180" t="s">
        <v>4818</v>
      </c>
      <c r="W1635" s="181"/>
      <c r="X1635" s="267"/>
      <c r="Y1635" s="268"/>
      <c r="Z1635" s="269"/>
      <c r="AA1635" s="237"/>
      <c r="AB1635" s="238"/>
      <c r="AC1635" s="292"/>
      <c r="AD1635" s="293"/>
      <c r="AE1635" s="36"/>
      <c r="AF1635" s="167"/>
      <c r="AG1635" s="168"/>
      <c r="AH1635" s="169"/>
      <c r="AI1635" s="36"/>
      <c r="AJ1635" s="48"/>
      <c r="AK1635" s="15"/>
      <c r="AL1635" s="15"/>
    </row>
    <row r="1636" spans="1:38" ht="90" x14ac:dyDescent="0.25">
      <c r="A1636" s="179"/>
      <c r="B1636" s="292"/>
      <c r="C1636" s="314"/>
      <c r="D1636" s="293"/>
      <c r="E1636" s="28" t="s">
        <v>4825</v>
      </c>
      <c r="F1636" s="235"/>
      <c r="G1636" s="270"/>
      <c r="H1636" s="236"/>
      <c r="I1636" s="155">
        <v>3</v>
      </c>
      <c r="J1636" s="157"/>
      <c r="K1636" s="104" t="s">
        <v>4796</v>
      </c>
      <c r="L1636" s="105"/>
      <c r="M1636" s="180" t="s">
        <v>969</v>
      </c>
      <c r="N1636" s="450"/>
      <c r="O1636" s="181"/>
      <c r="P1636" s="180" t="s">
        <v>4798</v>
      </c>
      <c r="Q1636" s="181"/>
      <c r="R1636" s="155">
        <v>5</v>
      </c>
      <c r="S1636" s="157"/>
      <c r="T1636" s="183">
        <v>3</v>
      </c>
      <c r="U1636" s="185"/>
      <c r="V1636" s="180" t="s">
        <v>4818</v>
      </c>
      <c r="W1636" s="181"/>
      <c r="X1636" s="261" t="s">
        <v>3641</v>
      </c>
      <c r="Y1636" s="262"/>
      <c r="Z1636" s="263"/>
      <c r="AA1636" s="233" t="s">
        <v>1338</v>
      </c>
      <c r="AB1636" s="234"/>
      <c r="AC1636" s="292"/>
      <c r="AD1636" s="293"/>
      <c r="AE1636" s="36"/>
      <c r="AF1636" s="167"/>
      <c r="AG1636" s="168"/>
      <c r="AH1636" s="169"/>
      <c r="AI1636" s="36"/>
      <c r="AJ1636" s="48"/>
      <c r="AK1636" s="15"/>
      <c r="AL1636" s="15"/>
    </row>
    <row r="1637" spans="1:38" ht="90" x14ac:dyDescent="0.25">
      <c r="A1637" s="179"/>
      <c r="B1637" s="292"/>
      <c r="C1637" s="314"/>
      <c r="D1637" s="293"/>
      <c r="E1637" s="28" t="s">
        <v>4826</v>
      </c>
      <c r="F1637" s="235"/>
      <c r="G1637" s="270"/>
      <c r="H1637" s="236"/>
      <c r="I1637" s="155">
        <v>3</v>
      </c>
      <c r="J1637" s="157"/>
      <c r="K1637" s="104" t="s">
        <v>4796</v>
      </c>
      <c r="L1637" s="105"/>
      <c r="M1637" s="180" t="s">
        <v>969</v>
      </c>
      <c r="N1637" s="450"/>
      <c r="O1637" s="181"/>
      <c r="P1637" s="180" t="s">
        <v>4798</v>
      </c>
      <c r="Q1637" s="181"/>
      <c r="R1637" s="155">
        <v>5</v>
      </c>
      <c r="S1637" s="157"/>
      <c r="T1637" s="183">
        <v>3</v>
      </c>
      <c r="U1637" s="185"/>
      <c r="V1637" s="180" t="s">
        <v>4818</v>
      </c>
      <c r="W1637" s="181"/>
      <c r="X1637" s="264"/>
      <c r="Y1637" s="265"/>
      <c r="Z1637" s="266"/>
      <c r="AA1637" s="235"/>
      <c r="AB1637" s="236"/>
      <c r="AC1637" s="292"/>
      <c r="AD1637" s="293"/>
      <c r="AE1637" s="36"/>
      <c r="AF1637" s="167"/>
      <c r="AG1637" s="168"/>
      <c r="AH1637" s="169"/>
      <c r="AI1637" s="36"/>
      <c r="AJ1637" s="48"/>
      <c r="AK1637" s="15"/>
      <c r="AL1637" s="15"/>
    </row>
    <row r="1638" spans="1:38" ht="90" x14ac:dyDescent="0.25">
      <c r="A1638" s="179"/>
      <c r="B1638" s="292"/>
      <c r="C1638" s="314"/>
      <c r="D1638" s="293"/>
      <c r="E1638" s="28" t="s">
        <v>4827</v>
      </c>
      <c r="F1638" s="235"/>
      <c r="G1638" s="270"/>
      <c r="H1638" s="236"/>
      <c r="I1638" s="155">
        <v>3</v>
      </c>
      <c r="J1638" s="157"/>
      <c r="K1638" s="104" t="s">
        <v>4796</v>
      </c>
      <c r="L1638" s="105"/>
      <c r="M1638" s="180" t="s">
        <v>969</v>
      </c>
      <c r="N1638" s="450"/>
      <c r="O1638" s="181"/>
      <c r="P1638" s="180" t="s">
        <v>4798</v>
      </c>
      <c r="Q1638" s="181"/>
      <c r="R1638" s="155">
        <v>5</v>
      </c>
      <c r="S1638" s="157"/>
      <c r="T1638" s="183">
        <v>3</v>
      </c>
      <c r="U1638" s="185"/>
      <c r="V1638" s="180" t="s">
        <v>4818</v>
      </c>
      <c r="W1638" s="181"/>
      <c r="X1638" s="264"/>
      <c r="Y1638" s="265"/>
      <c r="Z1638" s="266"/>
      <c r="AA1638" s="235"/>
      <c r="AB1638" s="236"/>
      <c r="AC1638" s="292"/>
      <c r="AD1638" s="293"/>
      <c r="AE1638" s="36"/>
      <c r="AF1638" s="167"/>
      <c r="AG1638" s="168"/>
      <c r="AH1638" s="169"/>
      <c r="AI1638" s="36"/>
      <c r="AJ1638" s="48"/>
      <c r="AK1638" s="15"/>
      <c r="AL1638" s="15"/>
    </row>
    <row r="1639" spans="1:38" ht="90" x14ac:dyDescent="0.25">
      <c r="A1639" s="179"/>
      <c r="B1639" s="292"/>
      <c r="C1639" s="314"/>
      <c r="D1639" s="293"/>
      <c r="E1639" s="28" t="s">
        <v>4828</v>
      </c>
      <c r="F1639" s="235"/>
      <c r="G1639" s="270"/>
      <c r="H1639" s="236"/>
      <c r="I1639" s="155">
        <v>3</v>
      </c>
      <c r="J1639" s="157"/>
      <c r="K1639" s="104" t="s">
        <v>4796</v>
      </c>
      <c r="L1639" s="105"/>
      <c r="M1639" s="180" t="s">
        <v>969</v>
      </c>
      <c r="N1639" s="450"/>
      <c r="O1639" s="181"/>
      <c r="P1639" s="180" t="s">
        <v>4798</v>
      </c>
      <c r="Q1639" s="181"/>
      <c r="R1639" s="155">
        <v>5</v>
      </c>
      <c r="S1639" s="157"/>
      <c r="T1639" s="183">
        <v>3</v>
      </c>
      <c r="U1639" s="185"/>
      <c r="V1639" s="180" t="s">
        <v>4818</v>
      </c>
      <c r="W1639" s="181"/>
      <c r="X1639" s="264"/>
      <c r="Y1639" s="265"/>
      <c r="Z1639" s="266"/>
      <c r="AA1639" s="235"/>
      <c r="AB1639" s="236"/>
      <c r="AC1639" s="292"/>
      <c r="AD1639" s="293"/>
      <c r="AE1639" s="36"/>
      <c r="AF1639" s="167"/>
      <c r="AG1639" s="168"/>
      <c r="AH1639" s="169"/>
      <c r="AI1639" s="36"/>
      <c r="AJ1639" s="48"/>
      <c r="AK1639" s="15"/>
      <c r="AL1639" s="15"/>
    </row>
    <row r="1640" spans="1:38" ht="90" x14ac:dyDescent="0.25">
      <c r="A1640" s="179"/>
      <c r="B1640" s="292"/>
      <c r="C1640" s="314"/>
      <c r="D1640" s="293"/>
      <c r="E1640" s="28" t="s">
        <v>4829</v>
      </c>
      <c r="F1640" s="235"/>
      <c r="G1640" s="270"/>
      <c r="H1640" s="236"/>
      <c r="I1640" s="155">
        <v>3</v>
      </c>
      <c r="J1640" s="157"/>
      <c r="K1640" s="104" t="s">
        <v>4796</v>
      </c>
      <c r="L1640" s="105"/>
      <c r="M1640" s="180" t="s">
        <v>969</v>
      </c>
      <c r="N1640" s="450"/>
      <c r="O1640" s="181"/>
      <c r="P1640" s="180" t="s">
        <v>4798</v>
      </c>
      <c r="Q1640" s="181"/>
      <c r="R1640" s="155">
        <v>5</v>
      </c>
      <c r="S1640" s="157"/>
      <c r="T1640" s="183">
        <v>3</v>
      </c>
      <c r="U1640" s="185"/>
      <c r="V1640" s="180" t="s">
        <v>4818</v>
      </c>
      <c r="W1640" s="181"/>
      <c r="X1640" s="264"/>
      <c r="Y1640" s="265"/>
      <c r="Z1640" s="266"/>
      <c r="AA1640" s="235"/>
      <c r="AB1640" s="236"/>
      <c r="AC1640" s="292"/>
      <c r="AD1640" s="293"/>
      <c r="AE1640" s="36"/>
      <c r="AF1640" s="167"/>
      <c r="AG1640" s="168"/>
      <c r="AH1640" s="169"/>
      <c r="AI1640" s="36"/>
      <c r="AJ1640" s="48"/>
      <c r="AK1640" s="15"/>
      <c r="AL1640" s="15"/>
    </row>
    <row r="1641" spans="1:38" ht="90" x14ac:dyDescent="0.25">
      <c r="A1641" s="230"/>
      <c r="B1641" s="290"/>
      <c r="C1641" s="345"/>
      <c r="D1641" s="291"/>
      <c r="E1641" s="28" t="s">
        <v>4830</v>
      </c>
      <c r="F1641" s="237"/>
      <c r="G1641" s="306"/>
      <c r="H1641" s="238"/>
      <c r="I1641" s="160">
        <v>3</v>
      </c>
      <c r="J1641" s="161"/>
      <c r="K1641" s="146" t="s">
        <v>4796</v>
      </c>
      <c r="L1641" s="148"/>
      <c r="M1641" s="180" t="s">
        <v>969</v>
      </c>
      <c r="N1641" s="450"/>
      <c r="O1641" s="181"/>
      <c r="P1641" s="180" t="s">
        <v>4798</v>
      </c>
      <c r="Q1641" s="181"/>
      <c r="R1641" s="155">
        <v>5</v>
      </c>
      <c r="S1641" s="157"/>
      <c r="T1641" s="183">
        <v>3</v>
      </c>
      <c r="U1641" s="185"/>
      <c r="V1641" s="180" t="s">
        <v>4818</v>
      </c>
      <c r="W1641" s="181"/>
      <c r="X1641" s="267"/>
      <c r="Y1641" s="268"/>
      <c r="Z1641" s="269"/>
      <c r="AA1641" s="237"/>
      <c r="AB1641" s="238"/>
      <c r="AC1641" s="290"/>
      <c r="AD1641" s="291"/>
      <c r="AE1641" s="36"/>
      <c r="AF1641" s="214"/>
      <c r="AG1641" s="215"/>
      <c r="AH1641" s="216"/>
      <c r="AI1641" s="36"/>
      <c r="AJ1641" s="48"/>
      <c r="AK1641" s="15"/>
      <c r="AL1641" s="15"/>
    </row>
    <row r="1642" spans="1:38" ht="75" x14ac:dyDescent="0.3">
      <c r="A1642" s="178"/>
      <c r="B1642" s="303" t="s">
        <v>4831</v>
      </c>
      <c r="C1642" s="344"/>
      <c r="D1642" s="304"/>
      <c r="E1642" s="28" t="s">
        <v>4832</v>
      </c>
      <c r="F1642" s="143" t="s">
        <v>4833</v>
      </c>
      <c r="G1642" s="144"/>
      <c r="H1642" s="145"/>
      <c r="I1642" s="112">
        <v>2</v>
      </c>
      <c r="J1642" s="113"/>
      <c r="K1642" s="143" t="s">
        <v>4834</v>
      </c>
      <c r="L1642" s="145"/>
      <c r="M1642" s="183">
        <v>30</v>
      </c>
      <c r="N1642" s="184"/>
      <c r="O1642" s="185"/>
      <c r="P1642" s="114" t="s">
        <v>1342</v>
      </c>
      <c r="Q1642" s="116"/>
      <c r="R1642" s="155">
        <v>5</v>
      </c>
      <c r="S1642" s="157"/>
      <c r="T1642" s="183">
        <v>5</v>
      </c>
      <c r="U1642" s="185"/>
      <c r="V1642" s="173" t="s">
        <v>2511</v>
      </c>
      <c r="W1642" s="174"/>
      <c r="X1642" s="227">
        <v>47</v>
      </c>
      <c r="Y1642" s="228"/>
      <c r="Z1642" s="229"/>
      <c r="AA1642" s="110" t="s">
        <v>4835</v>
      </c>
      <c r="AB1642" s="111"/>
      <c r="AC1642" s="171" t="s">
        <v>3194</v>
      </c>
      <c r="AD1642" s="172"/>
      <c r="AE1642" s="24" t="s">
        <v>4839</v>
      </c>
      <c r="AF1642" s="164"/>
      <c r="AG1642" s="165"/>
      <c r="AH1642" s="166"/>
      <c r="AI1642" s="164"/>
      <c r="AJ1642" s="48"/>
      <c r="AK1642" s="15"/>
      <c r="AL1642" s="15"/>
    </row>
    <row r="1643" spans="1:38" ht="75" x14ac:dyDescent="0.3">
      <c r="A1643" s="179"/>
      <c r="B1643" s="292"/>
      <c r="C1643" s="314"/>
      <c r="D1643" s="293"/>
      <c r="E1643" s="28" t="s">
        <v>4841</v>
      </c>
      <c r="F1643" s="104"/>
      <c r="G1643" s="202"/>
      <c r="H1643" s="105"/>
      <c r="I1643" s="155">
        <v>2</v>
      </c>
      <c r="J1643" s="157"/>
      <c r="K1643" s="104" t="s">
        <v>4834</v>
      </c>
      <c r="L1643" s="105"/>
      <c r="M1643" s="183">
        <v>28</v>
      </c>
      <c r="N1643" s="184"/>
      <c r="O1643" s="185"/>
      <c r="P1643" s="114" t="s">
        <v>1342</v>
      </c>
      <c r="Q1643" s="116"/>
      <c r="R1643" s="155">
        <v>5</v>
      </c>
      <c r="S1643" s="157"/>
      <c r="T1643" s="183">
        <v>5</v>
      </c>
      <c r="U1643" s="185"/>
      <c r="V1643" s="173" t="s">
        <v>3459</v>
      </c>
      <c r="W1643" s="174"/>
      <c r="X1643" s="227">
        <v>44</v>
      </c>
      <c r="Y1643" s="228"/>
      <c r="Z1643" s="229"/>
      <c r="AA1643" s="110" t="s">
        <v>1790</v>
      </c>
      <c r="AB1643" s="111"/>
      <c r="AC1643" s="162" t="s">
        <v>4836</v>
      </c>
      <c r="AD1643" s="163"/>
      <c r="AE1643" s="31" t="s">
        <v>1356</v>
      </c>
      <c r="AF1643" s="167"/>
      <c r="AG1643" s="168"/>
      <c r="AH1643" s="169"/>
      <c r="AI1643" s="167"/>
      <c r="AJ1643" s="48"/>
      <c r="AK1643" s="15"/>
      <c r="AL1643" s="15"/>
    </row>
    <row r="1644" spans="1:38" ht="60" x14ac:dyDescent="0.3">
      <c r="A1644" s="179"/>
      <c r="B1644" s="292"/>
      <c r="C1644" s="314"/>
      <c r="D1644" s="293"/>
      <c r="E1644" s="28" t="s">
        <v>4842</v>
      </c>
      <c r="F1644" s="146"/>
      <c r="G1644" s="147"/>
      <c r="H1644" s="148"/>
      <c r="I1644" s="160">
        <v>2</v>
      </c>
      <c r="J1644" s="161"/>
      <c r="K1644" s="146" t="s">
        <v>4834</v>
      </c>
      <c r="L1644" s="148"/>
      <c r="M1644" s="183">
        <v>28</v>
      </c>
      <c r="N1644" s="184"/>
      <c r="O1644" s="185"/>
      <c r="P1644" s="114" t="s">
        <v>1342</v>
      </c>
      <c r="Q1644" s="116"/>
      <c r="R1644" s="155">
        <v>5</v>
      </c>
      <c r="S1644" s="157"/>
      <c r="T1644" s="183">
        <v>5</v>
      </c>
      <c r="U1644" s="185"/>
      <c r="V1644" s="173" t="s">
        <v>3459</v>
      </c>
      <c r="W1644" s="174"/>
      <c r="X1644" s="227">
        <v>44</v>
      </c>
      <c r="Y1644" s="228"/>
      <c r="Z1644" s="229"/>
      <c r="AA1644" s="110" t="s">
        <v>1790</v>
      </c>
      <c r="AB1644" s="111"/>
      <c r="AC1644" s="162" t="s">
        <v>1939</v>
      </c>
      <c r="AD1644" s="163"/>
      <c r="AE1644" s="31" t="s">
        <v>4840</v>
      </c>
      <c r="AF1644" s="167"/>
      <c r="AG1644" s="168"/>
      <c r="AH1644" s="169"/>
      <c r="AI1644" s="167"/>
      <c r="AJ1644" s="48"/>
      <c r="AK1644" s="15"/>
      <c r="AL1644" s="15"/>
    </row>
    <row r="1645" spans="1:38" ht="75" x14ac:dyDescent="0.3">
      <c r="A1645" s="179"/>
      <c r="B1645" s="292"/>
      <c r="C1645" s="314"/>
      <c r="D1645" s="293"/>
      <c r="E1645" s="28" t="s">
        <v>4843</v>
      </c>
      <c r="F1645" s="192" t="s">
        <v>4844</v>
      </c>
      <c r="G1645" s="196"/>
      <c r="H1645" s="193"/>
      <c r="I1645" s="143" t="s">
        <v>688</v>
      </c>
      <c r="J1645" s="145"/>
      <c r="K1645" s="143" t="s">
        <v>4845</v>
      </c>
      <c r="L1645" s="145"/>
      <c r="M1645" s="183">
        <v>36</v>
      </c>
      <c r="N1645" s="184"/>
      <c r="O1645" s="185"/>
      <c r="P1645" s="183">
        <v>4</v>
      </c>
      <c r="Q1645" s="185"/>
      <c r="R1645" s="155">
        <v>5</v>
      </c>
      <c r="S1645" s="157"/>
      <c r="T1645" s="183">
        <v>5</v>
      </c>
      <c r="U1645" s="185"/>
      <c r="V1645" s="173" t="s">
        <v>3018</v>
      </c>
      <c r="W1645" s="174"/>
      <c r="X1645" s="227">
        <v>55</v>
      </c>
      <c r="Y1645" s="228"/>
      <c r="Z1645" s="229"/>
      <c r="AA1645" s="110" t="s">
        <v>4299</v>
      </c>
      <c r="AB1645" s="111"/>
      <c r="AC1645" s="162" t="s">
        <v>4837</v>
      </c>
      <c r="AD1645" s="163"/>
      <c r="AE1645" s="31"/>
      <c r="AF1645" s="167"/>
      <c r="AG1645" s="168"/>
      <c r="AH1645" s="169"/>
      <c r="AI1645" s="167"/>
      <c r="AJ1645" s="48"/>
      <c r="AK1645" s="15"/>
      <c r="AL1645" s="15"/>
    </row>
    <row r="1646" spans="1:38" ht="75" x14ac:dyDescent="0.3">
      <c r="A1646" s="179"/>
      <c r="B1646" s="292"/>
      <c r="C1646" s="314"/>
      <c r="D1646" s="293"/>
      <c r="E1646" s="28" t="s">
        <v>4846</v>
      </c>
      <c r="F1646" s="272"/>
      <c r="G1646" s="282"/>
      <c r="H1646" s="273"/>
      <c r="I1646" s="104" t="s">
        <v>688</v>
      </c>
      <c r="J1646" s="105"/>
      <c r="K1646" s="104" t="s">
        <v>4845</v>
      </c>
      <c r="L1646" s="105"/>
      <c r="M1646" s="183">
        <v>34</v>
      </c>
      <c r="N1646" s="184"/>
      <c r="O1646" s="185"/>
      <c r="P1646" s="183">
        <v>4</v>
      </c>
      <c r="Q1646" s="185"/>
      <c r="R1646" s="155">
        <v>5</v>
      </c>
      <c r="S1646" s="157"/>
      <c r="T1646" s="183">
        <v>5</v>
      </c>
      <c r="U1646" s="185"/>
      <c r="V1646" s="173" t="s">
        <v>1244</v>
      </c>
      <c r="W1646" s="174"/>
      <c r="X1646" s="227">
        <v>52</v>
      </c>
      <c r="Y1646" s="228"/>
      <c r="Z1646" s="229"/>
      <c r="AA1646" s="110" t="s">
        <v>2422</v>
      </c>
      <c r="AB1646" s="111"/>
      <c r="AC1646" s="162" t="s">
        <v>4838</v>
      </c>
      <c r="AD1646" s="163"/>
      <c r="AE1646" s="31"/>
      <c r="AF1646" s="167"/>
      <c r="AG1646" s="168"/>
      <c r="AH1646" s="169"/>
      <c r="AI1646" s="167"/>
      <c r="AJ1646" s="48"/>
      <c r="AK1646" s="15"/>
      <c r="AL1646" s="15"/>
    </row>
    <row r="1647" spans="1:38" ht="75" x14ac:dyDescent="0.3">
      <c r="A1647" s="179"/>
      <c r="B1647" s="292"/>
      <c r="C1647" s="314"/>
      <c r="D1647" s="293"/>
      <c r="E1647" s="28" t="s">
        <v>4847</v>
      </c>
      <c r="F1647" s="194"/>
      <c r="G1647" s="197"/>
      <c r="H1647" s="195"/>
      <c r="I1647" s="146" t="s">
        <v>688</v>
      </c>
      <c r="J1647" s="148"/>
      <c r="K1647" s="146" t="s">
        <v>4845</v>
      </c>
      <c r="L1647" s="148"/>
      <c r="M1647" s="183">
        <v>34</v>
      </c>
      <c r="N1647" s="184"/>
      <c r="O1647" s="185"/>
      <c r="P1647" s="183">
        <v>4</v>
      </c>
      <c r="Q1647" s="185"/>
      <c r="R1647" s="160">
        <v>5</v>
      </c>
      <c r="S1647" s="161"/>
      <c r="T1647" s="183">
        <v>5</v>
      </c>
      <c r="U1647" s="185"/>
      <c r="V1647" s="173" t="s">
        <v>1244</v>
      </c>
      <c r="W1647" s="174"/>
      <c r="X1647" s="227">
        <v>52</v>
      </c>
      <c r="Y1647" s="228"/>
      <c r="Z1647" s="229"/>
      <c r="AA1647" s="110" t="s">
        <v>2422</v>
      </c>
      <c r="AB1647" s="111"/>
      <c r="AC1647" s="162"/>
      <c r="AD1647" s="163"/>
      <c r="AE1647" s="31"/>
      <c r="AF1647" s="167"/>
      <c r="AG1647" s="168"/>
      <c r="AH1647" s="169"/>
      <c r="AI1647" s="167"/>
      <c r="AJ1647" s="48"/>
      <c r="AK1647" s="15"/>
      <c r="AL1647" s="15"/>
    </row>
    <row r="1648" spans="1:38" ht="75" x14ac:dyDescent="0.3">
      <c r="A1648" s="179"/>
      <c r="B1648" s="292"/>
      <c r="C1648" s="314"/>
      <c r="D1648" s="293"/>
      <c r="E1648" s="28" t="s">
        <v>4848</v>
      </c>
      <c r="F1648" s="143" t="s">
        <v>4849</v>
      </c>
      <c r="G1648" s="144"/>
      <c r="H1648" s="145"/>
      <c r="I1648" s="143" t="s">
        <v>1342</v>
      </c>
      <c r="J1648" s="145"/>
      <c r="K1648" s="143" t="s">
        <v>4499</v>
      </c>
      <c r="L1648" s="145"/>
      <c r="M1648" s="183">
        <v>42</v>
      </c>
      <c r="N1648" s="184"/>
      <c r="O1648" s="185"/>
      <c r="P1648" s="114" t="s">
        <v>1127</v>
      </c>
      <c r="Q1648" s="116"/>
      <c r="R1648" s="114" t="s">
        <v>1152</v>
      </c>
      <c r="S1648" s="116"/>
      <c r="T1648" s="183">
        <v>5</v>
      </c>
      <c r="U1648" s="185"/>
      <c r="V1648" s="180" t="s">
        <v>3502</v>
      </c>
      <c r="W1648" s="181"/>
      <c r="X1648" s="227">
        <v>63</v>
      </c>
      <c r="Y1648" s="228"/>
      <c r="Z1648" s="229"/>
      <c r="AA1648" s="110" t="s">
        <v>4629</v>
      </c>
      <c r="AB1648" s="111"/>
      <c r="AC1648" s="162"/>
      <c r="AD1648" s="163"/>
      <c r="AE1648" s="31"/>
      <c r="AF1648" s="167"/>
      <c r="AG1648" s="168"/>
      <c r="AH1648" s="169"/>
      <c r="AI1648" s="167"/>
      <c r="AJ1648" s="48"/>
      <c r="AK1648" s="15"/>
      <c r="AL1648" s="15"/>
    </row>
    <row r="1649" spans="1:38" ht="75" x14ac:dyDescent="0.3">
      <c r="A1649" s="179"/>
      <c r="B1649" s="292"/>
      <c r="C1649" s="314"/>
      <c r="D1649" s="293"/>
      <c r="E1649" s="28" t="s">
        <v>4850</v>
      </c>
      <c r="F1649" s="104"/>
      <c r="G1649" s="202"/>
      <c r="H1649" s="105"/>
      <c r="I1649" s="104" t="s">
        <v>1342</v>
      </c>
      <c r="J1649" s="105"/>
      <c r="K1649" s="104" t="s">
        <v>4499</v>
      </c>
      <c r="L1649" s="105"/>
      <c r="M1649" s="183">
        <v>40</v>
      </c>
      <c r="N1649" s="184"/>
      <c r="O1649" s="185"/>
      <c r="P1649" s="114" t="s">
        <v>1127</v>
      </c>
      <c r="Q1649" s="116"/>
      <c r="R1649" s="114" t="s">
        <v>1152</v>
      </c>
      <c r="S1649" s="116"/>
      <c r="T1649" s="183">
        <v>5</v>
      </c>
      <c r="U1649" s="185"/>
      <c r="V1649" s="180" t="s">
        <v>4851</v>
      </c>
      <c r="W1649" s="181"/>
      <c r="X1649" s="227">
        <v>60</v>
      </c>
      <c r="Y1649" s="228"/>
      <c r="Z1649" s="229"/>
      <c r="AA1649" s="110" t="s">
        <v>3230</v>
      </c>
      <c r="AB1649" s="111"/>
      <c r="AC1649" s="162"/>
      <c r="AD1649" s="163"/>
      <c r="AE1649" s="31"/>
      <c r="AF1649" s="167"/>
      <c r="AG1649" s="168"/>
      <c r="AH1649" s="169"/>
      <c r="AI1649" s="167"/>
      <c r="AJ1649" s="48"/>
      <c r="AK1649" s="15"/>
      <c r="AL1649" s="15"/>
    </row>
    <row r="1650" spans="1:38" ht="75" x14ac:dyDescent="0.3">
      <c r="A1650" s="179"/>
      <c r="B1650" s="292"/>
      <c r="C1650" s="314"/>
      <c r="D1650" s="293"/>
      <c r="E1650" s="28" t="s">
        <v>4852</v>
      </c>
      <c r="F1650" s="146"/>
      <c r="G1650" s="147"/>
      <c r="H1650" s="148"/>
      <c r="I1650" s="146" t="s">
        <v>1342</v>
      </c>
      <c r="J1650" s="148"/>
      <c r="K1650" s="146" t="s">
        <v>4499</v>
      </c>
      <c r="L1650" s="148"/>
      <c r="M1650" s="183">
        <v>40</v>
      </c>
      <c r="N1650" s="184"/>
      <c r="O1650" s="185"/>
      <c r="P1650" s="114" t="s">
        <v>1127</v>
      </c>
      <c r="Q1650" s="116"/>
      <c r="R1650" s="114" t="s">
        <v>1152</v>
      </c>
      <c r="S1650" s="116"/>
      <c r="T1650" s="183">
        <v>5</v>
      </c>
      <c r="U1650" s="185"/>
      <c r="V1650" s="180" t="s">
        <v>4851</v>
      </c>
      <c r="W1650" s="181"/>
      <c r="X1650" s="227">
        <v>60</v>
      </c>
      <c r="Y1650" s="228"/>
      <c r="Z1650" s="229"/>
      <c r="AA1650" s="110" t="s">
        <v>3230</v>
      </c>
      <c r="AB1650" s="111"/>
      <c r="AC1650" s="162"/>
      <c r="AD1650" s="163"/>
      <c r="AE1650" s="31"/>
      <c r="AF1650" s="167"/>
      <c r="AG1650" s="168"/>
      <c r="AH1650" s="169"/>
      <c r="AI1650" s="167"/>
      <c r="AJ1650" s="48"/>
      <c r="AK1650" s="15"/>
      <c r="AL1650" s="15"/>
    </row>
    <row r="1651" spans="1:38" ht="60" x14ac:dyDescent="0.3">
      <c r="A1651" s="179"/>
      <c r="B1651" s="292"/>
      <c r="C1651" s="314"/>
      <c r="D1651" s="293"/>
      <c r="E1651" s="28" t="s">
        <v>4853</v>
      </c>
      <c r="F1651" s="192" t="s">
        <v>4854</v>
      </c>
      <c r="G1651" s="196"/>
      <c r="H1651" s="193"/>
      <c r="I1651" s="112">
        <v>4</v>
      </c>
      <c r="J1651" s="113"/>
      <c r="K1651" s="143" t="s">
        <v>4855</v>
      </c>
      <c r="L1651" s="145"/>
      <c r="M1651" s="183">
        <v>44</v>
      </c>
      <c r="N1651" s="184"/>
      <c r="O1651" s="185"/>
      <c r="P1651" s="183">
        <v>5</v>
      </c>
      <c r="Q1651" s="185"/>
      <c r="R1651" s="114" t="s">
        <v>1152</v>
      </c>
      <c r="S1651" s="116"/>
      <c r="T1651" s="183">
        <v>5</v>
      </c>
      <c r="U1651" s="185"/>
      <c r="V1651" s="173" t="s">
        <v>4377</v>
      </c>
      <c r="W1651" s="174"/>
      <c r="X1651" s="227">
        <v>67</v>
      </c>
      <c r="Y1651" s="228"/>
      <c r="Z1651" s="229"/>
      <c r="AA1651" s="110" t="s">
        <v>4856</v>
      </c>
      <c r="AB1651" s="111"/>
      <c r="AC1651" s="162"/>
      <c r="AD1651" s="163"/>
      <c r="AE1651" s="31"/>
      <c r="AF1651" s="167"/>
      <c r="AG1651" s="168"/>
      <c r="AH1651" s="169"/>
      <c r="AI1651" s="167"/>
      <c r="AJ1651" s="48"/>
      <c r="AK1651" s="15"/>
      <c r="AL1651" s="15"/>
    </row>
    <row r="1652" spans="1:38" ht="75" x14ac:dyDescent="0.3">
      <c r="A1652" s="179"/>
      <c r="B1652" s="292"/>
      <c r="C1652" s="314"/>
      <c r="D1652" s="293"/>
      <c r="E1652" s="28" t="s">
        <v>4857</v>
      </c>
      <c r="F1652" s="272"/>
      <c r="G1652" s="282"/>
      <c r="H1652" s="273"/>
      <c r="I1652" s="155">
        <v>4</v>
      </c>
      <c r="J1652" s="157"/>
      <c r="K1652" s="104" t="s">
        <v>4855</v>
      </c>
      <c r="L1652" s="105"/>
      <c r="M1652" s="183">
        <v>41</v>
      </c>
      <c r="N1652" s="184"/>
      <c r="O1652" s="185"/>
      <c r="P1652" s="183">
        <v>5</v>
      </c>
      <c r="Q1652" s="185"/>
      <c r="R1652" s="114" t="s">
        <v>1152</v>
      </c>
      <c r="S1652" s="116"/>
      <c r="T1652" s="183">
        <v>5</v>
      </c>
      <c r="U1652" s="185"/>
      <c r="V1652" s="173" t="s">
        <v>3637</v>
      </c>
      <c r="W1652" s="174"/>
      <c r="X1652" s="227">
        <v>64</v>
      </c>
      <c r="Y1652" s="228"/>
      <c r="Z1652" s="229"/>
      <c r="AA1652" s="110" t="s">
        <v>4070</v>
      </c>
      <c r="AB1652" s="111"/>
      <c r="AC1652" s="162"/>
      <c r="AD1652" s="163"/>
      <c r="AE1652" s="31"/>
      <c r="AF1652" s="167"/>
      <c r="AG1652" s="168"/>
      <c r="AH1652" s="169"/>
      <c r="AI1652" s="167"/>
      <c r="AJ1652" s="48"/>
      <c r="AK1652" s="15"/>
      <c r="AL1652" s="15"/>
    </row>
    <row r="1653" spans="1:38" ht="75" x14ac:dyDescent="0.3">
      <c r="A1653" s="179"/>
      <c r="B1653" s="292"/>
      <c r="C1653" s="314"/>
      <c r="D1653" s="293"/>
      <c r="E1653" s="28" t="s">
        <v>4858</v>
      </c>
      <c r="F1653" s="194"/>
      <c r="G1653" s="197"/>
      <c r="H1653" s="195"/>
      <c r="I1653" s="160">
        <v>4</v>
      </c>
      <c r="J1653" s="161"/>
      <c r="K1653" s="146" t="s">
        <v>4855</v>
      </c>
      <c r="L1653" s="148"/>
      <c r="M1653" s="183">
        <v>41</v>
      </c>
      <c r="N1653" s="184"/>
      <c r="O1653" s="185"/>
      <c r="P1653" s="183">
        <v>5</v>
      </c>
      <c r="Q1653" s="185"/>
      <c r="R1653" s="114" t="s">
        <v>1152</v>
      </c>
      <c r="S1653" s="116"/>
      <c r="T1653" s="183">
        <v>5</v>
      </c>
      <c r="U1653" s="185"/>
      <c r="V1653" s="173" t="s">
        <v>3637</v>
      </c>
      <c r="W1653" s="174"/>
      <c r="X1653" s="227">
        <v>64</v>
      </c>
      <c r="Y1653" s="228"/>
      <c r="Z1653" s="229"/>
      <c r="AA1653" s="110" t="s">
        <v>4070</v>
      </c>
      <c r="AB1653" s="111"/>
      <c r="AC1653" s="162"/>
      <c r="AD1653" s="163"/>
      <c r="AE1653" s="31"/>
      <c r="AF1653" s="167"/>
      <c r="AG1653" s="168"/>
      <c r="AH1653" s="169"/>
      <c r="AI1653" s="167"/>
      <c r="AJ1653" s="48"/>
      <c r="AK1653" s="15"/>
      <c r="AL1653" s="15"/>
    </row>
    <row r="1654" spans="1:38" ht="75" x14ac:dyDescent="0.3">
      <c r="A1654" s="179"/>
      <c r="B1654" s="292"/>
      <c r="C1654" s="314"/>
      <c r="D1654" s="293"/>
      <c r="E1654" s="28" t="s">
        <v>4859</v>
      </c>
      <c r="F1654" s="143" t="s">
        <v>4860</v>
      </c>
      <c r="G1654" s="144"/>
      <c r="H1654" s="145"/>
      <c r="I1654" s="143" t="s">
        <v>1127</v>
      </c>
      <c r="J1654" s="145"/>
      <c r="K1654" s="143" t="s">
        <v>4861</v>
      </c>
      <c r="L1654" s="145"/>
      <c r="M1654" s="183">
        <v>50</v>
      </c>
      <c r="N1654" s="184"/>
      <c r="O1654" s="185"/>
      <c r="P1654" s="114" t="s">
        <v>1751</v>
      </c>
      <c r="Q1654" s="116"/>
      <c r="R1654" s="114" t="s">
        <v>4862</v>
      </c>
      <c r="S1654" s="116"/>
      <c r="T1654" s="183">
        <v>5</v>
      </c>
      <c r="U1654" s="185"/>
      <c r="V1654" s="173" t="s">
        <v>4863</v>
      </c>
      <c r="W1654" s="174"/>
      <c r="X1654" s="227">
        <v>74</v>
      </c>
      <c r="Y1654" s="228"/>
      <c r="Z1654" s="229"/>
      <c r="AA1654" s="110" t="s">
        <v>4479</v>
      </c>
      <c r="AB1654" s="111"/>
      <c r="AC1654" s="162"/>
      <c r="AD1654" s="163"/>
      <c r="AE1654" s="31"/>
      <c r="AF1654" s="167"/>
      <c r="AG1654" s="168"/>
      <c r="AH1654" s="169"/>
      <c r="AI1654" s="167"/>
      <c r="AJ1654" s="48"/>
      <c r="AK1654" s="15"/>
      <c r="AL1654" s="15"/>
    </row>
    <row r="1655" spans="1:38" ht="75" x14ac:dyDescent="0.3">
      <c r="A1655" s="179"/>
      <c r="B1655" s="292"/>
      <c r="C1655" s="314"/>
      <c r="D1655" s="293"/>
      <c r="E1655" s="28" t="s">
        <v>4864</v>
      </c>
      <c r="F1655" s="104"/>
      <c r="G1655" s="202"/>
      <c r="H1655" s="105"/>
      <c r="I1655" s="104" t="s">
        <v>1127</v>
      </c>
      <c r="J1655" s="105"/>
      <c r="K1655" s="104" t="s">
        <v>4861</v>
      </c>
      <c r="L1655" s="105"/>
      <c r="M1655" s="183">
        <v>47</v>
      </c>
      <c r="N1655" s="184"/>
      <c r="O1655" s="185"/>
      <c r="P1655" s="114" t="s">
        <v>1751</v>
      </c>
      <c r="Q1655" s="116"/>
      <c r="R1655" s="114" t="s">
        <v>4862</v>
      </c>
      <c r="S1655" s="116"/>
      <c r="T1655" s="183">
        <v>5</v>
      </c>
      <c r="U1655" s="185"/>
      <c r="V1655" s="173" t="s">
        <v>4865</v>
      </c>
      <c r="W1655" s="174"/>
      <c r="X1655" s="227">
        <v>71</v>
      </c>
      <c r="Y1655" s="228"/>
      <c r="Z1655" s="229"/>
      <c r="AA1655" s="110" t="s">
        <v>2140</v>
      </c>
      <c r="AB1655" s="111"/>
      <c r="AC1655" s="162"/>
      <c r="AD1655" s="163"/>
      <c r="AE1655" s="31"/>
      <c r="AF1655" s="167"/>
      <c r="AG1655" s="168"/>
      <c r="AH1655" s="169"/>
      <c r="AI1655" s="167"/>
      <c r="AJ1655" s="48"/>
      <c r="AK1655" s="15"/>
      <c r="AL1655" s="15"/>
    </row>
    <row r="1656" spans="1:38" ht="60" x14ac:dyDescent="0.3">
      <c r="A1656" s="230"/>
      <c r="B1656" s="290"/>
      <c r="C1656" s="345"/>
      <c r="D1656" s="291"/>
      <c r="E1656" s="28" t="s">
        <v>4866</v>
      </c>
      <c r="F1656" s="146"/>
      <c r="G1656" s="147"/>
      <c r="H1656" s="148"/>
      <c r="I1656" s="146" t="s">
        <v>1127</v>
      </c>
      <c r="J1656" s="148"/>
      <c r="K1656" s="146" t="s">
        <v>4861</v>
      </c>
      <c r="L1656" s="148"/>
      <c r="M1656" s="183">
        <v>47</v>
      </c>
      <c r="N1656" s="184"/>
      <c r="O1656" s="185"/>
      <c r="P1656" s="114" t="s">
        <v>1751</v>
      </c>
      <c r="Q1656" s="116"/>
      <c r="R1656" s="114" t="s">
        <v>4862</v>
      </c>
      <c r="S1656" s="116"/>
      <c r="T1656" s="183">
        <v>5</v>
      </c>
      <c r="U1656" s="185"/>
      <c r="V1656" s="173" t="s">
        <v>4865</v>
      </c>
      <c r="W1656" s="174"/>
      <c r="X1656" s="227">
        <v>71</v>
      </c>
      <c r="Y1656" s="228"/>
      <c r="Z1656" s="229"/>
      <c r="AA1656" s="110" t="s">
        <v>2140</v>
      </c>
      <c r="AB1656" s="111"/>
      <c r="AC1656" s="212"/>
      <c r="AD1656" s="213"/>
      <c r="AE1656" s="31"/>
      <c r="AF1656" s="214"/>
      <c r="AG1656" s="215"/>
      <c r="AH1656" s="216"/>
      <c r="AI1656" s="167"/>
      <c r="AJ1656" s="48"/>
      <c r="AK1656" s="15"/>
      <c r="AL1656" s="15"/>
    </row>
    <row r="1657" spans="1:38" ht="90" x14ac:dyDescent="0.25">
      <c r="A1657" s="178"/>
      <c r="B1657" s="303" t="s">
        <v>4867</v>
      </c>
      <c r="C1657" s="344"/>
      <c r="D1657" s="304"/>
      <c r="E1657" s="28" t="s">
        <v>4868</v>
      </c>
      <c r="F1657" s="192" t="s">
        <v>4869</v>
      </c>
      <c r="G1657" s="196"/>
      <c r="H1657" s="193"/>
      <c r="I1657" s="183">
        <v>11</v>
      </c>
      <c r="J1657" s="185"/>
      <c r="K1657" s="88" t="s">
        <v>4870</v>
      </c>
      <c r="L1657" s="89"/>
      <c r="M1657" s="183">
        <v>92</v>
      </c>
      <c r="N1657" s="184"/>
      <c r="O1657" s="185"/>
      <c r="P1657" s="180" t="s">
        <v>4871</v>
      </c>
      <c r="Q1657" s="181"/>
      <c r="R1657" s="112">
        <v>26</v>
      </c>
      <c r="S1657" s="113"/>
      <c r="T1657" s="183">
        <v>7</v>
      </c>
      <c r="U1657" s="185"/>
      <c r="V1657" s="180" t="s">
        <v>4872</v>
      </c>
      <c r="W1657" s="181"/>
      <c r="X1657" s="227">
        <v>198</v>
      </c>
      <c r="Y1657" s="228"/>
      <c r="Z1657" s="229"/>
      <c r="AA1657" s="110" t="s">
        <v>1452</v>
      </c>
      <c r="AB1657" s="111"/>
      <c r="AC1657" s="223" t="s">
        <v>3194</v>
      </c>
      <c r="AD1657" s="224"/>
      <c r="AE1657" s="35" t="s">
        <v>4875</v>
      </c>
      <c r="AF1657" s="164"/>
      <c r="AG1657" s="165"/>
      <c r="AH1657" s="166"/>
      <c r="AI1657" s="167"/>
      <c r="AJ1657" s="48"/>
      <c r="AK1657" s="15"/>
      <c r="AL1657" s="15"/>
    </row>
    <row r="1658" spans="1:38" ht="90" x14ac:dyDescent="0.25">
      <c r="A1658" s="179"/>
      <c r="B1658" s="292"/>
      <c r="C1658" s="314"/>
      <c r="D1658" s="293"/>
      <c r="E1658" s="28" t="s">
        <v>4877</v>
      </c>
      <c r="F1658" s="272"/>
      <c r="G1658" s="282"/>
      <c r="H1658" s="273"/>
      <c r="I1658" s="183">
        <v>11</v>
      </c>
      <c r="J1658" s="185"/>
      <c r="K1658" s="126" t="s">
        <v>4870</v>
      </c>
      <c r="L1658" s="127"/>
      <c r="M1658" s="183">
        <v>92</v>
      </c>
      <c r="N1658" s="184"/>
      <c r="O1658" s="185"/>
      <c r="P1658" s="180" t="s">
        <v>4871</v>
      </c>
      <c r="Q1658" s="181"/>
      <c r="R1658" s="155">
        <v>26</v>
      </c>
      <c r="S1658" s="157"/>
      <c r="T1658" s="183">
        <v>7</v>
      </c>
      <c r="U1658" s="185"/>
      <c r="V1658" s="180" t="s">
        <v>4872</v>
      </c>
      <c r="W1658" s="181"/>
      <c r="X1658" s="227">
        <v>198</v>
      </c>
      <c r="Y1658" s="228"/>
      <c r="Z1658" s="229"/>
      <c r="AA1658" s="110" t="s">
        <v>1452</v>
      </c>
      <c r="AB1658" s="111"/>
      <c r="AC1658" s="239" t="s">
        <v>4873</v>
      </c>
      <c r="AD1658" s="240"/>
      <c r="AE1658" s="36" t="s">
        <v>1356</v>
      </c>
      <c r="AF1658" s="167"/>
      <c r="AG1658" s="168"/>
      <c r="AH1658" s="169"/>
      <c r="AI1658" s="167"/>
      <c r="AJ1658" s="48"/>
      <c r="AK1658" s="15"/>
      <c r="AL1658" s="15"/>
    </row>
    <row r="1659" spans="1:38" ht="90" x14ac:dyDescent="0.25">
      <c r="A1659" s="179"/>
      <c r="B1659" s="292"/>
      <c r="C1659" s="314"/>
      <c r="D1659" s="293"/>
      <c r="E1659" s="28" t="s">
        <v>4878</v>
      </c>
      <c r="F1659" s="194"/>
      <c r="G1659" s="197"/>
      <c r="H1659" s="195"/>
      <c r="I1659" s="183">
        <v>11</v>
      </c>
      <c r="J1659" s="185"/>
      <c r="K1659" s="117" t="s">
        <v>4870</v>
      </c>
      <c r="L1659" s="118"/>
      <c r="M1659" s="183">
        <v>100</v>
      </c>
      <c r="N1659" s="184"/>
      <c r="O1659" s="185"/>
      <c r="P1659" s="180" t="s">
        <v>4871</v>
      </c>
      <c r="Q1659" s="181"/>
      <c r="R1659" s="160">
        <v>26</v>
      </c>
      <c r="S1659" s="161"/>
      <c r="T1659" s="183">
        <v>7</v>
      </c>
      <c r="U1659" s="185"/>
      <c r="V1659" s="180" t="s">
        <v>2003</v>
      </c>
      <c r="W1659" s="181"/>
      <c r="X1659" s="227">
        <v>213</v>
      </c>
      <c r="Y1659" s="228"/>
      <c r="Z1659" s="229"/>
      <c r="AA1659" s="110" t="s">
        <v>758</v>
      </c>
      <c r="AB1659" s="111"/>
      <c r="AC1659" s="239" t="s">
        <v>4874</v>
      </c>
      <c r="AD1659" s="240"/>
      <c r="AE1659" s="36" t="s">
        <v>4876</v>
      </c>
      <c r="AF1659" s="167"/>
      <c r="AG1659" s="168"/>
      <c r="AH1659" s="169"/>
      <c r="AI1659" s="167"/>
      <c r="AJ1659" s="48"/>
      <c r="AK1659" s="15"/>
      <c r="AL1659" s="15"/>
    </row>
    <row r="1660" spans="1:38" ht="90" x14ac:dyDescent="0.25">
      <c r="A1660" s="179"/>
      <c r="B1660" s="292"/>
      <c r="C1660" s="314"/>
      <c r="D1660" s="293"/>
      <c r="E1660" s="28" t="s">
        <v>4879</v>
      </c>
      <c r="F1660" s="192" t="s">
        <v>4880</v>
      </c>
      <c r="G1660" s="196"/>
      <c r="H1660" s="193"/>
      <c r="I1660" s="143" t="s">
        <v>2395</v>
      </c>
      <c r="J1660" s="145"/>
      <c r="K1660" s="88" t="s">
        <v>4881</v>
      </c>
      <c r="L1660" s="89"/>
      <c r="M1660" s="183">
        <v>75</v>
      </c>
      <c r="N1660" s="184"/>
      <c r="O1660" s="185"/>
      <c r="P1660" s="180" t="s">
        <v>4882</v>
      </c>
      <c r="Q1660" s="181"/>
      <c r="R1660" s="112">
        <v>23</v>
      </c>
      <c r="S1660" s="113"/>
      <c r="T1660" s="183">
        <v>7</v>
      </c>
      <c r="U1660" s="185"/>
      <c r="V1660" s="173" t="s">
        <v>4883</v>
      </c>
      <c r="W1660" s="174"/>
      <c r="X1660" s="227">
        <v>158</v>
      </c>
      <c r="Y1660" s="228"/>
      <c r="Z1660" s="229"/>
      <c r="AA1660" s="110" t="s">
        <v>1023</v>
      </c>
      <c r="AB1660" s="111"/>
      <c r="AC1660" s="239"/>
      <c r="AD1660" s="240"/>
      <c r="AE1660" s="36"/>
      <c r="AF1660" s="167"/>
      <c r="AG1660" s="168"/>
      <c r="AH1660" s="169"/>
      <c r="AI1660" s="167"/>
      <c r="AJ1660" s="48"/>
      <c r="AK1660" s="15"/>
      <c r="AL1660" s="15"/>
    </row>
    <row r="1661" spans="1:38" ht="90" x14ac:dyDescent="0.25">
      <c r="A1661" s="179"/>
      <c r="B1661" s="292"/>
      <c r="C1661" s="314"/>
      <c r="D1661" s="293"/>
      <c r="E1661" s="28" t="s">
        <v>4884</v>
      </c>
      <c r="F1661" s="272"/>
      <c r="G1661" s="282"/>
      <c r="H1661" s="273"/>
      <c r="I1661" s="104" t="s">
        <v>2395</v>
      </c>
      <c r="J1661" s="105"/>
      <c r="K1661" s="126" t="s">
        <v>4881</v>
      </c>
      <c r="L1661" s="127"/>
      <c r="M1661" s="183">
        <v>75</v>
      </c>
      <c r="N1661" s="184"/>
      <c r="O1661" s="185"/>
      <c r="P1661" s="180" t="s">
        <v>4882</v>
      </c>
      <c r="Q1661" s="181"/>
      <c r="R1661" s="155">
        <v>23</v>
      </c>
      <c r="S1661" s="157"/>
      <c r="T1661" s="183">
        <v>7</v>
      </c>
      <c r="U1661" s="185"/>
      <c r="V1661" s="173" t="s">
        <v>4883</v>
      </c>
      <c r="W1661" s="174"/>
      <c r="X1661" s="227">
        <v>158</v>
      </c>
      <c r="Y1661" s="228"/>
      <c r="Z1661" s="229"/>
      <c r="AA1661" s="110" t="s">
        <v>1023</v>
      </c>
      <c r="AB1661" s="111"/>
      <c r="AC1661" s="239"/>
      <c r="AD1661" s="240"/>
      <c r="AE1661" s="36"/>
      <c r="AF1661" s="167"/>
      <c r="AG1661" s="168"/>
      <c r="AH1661" s="169"/>
      <c r="AI1661" s="167"/>
      <c r="AJ1661" s="48"/>
      <c r="AK1661" s="15"/>
      <c r="AL1661" s="15"/>
    </row>
    <row r="1662" spans="1:38" ht="75" x14ac:dyDescent="0.25">
      <c r="A1662" s="230"/>
      <c r="B1662" s="292"/>
      <c r="C1662" s="314"/>
      <c r="D1662" s="293"/>
      <c r="E1662" s="28" t="s">
        <v>4885</v>
      </c>
      <c r="F1662" s="194"/>
      <c r="G1662" s="197"/>
      <c r="H1662" s="195"/>
      <c r="I1662" s="146" t="s">
        <v>2395</v>
      </c>
      <c r="J1662" s="148"/>
      <c r="K1662" s="117" t="s">
        <v>4881</v>
      </c>
      <c r="L1662" s="118"/>
      <c r="M1662" s="183">
        <v>80</v>
      </c>
      <c r="N1662" s="184"/>
      <c r="O1662" s="185"/>
      <c r="P1662" s="180" t="s">
        <v>4882</v>
      </c>
      <c r="Q1662" s="181"/>
      <c r="R1662" s="160">
        <v>23</v>
      </c>
      <c r="S1662" s="161"/>
      <c r="T1662" s="183">
        <v>7</v>
      </c>
      <c r="U1662" s="185"/>
      <c r="V1662" s="173" t="s">
        <v>4886</v>
      </c>
      <c r="W1662" s="174"/>
      <c r="X1662" s="227">
        <v>173</v>
      </c>
      <c r="Y1662" s="228"/>
      <c r="Z1662" s="229"/>
      <c r="AA1662" s="110" t="s">
        <v>1452</v>
      </c>
      <c r="AB1662" s="111"/>
      <c r="AC1662" s="225"/>
      <c r="AD1662" s="226"/>
      <c r="AE1662" s="36"/>
      <c r="AF1662" s="167"/>
      <c r="AG1662" s="168"/>
      <c r="AH1662" s="169"/>
      <c r="AI1662" s="167"/>
      <c r="AJ1662" s="48"/>
      <c r="AK1662" s="15"/>
      <c r="AL1662" s="15"/>
    </row>
    <row r="1663" spans="1:38" ht="15.5" x14ac:dyDescent="0.25">
      <c r="A1663" s="178"/>
      <c r="B1663" s="292"/>
      <c r="C1663" s="314"/>
      <c r="D1663" s="293"/>
      <c r="E1663" s="66" t="s">
        <v>4887</v>
      </c>
      <c r="F1663" s="233" t="s">
        <v>4888</v>
      </c>
      <c r="G1663" s="305"/>
      <c r="H1663" s="234"/>
      <c r="I1663" s="143" t="s">
        <v>1140</v>
      </c>
      <c r="J1663" s="145"/>
      <c r="K1663" s="192" t="s">
        <v>3604</v>
      </c>
      <c r="L1663" s="193"/>
      <c r="M1663" s="387">
        <v>65</v>
      </c>
      <c r="N1663" s="495"/>
      <c r="O1663" s="388"/>
      <c r="P1663" s="208" t="s">
        <v>4889</v>
      </c>
      <c r="Q1663" s="209"/>
      <c r="R1663" s="112">
        <v>15</v>
      </c>
      <c r="S1663" s="113"/>
      <c r="T1663" s="112">
        <v>8</v>
      </c>
      <c r="U1663" s="113"/>
      <c r="V1663" s="491" t="s">
        <v>2679</v>
      </c>
      <c r="W1663" s="492"/>
      <c r="X1663" s="294">
        <v>128</v>
      </c>
      <c r="Y1663" s="295"/>
      <c r="Z1663" s="296"/>
      <c r="AA1663" s="233" t="s">
        <v>1342</v>
      </c>
      <c r="AB1663" s="234"/>
      <c r="AC1663" s="171" t="s">
        <v>675</v>
      </c>
      <c r="AD1663" s="172"/>
      <c r="AE1663" s="36"/>
      <c r="AF1663" s="167"/>
      <c r="AG1663" s="168"/>
      <c r="AH1663" s="169"/>
      <c r="AI1663" s="167"/>
      <c r="AJ1663" s="271"/>
      <c r="AK1663" s="15"/>
      <c r="AL1663" s="15"/>
    </row>
    <row r="1664" spans="1:38" ht="15.5" x14ac:dyDescent="0.25">
      <c r="A1664" s="179"/>
      <c r="B1664" s="292"/>
      <c r="C1664" s="314"/>
      <c r="D1664" s="293"/>
      <c r="E1664" s="67"/>
      <c r="F1664" s="235"/>
      <c r="G1664" s="270"/>
      <c r="H1664" s="236"/>
      <c r="I1664" s="104" t="s">
        <v>1140</v>
      </c>
      <c r="J1664" s="105"/>
      <c r="K1664" s="194"/>
      <c r="L1664" s="195"/>
      <c r="M1664" s="389"/>
      <c r="N1664" s="496"/>
      <c r="O1664" s="390"/>
      <c r="P1664" s="280" t="s">
        <v>4889</v>
      </c>
      <c r="Q1664" s="281"/>
      <c r="R1664" s="155">
        <v>15</v>
      </c>
      <c r="S1664" s="157"/>
      <c r="T1664" s="155">
        <v>8</v>
      </c>
      <c r="U1664" s="157"/>
      <c r="V1664" s="493"/>
      <c r="W1664" s="494"/>
      <c r="X1664" s="297"/>
      <c r="Y1664" s="298"/>
      <c r="Z1664" s="299"/>
      <c r="AA1664" s="235"/>
      <c r="AB1664" s="236"/>
      <c r="AC1664" s="162" t="s">
        <v>4890</v>
      </c>
      <c r="AD1664" s="163"/>
      <c r="AE1664" s="36"/>
      <c r="AF1664" s="167"/>
      <c r="AG1664" s="168"/>
      <c r="AH1664" s="169"/>
      <c r="AI1664" s="167"/>
      <c r="AJ1664" s="271"/>
      <c r="AK1664" s="15"/>
      <c r="AL1664" s="15"/>
    </row>
    <row r="1665" spans="1:38" ht="75" x14ac:dyDescent="0.25">
      <c r="A1665" s="230"/>
      <c r="B1665" s="290"/>
      <c r="C1665" s="345"/>
      <c r="D1665" s="291"/>
      <c r="E1665" s="19" t="s">
        <v>4892</v>
      </c>
      <c r="F1665" s="237"/>
      <c r="G1665" s="306"/>
      <c r="H1665" s="238"/>
      <c r="I1665" s="146"/>
      <c r="J1665" s="148"/>
      <c r="K1665" s="337" t="s">
        <v>3604</v>
      </c>
      <c r="L1665" s="338"/>
      <c r="M1665" s="349">
        <v>65</v>
      </c>
      <c r="N1665" s="423"/>
      <c r="O1665" s="350"/>
      <c r="P1665" s="210"/>
      <c r="Q1665" s="211"/>
      <c r="R1665" s="160"/>
      <c r="S1665" s="161"/>
      <c r="T1665" s="160"/>
      <c r="U1665" s="161"/>
      <c r="V1665" s="332" t="s">
        <v>2679</v>
      </c>
      <c r="W1665" s="333"/>
      <c r="X1665" s="300"/>
      <c r="Y1665" s="301"/>
      <c r="Z1665" s="302"/>
      <c r="AA1665" s="237"/>
      <c r="AB1665" s="238"/>
      <c r="AC1665" s="212" t="s">
        <v>4891</v>
      </c>
      <c r="AD1665" s="213"/>
      <c r="AE1665" s="36"/>
      <c r="AF1665" s="214"/>
      <c r="AG1665" s="215"/>
      <c r="AH1665" s="216"/>
      <c r="AI1665" s="167"/>
      <c r="AJ1665" s="48"/>
      <c r="AK1665" s="15"/>
      <c r="AL1665" s="15"/>
    </row>
    <row r="1666" spans="1:38" ht="90" x14ac:dyDescent="0.3">
      <c r="A1666" s="178"/>
      <c r="B1666" s="303" t="s">
        <v>4893</v>
      </c>
      <c r="C1666" s="344"/>
      <c r="D1666" s="304"/>
      <c r="E1666" s="19" t="s">
        <v>4894</v>
      </c>
      <c r="F1666" s="233" t="s">
        <v>3673</v>
      </c>
      <c r="G1666" s="305"/>
      <c r="H1666" s="234"/>
      <c r="I1666" s="349">
        <v>23</v>
      </c>
      <c r="J1666" s="350"/>
      <c r="K1666" s="351" t="s">
        <v>4201</v>
      </c>
      <c r="L1666" s="352"/>
      <c r="M1666" s="349">
        <v>153</v>
      </c>
      <c r="N1666" s="423"/>
      <c r="O1666" s="350"/>
      <c r="P1666" s="349">
        <v>12</v>
      </c>
      <c r="Q1666" s="350"/>
      <c r="R1666" s="112">
        <v>32</v>
      </c>
      <c r="S1666" s="113"/>
      <c r="T1666" s="349">
        <v>12</v>
      </c>
      <c r="U1666" s="350"/>
      <c r="V1666" s="332" t="s">
        <v>3323</v>
      </c>
      <c r="W1666" s="333"/>
      <c r="X1666" s="334">
        <v>338</v>
      </c>
      <c r="Y1666" s="335"/>
      <c r="Z1666" s="336"/>
      <c r="AA1666" s="337" t="s">
        <v>674</v>
      </c>
      <c r="AB1666" s="338"/>
      <c r="AC1666" s="223" t="s">
        <v>3194</v>
      </c>
      <c r="AD1666" s="224"/>
      <c r="AE1666" s="24" t="s">
        <v>4897</v>
      </c>
      <c r="AF1666" s="164"/>
      <c r="AG1666" s="165"/>
      <c r="AH1666" s="166"/>
      <c r="AI1666" s="167"/>
      <c r="AJ1666" s="48"/>
      <c r="AK1666" s="15"/>
      <c r="AL1666" s="15"/>
    </row>
    <row r="1667" spans="1:38" ht="75" x14ac:dyDescent="0.3">
      <c r="A1667" s="179"/>
      <c r="B1667" s="292"/>
      <c r="C1667" s="314"/>
      <c r="D1667" s="293"/>
      <c r="E1667" s="19" t="s">
        <v>4899</v>
      </c>
      <c r="F1667" s="235"/>
      <c r="G1667" s="270"/>
      <c r="H1667" s="236"/>
      <c r="I1667" s="349">
        <v>23</v>
      </c>
      <c r="J1667" s="350"/>
      <c r="K1667" s="351" t="s">
        <v>4201</v>
      </c>
      <c r="L1667" s="352"/>
      <c r="M1667" s="349">
        <v>153</v>
      </c>
      <c r="N1667" s="423"/>
      <c r="O1667" s="350"/>
      <c r="P1667" s="349">
        <v>12</v>
      </c>
      <c r="Q1667" s="350"/>
      <c r="R1667" s="155">
        <v>32</v>
      </c>
      <c r="S1667" s="157"/>
      <c r="T1667" s="349">
        <v>12</v>
      </c>
      <c r="U1667" s="350"/>
      <c r="V1667" s="332" t="s">
        <v>3323</v>
      </c>
      <c r="W1667" s="333"/>
      <c r="X1667" s="334">
        <v>338</v>
      </c>
      <c r="Y1667" s="335"/>
      <c r="Z1667" s="336"/>
      <c r="AA1667" s="337" t="s">
        <v>674</v>
      </c>
      <c r="AB1667" s="338"/>
      <c r="AC1667" s="239" t="s">
        <v>4895</v>
      </c>
      <c r="AD1667" s="240"/>
      <c r="AE1667" s="31" t="s">
        <v>1356</v>
      </c>
      <c r="AF1667" s="167"/>
      <c r="AG1667" s="168"/>
      <c r="AH1667" s="169"/>
      <c r="AI1667" s="167"/>
      <c r="AJ1667" s="48"/>
      <c r="AK1667" s="15"/>
      <c r="AL1667" s="15"/>
    </row>
    <row r="1668" spans="1:38" ht="90" x14ac:dyDescent="0.3">
      <c r="A1668" s="179"/>
      <c r="B1668" s="292"/>
      <c r="C1668" s="314"/>
      <c r="D1668" s="293"/>
      <c r="E1668" s="19" t="s">
        <v>4900</v>
      </c>
      <c r="F1668" s="235"/>
      <c r="G1668" s="270"/>
      <c r="H1668" s="236"/>
      <c r="I1668" s="349">
        <v>23</v>
      </c>
      <c r="J1668" s="350"/>
      <c r="K1668" s="351" t="s">
        <v>4201</v>
      </c>
      <c r="L1668" s="352"/>
      <c r="M1668" s="349">
        <v>156</v>
      </c>
      <c r="N1668" s="423"/>
      <c r="O1668" s="350"/>
      <c r="P1668" s="349">
        <v>12</v>
      </c>
      <c r="Q1668" s="350"/>
      <c r="R1668" s="155">
        <v>32</v>
      </c>
      <c r="S1668" s="157"/>
      <c r="T1668" s="349">
        <v>12</v>
      </c>
      <c r="U1668" s="350"/>
      <c r="V1668" s="332" t="s">
        <v>4901</v>
      </c>
      <c r="W1668" s="333"/>
      <c r="X1668" s="334">
        <v>348</v>
      </c>
      <c r="Y1668" s="335"/>
      <c r="Z1668" s="336"/>
      <c r="AA1668" s="337" t="s">
        <v>674</v>
      </c>
      <c r="AB1668" s="338"/>
      <c r="AC1668" s="239" t="s">
        <v>2211</v>
      </c>
      <c r="AD1668" s="240"/>
      <c r="AE1668" s="31" t="s">
        <v>4898</v>
      </c>
      <c r="AF1668" s="167"/>
      <c r="AG1668" s="168"/>
      <c r="AH1668" s="169"/>
      <c r="AI1668" s="167"/>
      <c r="AJ1668" s="48"/>
      <c r="AK1668" s="15"/>
      <c r="AL1668" s="15"/>
    </row>
    <row r="1669" spans="1:38" ht="90" x14ac:dyDescent="0.3">
      <c r="A1669" s="230"/>
      <c r="B1669" s="290"/>
      <c r="C1669" s="345"/>
      <c r="D1669" s="291"/>
      <c r="E1669" s="19" t="s">
        <v>4902</v>
      </c>
      <c r="F1669" s="237"/>
      <c r="G1669" s="306"/>
      <c r="H1669" s="238"/>
      <c r="I1669" s="349">
        <v>23</v>
      </c>
      <c r="J1669" s="350"/>
      <c r="K1669" s="351" t="s">
        <v>4201</v>
      </c>
      <c r="L1669" s="352"/>
      <c r="M1669" s="349">
        <v>156</v>
      </c>
      <c r="N1669" s="423"/>
      <c r="O1669" s="350"/>
      <c r="P1669" s="349">
        <v>12</v>
      </c>
      <c r="Q1669" s="350"/>
      <c r="R1669" s="160">
        <v>32</v>
      </c>
      <c r="S1669" s="161"/>
      <c r="T1669" s="349">
        <v>12</v>
      </c>
      <c r="U1669" s="350"/>
      <c r="V1669" s="332" t="s">
        <v>4901</v>
      </c>
      <c r="W1669" s="333"/>
      <c r="X1669" s="334">
        <v>348</v>
      </c>
      <c r="Y1669" s="335"/>
      <c r="Z1669" s="336"/>
      <c r="AA1669" s="337" t="s">
        <v>674</v>
      </c>
      <c r="AB1669" s="338"/>
      <c r="AC1669" s="225" t="s">
        <v>4896</v>
      </c>
      <c r="AD1669" s="226"/>
      <c r="AE1669" s="31"/>
      <c r="AF1669" s="214"/>
      <c r="AG1669" s="215"/>
      <c r="AH1669" s="216"/>
      <c r="AI1669" s="167"/>
      <c r="AJ1669" s="48"/>
      <c r="AK1669" s="15"/>
      <c r="AL1669" s="15"/>
    </row>
    <row r="1670" spans="1:38" ht="75" x14ac:dyDescent="0.3">
      <c r="A1670" s="275"/>
      <c r="B1670" s="149"/>
      <c r="C1670" s="158"/>
      <c r="D1670" s="150"/>
      <c r="E1670" s="28" t="s">
        <v>4903</v>
      </c>
      <c r="F1670" s="149"/>
      <c r="G1670" s="158"/>
      <c r="H1670" s="150"/>
      <c r="I1670" s="143" t="s">
        <v>4648</v>
      </c>
      <c r="J1670" s="145"/>
      <c r="K1670" s="88" t="s">
        <v>4904</v>
      </c>
      <c r="L1670" s="89"/>
      <c r="M1670" s="183">
        <v>118</v>
      </c>
      <c r="N1670" s="184"/>
      <c r="O1670" s="185"/>
      <c r="P1670" s="180" t="s">
        <v>4905</v>
      </c>
      <c r="Q1670" s="181"/>
      <c r="R1670" s="112">
        <v>23</v>
      </c>
      <c r="S1670" s="113"/>
      <c r="T1670" s="183">
        <v>10</v>
      </c>
      <c r="U1670" s="185"/>
      <c r="V1670" s="173" t="s">
        <v>4906</v>
      </c>
      <c r="W1670" s="174"/>
      <c r="X1670" s="227">
        <v>189</v>
      </c>
      <c r="Y1670" s="228"/>
      <c r="Z1670" s="229"/>
      <c r="AA1670" s="110" t="s">
        <v>1124</v>
      </c>
      <c r="AB1670" s="111"/>
      <c r="AC1670" s="149"/>
      <c r="AD1670" s="150"/>
      <c r="AE1670" s="275"/>
      <c r="AF1670" s="149"/>
      <c r="AG1670" s="158"/>
      <c r="AH1670" s="150"/>
      <c r="AI1670" s="167"/>
      <c r="AJ1670" s="48"/>
      <c r="AK1670" s="15"/>
      <c r="AL1670" s="15"/>
    </row>
    <row r="1671" spans="1:38" ht="120" x14ac:dyDescent="0.3">
      <c r="A1671" s="128"/>
      <c r="B1671" s="135"/>
      <c r="C1671" s="136"/>
      <c r="D1671" s="137"/>
      <c r="E1671" s="28" t="s">
        <v>4907</v>
      </c>
      <c r="F1671" s="135"/>
      <c r="G1671" s="136"/>
      <c r="H1671" s="137"/>
      <c r="I1671" s="104" t="s">
        <v>4648</v>
      </c>
      <c r="J1671" s="105"/>
      <c r="K1671" s="126" t="s">
        <v>4904</v>
      </c>
      <c r="L1671" s="127"/>
      <c r="M1671" s="183">
        <v>130</v>
      </c>
      <c r="N1671" s="184"/>
      <c r="O1671" s="185"/>
      <c r="P1671" s="180" t="s">
        <v>4905</v>
      </c>
      <c r="Q1671" s="181"/>
      <c r="R1671" s="155">
        <v>23</v>
      </c>
      <c r="S1671" s="157"/>
      <c r="T1671" s="183">
        <v>10</v>
      </c>
      <c r="U1671" s="185"/>
      <c r="V1671" s="173" t="s">
        <v>4908</v>
      </c>
      <c r="W1671" s="174"/>
      <c r="X1671" s="227">
        <v>199</v>
      </c>
      <c r="Y1671" s="228"/>
      <c r="Z1671" s="229"/>
      <c r="AA1671" s="110" t="s">
        <v>3829</v>
      </c>
      <c r="AB1671" s="111"/>
      <c r="AC1671" s="135"/>
      <c r="AD1671" s="137"/>
      <c r="AE1671" s="128"/>
      <c r="AF1671" s="135"/>
      <c r="AG1671" s="136"/>
      <c r="AH1671" s="137"/>
      <c r="AI1671" s="167"/>
      <c r="AJ1671" s="48"/>
      <c r="AK1671" s="15"/>
      <c r="AL1671" s="15"/>
    </row>
    <row r="1672" spans="1:38" ht="105" x14ac:dyDescent="0.3">
      <c r="A1672" s="179"/>
      <c r="B1672" s="272" t="s">
        <v>4909</v>
      </c>
      <c r="C1672" s="282"/>
      <c r="D1672" s="273"/>
      <c r="E1672" s="28" t="s">
        <v>4910</v>
      </c>
      <c r="F1672" s="272" t="s">
        <v>4911</v>
      </c>
      <c r="G1672" s="282"/>
      <c r="H1672" s="273"/>
      <c r="I1672" s="104" t="s">
        <v>4648</v>
      </c>
      <c r="J1672" s="105"/>
      <c r="K1672" s="126" t="s">
        <v>4904</v>
      </c>
      <c r="L1672" s="127"/>
      <c r="M1672" s="183">
        <v>121</v>
      </c>
      <c r="N1672" s="184"/>
      <c r="O1672" s="185"/>
      <c r="P1672" s="180" t="s">
        <v>4905</v>
      </c>
      <c r="Q1672" s="181"/>
      <c r="R1672" s="155">
        <v>23</v>
      </c>
      <c r="S1672" s="157"/>
      <c r="T1672" s="183">
        <v>10</v>
      </c>
      <c r="U1672" s="185"/>
      <c r="V1672" s="173" t="s">
        <v>4912</v>
      </c>
      <c r="W1672" s="174"/>
      <c r="X1672" s="227">
        <v>189</v>
      </c>
      <c r="Y1672" s="228"/>
      <c r="Z1672" s="229"/>
      <c r="AA1672" s="110" t="s">
        <v>4118</v>
      </c>
      <c r="AB1672" s="111"/>
      <c r="AC1672" s="162" t="s">
        <v>3194</v>
      </c>
      <c r="AD1672" s="163"/>
      <c r="AE1672" s="43" t="s">
        <v>4915</v>
      </c>
      <c r="AF1672" s="167"/>
      <c r="AG1672" s="168"/>
      <c r="AH1672" s="169"/>
      <c r="AI1672" s="167"/>
      <c r="AJ1672" s="48"/>
      <c r="AK1672" s="15"/>
      <c r="AL1672" s="15"/>
    </row>
    <row r="1673" spans="1:38" ht="120" x14ac:dyDescent="0.3">
      <c r="A1673" s="179"/>
      <c r="B1673" s="272"/>
      <c r="C1673" s="282"/>
      <c r="D1673" s="273"/>
      <c r="E1673" s="28" t="s">
        <v>4917</v>
      </c>
      <c r="F1673" s="272"/>
      <c r="G1673" s="282"/>
      <c r="H1673" s="273"/>
      <c r="I1673" s="104" t="s">
        <v>4648</v>
      </c>
      <c r="J1673" s="105"/>
      <c r="K1673" s="126" t="s">
        <v>4904</v>
      </c>
      <c r="L1673" s="127"/>
      <c r="M1673" s="183">
        <v>133</v>
      </c>
      <c r="N1673" s="184"/>
      <c r="O1673" s="185"/>
      <c r="P1673" s="180" t="s">
        <v>4905</v>
      </c>
      <c r="Q1673" s="181"/>
      <c r="R1673" s="155">
        <v>23</v>
      </c>
      <c r="S1673" s="157"/>
      <c r="T1673" s="183">
        <v>10</v>
      </c>
      <c r="U1673" s="185"/>
      <c r="V1673" s="173" t="s">
        <v>4918</v>
      </c>
      <c r="W1673" s="174"/>
      <c r="X1673" s="227">
        <v>199</v>
      </c>
      <c r="Y1673" s="228"/>
      <c r="Z1673" s="229"/>
      <c r="AA1673" s="110" t="s">
        <v>4618</v>
      </c>
      <c r="AB1673" s="111"/>
      <c r="AC1673" s="162" t="s">
        <v>4913</v>
      </c>
      <c r="AD1673" s="163"/>
      <c r="AE1673" s="43" t="s">
        <v>4916</v>
      </c>
      <c r="AF1673" s="167"/>
      <c r="AG1673" s="168"/>
      <c r="AH1673" s="169"/>
      <c r="AI1673" s="167"/>
      <c r="AJ1673" s="48"/>
      <c r="AK1673" s="15"/>
      <c r="AL1673" s="15"/>
    </row>
    <row r="1674" spans="1:38" ht="60" x14ac:dyDescent="0.3">
      <c r="A1674" s="179"/>
      <c r="B1674" s="272"/>
      <c r="C1674" s="282"/>
      <c r="D1674" s="273"/>
      <c r="E1674" s="28" t="s">
        <v>4919</v>
      </c>
      <c r="F1674" s="272"/>
      <c r="G1674" s="282"/>
      <c r="H1674" s="273"/>
      <c r="I1674" s="104" t="s">
        <v>4648</v>
      </c>
      <c r="J1674" s="105"/>
      <c r="K1674" s="126" t="s">
        <v>4904</v>
      </c>
      <c r="L1674" s="127"/>
      <c r="M1674" s="183">
        <v>118</v>
      </c>
      <c r="N1674" s="184"/>
      <c r="O1674" s="185"/>
      <c r="P1674" s="180" t="s">
        <v>4905</v>
      </c>
      <c r="Q1674" s="181"/>
      <c r="R1674" s="155">
        <v>23</v>
      </c>
      <c r="S1674" s="157"/>
      <c r="T1674" s="183">
        <v>10</v>
      </c>
      <c r="U1674" s="185"/>
      <c r="V1674" s="173" t="s">
        <v>4906</v>
      </c>
      <c r="W1674" s="174"/>
      <c r="X1674" s="227">
        <v>189</v>
      </c>
      <c r="Y1674" s="228"/>
      <c r="Z1674" s="229"/>
      <c r="AA1674" s="110" t="s">
        <v>1124</v>
      </c>
      <c r="AB1674" s="111"/>
      <c r="AC1674" s="162" t="s">
        <v>2211</v>
      </c>
      <c r="AD1674" s="163"/>
      <c r="AE1674" s="43"/>
      <c r="AF1674" s="167"/>
      <c r="AG1674" s="168"/>
      <c r="AH1674" s="169"/>
      <c r="AI1674" s="167"/>
      <c r="AJ1674" s="48"/>
      <c r="AK1674" s="15"/>
      <c r="AL1674" s="15"/>
    </row>
    <row r="1675" spans="1:38" ht="105" x14ac:dyDescent="0.3">
      <c r="A1675" s="179"/>
      <c r="B1675" s="272"/>
      <c r="C1675" s="282"/>
      <c r="D1675" s="273"/>
      <c r="E1675" s="28" t="s">
        <v>4920</v>
      </c>
      <c r="F1675" s="272"/>
      <c r="G1675" s="282"/>
      <c r="H1675" s="273"/>
      <c r="I1675" s="104" t="s">
        <v>4648</v>
      </c>
      <c r="J1675" s="105"/>
      <c r="K1675" s="126" t="s">
        <v>4904</v>
      </c>
      <c r="L1675" s="127"/>
      <c r="M1675" s="183">
        <v>130</v>
      </c>
      <c r="N1675" s="184"/>
      <c r="O1675" s="185"/>
      <c r="P1675" s="180" t="s">
        <v>4905</v>
      </c>
      <c r="Q1675" s="181"/>
      <c r="R1675" s="155">
        <v>23</v>
      </c>
      <c r="S1675" s="157"/>
      <c r="T1675" s="183">
        <v>10</v>
      </c>
      <c r="U1675" s="185"/>
      <c r="V1675" s="173" t="s">
        <v>4908</v>
      </c>
      <c r="W1675" s="174"/>
      <c r="X1675" s="227">
        <v>199</v>
      </c>
      <c r="Y1675" s="228"/>
      <c r="Z1675" s="229"/>
      <c r="AA1675" s="110" t="s">
        <v>3829</v>
      </c>
      <c r="AB1675" s="111"/>
      <c r="AC1675" s="162" t="s">
        <v>4914</v>
      </c>
      <c r="AD1675" s="163"/>
      <c r="AE1675" s="43"/>
      <c r="AF1675" s="167"/>
      <c r="AG1675" s="168"/>
      <c r="AH1675" s="169"/>
      <c r="AI1675" s="167"/>
      <c r="AJ1675" s="48"/>
      <c r="AK1675" s="15"/>
      <c r="AL1675" s="15"/>
    </row>
    <row r="1676" spans="1:38" ht="60" x14ac:dyDescent="0.3">
      <c r="A1676" s="179"/>
      <c r="B1676" s="272"/>
      <c r="C1676" s="282"/>
      <c r="D1676" s="273"/>
      <c r="E1676" s="28" t="s">
        <v>4921</v>
      </c>
      <c r="F1676" s="272"/>
      <c r="G1676" s="282"/>
      <c r="H1676" s="273"/>
      <c r="I1676" s="104" t="s">
        <v>4648</v>
      </c>
      <c r="J1676" s="105"/>
      <c r="K1676" s="126" t="s">
        <v>4904</v>
      </c>
      <c r="L1676" s="127"/>
      <c r="M1676" s="183">
        <v>121</v>
      </c>
      <c r="N1676" s="184"/>
      <c r="O1676" s="185"/>
      <c r="P1676" s="180" t="s">
        <v>4905</v>
      </c>
      <c r="Q1676" s="181"/>
      <c r="R1676" s="155">
        <v>23</v>
      </c>
      <c r="S1676" s="157"/>
      <c r="T1676" s="183">
        <v>10</v>
      </c>
      <c r="U1676" s="185"/>
      <c r="V1676" s="173" t="s">
        <v>4912</v>
      </c>
      <c r="W1676" s="174"/>
      <c r="X1676" s="227">
        <v>189</v>
      </c>
      <c r="Y1676" s="228"/>
      <c r="Z1676" s="229"/>
      <c r="AA1676" s="110" t="s">
        <v>4118</v>
      </c>
      <c r="AB1676" s="111"/>
      <c r="AC1676" s="162"/>
      <c r="AD1676" s="163"/>
      <c r="AE1676" s="43"/>
      <c r="AF1676" s="167"/>
      <c r="AG1676" s="168"/>
      <c r="AH1676" s="169"/>
      <c r="AI1676" s="167"/>
      <c r="AJ1676" s="48"/>
      <c r="AK1676" s="15"/>
      <c r="AL1676" s="15"/>
    </row>
    <row r="1677" spans="1:38" ht="105" x14ac:dyDescent="0.3">
      <c r="A1677" s="179"/>
      <c r="B1677" s="272"/>
      <c r="C1677" s="282"/>
      <c r="D1677" s="273"/>
      <c r="E1677" s="28" t="s">
        <v>4922</v>
      </c>
      <c r="F1677" s="272"/>
      <c r="G1677" s="282"/>
      <c r="H1677" s="273"/>
      <c r="I1677" s="104" t="s">
        <v>4648</v>
      </c>
      <c r="J1677" s="105"/>
      <c r="K1677" s="126" t="s">
        <v>4904</v>
      </c>
      <c r="L1677" s="127"/>
      <c r="M1677" s="183">
        <v>133</v>
      </c>
      <c r="N1677" s="184"/>
      <c r="O1677" s="185"/>
      <c r="P1677" s="180" t="s">
        <v>4905</v>
      </c>
      <c r="Q1677" s="181"/>
      <c r="R1677" s="155">
        <v>23</v>
      </c>
      <c r="S1677" s="157"/>
      <c r="T1677" s="183">
        <v>10</v>
      </c>
      <c r="U1677" s="185"/>
      <c r="V1677" s="173" t="s">
        <v>4918</v>
      </c>
      <c r="W1677" s="174"/>
      <c r="X1677" s="227">
        <v>199</v>
      </c>
      <c r="Y1677" s="228"/>
      <c r="Z1677" s="229"/>
      <c r="AA1677" s="110" t="s">
        <v>4618</v>
      </c>
      <c r="AB1677" s="111"/>
      <c r="AC1677" s="162"/>
      <c r="AD1677" s="163"/>
      <c r="AE1677" s="43"/>
      <c r="AF1677" s="167"/>
      <c r="AG1677" s="168"/>
      <c r="AH1677" s="169"/>
      <c r="AI1677" s="167"/>
      <c r="AJ1677" s="48"/>
      <c r="AK1677" s="15"/>
      <c r="AL1677" s="15"/>
    </row>
    <row r="1678" spans="1:38" ht="60" x14ac:dyDescent="0.3">
      <c r="A1678" s="179"/>
      <c r="B1678" s="272"/>
      <c r="C1678" s="282"/>
      <c r="D1678" s="273"/>
      <c r="E1678" s="28" t="s">
        <v>4923</v>
      </c>
      <c r="F1678" s="272"/>
      <c r="G1678" s="282"/>
      <c r="H1678" s="273"/>
      <c r="I1678" s="104" t="s">
        <v>4648</v>
      </c>
      <c r="J1678" s="105"/>
      <c r="K1678" s="126" t="s">
        <v>4904</v>
      </c>
      <c r="L1678" s="127"/>
      <c r="M1678" s="183">
        <v>118</v>
      </c>
      <c r="N1678" s="184"/>
      <c r="O1678" s="185"/>
      <c r="P1678" s="180" t="s">
        <v>4905</v>
      </c>
      <c r="Q1678" s="181"/>
      <c r="R1678" s="155">
        <v>23</v>
      </c>
      <c r="S1678" s="157"/>
      <c r="T1678" s="183">
        <v>10</v>
      </c>
      <c r="U1678" s="185"/>
      <c r="V1678" s="173" t="s">
        <v>4906</v>
      </c>
      <c r="W1678" s="174"/>
      <c r="X1678" s="227">
        <v>189</v>
      </c>
      <c r="Y1678" s="228"/>
      <c r="Z1678" s="229"/>
      <c r="AA1678" s="110" t="s">
        <v>1124</v>
      </c>
      <c r="AB1678" s="111"/>
      <c r="AC1678" s="162"/>
      <c r="AD1678" s="163"/>
      <c r="AE1678" s="43"/>
      <c r="AF1678" s="167"/>
      <c r="AG1678" s="168"/>
      <c r="AH1678" s="169"/>
      <c r="AI1678" s="167"/>
      <c r="AJ1678" s="48"/>
      <c r="AK1678" s="15"/>
      <c r="AL1678" s="15"/>
    </row>
    <row r="1679" spans="1:38" ht="105" x14ac:dyDescent="0.3">
      <c r="A1679" s="179"/>
      <c r="B1679" s="272"/>
      <c r="C1679" s="282"/>
      <c r="D1679" s="273"/>
      <c r="E1679" s="28" t="s">
        <v>4924</v>
      </c>
      <c r="F1679" s="272"/>
      <c r="G1679" s="282"/>
      <c r="H1679" s="273"/>
      <c r="I1679" s="104" t="s">
        <v>4648</v>
      </c>
      <c r="J1679" s="105"/>
      <c r="K1679" s="126" t="s">
        <v>4904</v>
      </c>
      <c r="L1679" s="127"/>
      <c r="M1679" s="183">
        <v>130</v>
      </c>
      <c r="N1679" s="184"/>
      <c r="O1679" s="185"/>
      <c r="P1679" s="180" t="s">
        <v>4905</v>
      </c>
      <c r="Q1679" s="181"/>
      <c r="R1679" s="155">
        <v>23</v>
      </c>
      <c r="S1679" s="157"/>
      <c r="T1679" s="183">
        <v>10</v>
      </c>
      <c r="U1679" s="185"/>
      <c r="V1679" s="173" t="s">
        <v>4908</v>
      </c>
      <c r="W1679" s="174"/>
      <c r="X1679" s="227">
        <v>199</v>
      </c>
      <c r="Y1679" s="228"/>
      <c r="Z1679" s="229"/>
      <c r="AA1679" s="110" t="s">
        <v>3829</v>
      </c>
      <c r="AB1679" s="111"/>
      <c r="AC1679" s="162"/>
      <c r="AD1679" s="163"/>
      <c r="AE1679" s="43"/>
      <c r="AF1679" s="167"/>
      <c r="AG1679" s="168"/>
      <c r="AH1679" s="169"/>
      <c r="AI1679" s="167"/>
      <c r="AJ1679" s="48"/>
      <c r="AK1679" s="15"/>
      <c r="AL1679" s="15"/>
    </row>
    <row r="1680" spans="1:38" ht="60" x14ac:dyDescent="0.3">
      <c r="A1680" s="179"/>
      <c r="B1680" s="272"/>
      <c r="C1680" s="282"/>
      <c r="D1680" s="273"/>
      <c r="E1680" s="28" t="s">
        <v>4925</v>
      </c>
      <c r="F1680" s="272"/>
      <c r="G1680" s="282"/>
      <c r="H1680" s="273"/>
      <c r="I1680" s="104" t="s">
        <v>4648</v>
      </c>
      <c r="J1680" s="105"/>
      <c r="K1680" s="126" t="s">
        <v>4904</v>
      </c>
      <c r="L1680" s="127"/>
      <c r="M1680" s="183">
        <v>121</v>
      </c>
      <c r="N1680" s="184"/>
      <c r="O1680" s="185"/>
      <c r="P1680" s="180" t="s">
        <v>4905</v>
      </c>
      <c r="Q1680" s="181"/>
      <c r="R1680" s="155">
        <v>23</v>
      </c>
      <c r="S1680" s="157"/>
      <c r="T1680" s="183">
        <v>10</v>
      </c>
      <c r="U1680" s="185"/>
      <c r="V1680" s="173" t="s">
        <v>4912</v>
      </c>
      <c r="W1680" s="174"/>
      <c r="X1680" s="227">
        <v>189</v>
      </c>
      <c r="Y1680" s="228"/>
      <c r="Z1680" s="229"/>
      <c r="AA1680" s="110" t="s">
        <v>4118</v>
      </c>
      <c r="AB1680" s="111"/>
      <c r="AC1680" s="162"/>
      <c r="AD1680" s="163"/>
      <c r="AE1680" s="43"/>
      <c r="AF1680" s="167"/>
      <c r="AG1680" s="168"/>
      <c r="AH1680" s="169"/>
      <c r="AI1680" s="167"/>
      <c r="AJ1680" s="48"/>
      <c r="AK1680" s="15"/>
      <c r="AL1680" s="15"/>
    </row>
    <row r="1681" spans="1:38" ht="105" x14ac:dyDescent="0.3">
      <c r="A1681" s="179"/>
      <c r="B1681" s="272"/>
      <c r="C1681" s="282"/>
      <c r="D1681" s="273"/>
      <c r="E1681" s="28" t="s">
        <v>4926</v>
      </c>
      <c r="F1681" s="272"/>
      <c r="G1681" s="282"/>
      <c r="H1681" s="273"/>
      <c r="I1681" s="104" t="s">
        <v>4648</v>
      </c>
      <c r="J1681" s="105"/>
      <c r="K1681" s="126" t="s">
        <v>4904</v>
      </c>
      <c r="L1681" s="127"/>
      <c r="M1681" s="183">
        <v>133</v>
      </c>
      <c r="N1681" s="184"/>
      <c r="O1681" s="185"/>
      <c r="P1681" s="180" t="s">
        <v>4905</v>
      </c>
      <c r="Q1681" s="181"/>
      <c r="R1681" s="155">
        <v>23</v>
      </c>
      <c r="S1681" s="157"/>
      <c r="T1681" s="183">
        <v>10</v>
      </c>
      <c r="U1681" s="185"/>
      <c r="V1681" s="173" t="s">
        <v>4918</v>
      </c>
      <c r="W1681" s="174"/>
      <c r="X1681" s="227">
        <v>199</v>
      </c>
      <c r="Y1681" s="228"/>
      <c r="Z1681" s="229"/>
      <c r="AA1681" s="110" t="s">
        <v>4618</v>
      </c>
      <c r="AB1681" s="111"/>
      <c r="AC1681" s="162"/>
      <c r="AD1681" s="163"/>
      <c r="AE1681" s="43"/>
      <c r="AF1681" s="167"/>
      <c r="AG1681" s="168"/>
      <c r="AH1681" s="169"/>
      <c r="AI1681" s="167"/>
      <c r="AJ1681" s="48"/>
      <c r="AK1681" s="15"/>
      <c r="AL1681" s="15"/>
    </row>
    <row r="1682" spans="1:38" ht="75" x14ac:dyDescent="0.3">
      <c r="A1682" s="179"/>
      <c r="B1682" s="272"/>
      <c r="C1682" s="282"/>
      <c r="D1682" s="273"/>
      <c r="E1682" s="28" t="s">
        <v>4927</v>
      </c>
      <c r="F1682" s="272"/>
      <c r="G1682" s="282"/>
      <c r="H1682" s="273"/>
      <c r="I1682" s="104" t="s">
        <v>4648</v>
      </c>
      <c r="J1682" s="105"/>
      <c r="K1682" s="126" t="s">
        <v>4904</v>
      </c>
      <c r="L1682" s="127"/>
      <c r="M1682" s="183">
        <v>118</v>
      </c>
      <c r="N1682" s="184"/>
      <c r="O1682" s="185"/>
      <c r="P1682" s="180" t="s">
        <v>4905</v>
      </c>
      <c r="Q1682" s="181"/>
      <c r="R1682" s="155">
        <v>23</v>
      </c>
      <c r="S1682" s="157"/>
      <c r="T1682" s="183">
        <v>10</v>
      </c>
      <c r="U1682" s="185"/>
      <c r="V1682" s="173" t="s">
        <v>4906</v>
      </c>
      <c r="W1682" s="174"/>
      <c r="X1682" s="227">
        <v>189</v>
      </c>
      <c r="Y1682" s="228"/>
      <c r="Z1682" s="229"/>
      <c r="AA1682" s="110" t="s">
        <v>1124</v>
      </c>
      <c r="AB1682" s="111"/>
      <c r="AC1682" s="162"/>
      <c r="AD1682" s="163"/>
      <c r="AE1682" s="43"/>
      <c r="AF1682" s="167"/>
      <c r="AG1682" s="168"/>
      <c r="AH1682" s="169"/>
      <c r="AI1682" s="167"/>
      <c r="AJ1682" s="48"/>
      <c r="AK1682" s="15"/>
      <c r="AL1682" s="15"/>
    </row>
    <row r="1683" spans="1:38" ht="120" x14ac:dyDescent="0.3">
      <c r="A1683" s="179"/>
      <c r="B1683" s="272"/>
      <c r="C1683" s="282"/>
      <c r="D1683" s="273"/>
      <c r="E1683" s="28" t="s">
        <v>4928</v>
      </c>
      <c r="F1683" s="272"/>
      <c r="G1683" s="282"/>
      <c r="H1683" s="273"/>
      <c r="I1683" s="104" t="s">
        <v>4648</v>
      </c>
      <c r="J1683" s="105"/>
      <c r="K1683" s="126" t="s">
        <v>4904</v>
      </c>
      <c r="L1683" s="127"/>
      <c r="M1683" s="183">
        <v>130</v>
      </c>
      <c r="N1683" s="184"/>
      <c r="O1683" s="185"/>
      <c r="P1683" s="180" t="s">
        <v>4905</v>
      </c>
      <c r="Q1683" s="181"/>
      <c r="R1683" s="155">
        <v>23</v>
      </c>
      <c r="S1683" s="157"/>
      <c r="T1683" s="183">
        <v>10</v>
      </c>
      <c r="U1683" s="185"/>
      <c r="V1683" s="173" t="s">
        <v>4908</v>
      </c>
      <c r="W1683" s="174"/>
      <c r="X1683" s="227">
        <v>199</v>
      </c>
      <c r="Y1683" s="228"/>
      <c r="Z1683" s="229"/>
      <c r="AA1683" s="110" t="s">
        <v>3829</v>
      </c>
      <c r="AB1683" s="111"/>
      <c r="AC1683" s="162"/>
      <c r="AD1683" s="163"/>
      <c r="AE1683" s="43"/>
      <c r="AF1683" s="167"/>
      <c r="AG1683" s="168"/>
      <c r="AH1683" s="169"/>
      <c r="AI1683" s="167"/>
      <c r="AJ1683" s="48"/>
      <c r="AK1683" s="15"/>
      <c r="AL1683" s="15"/>
    </row>
    <row r="1684" spans="1:38" ht="75" x14ac:dyDescent="0.3">
      <c r="A1684" s="179"/>
      <c r="B1684" s="272"/>
      <c r="C1684" s="282"/>
      <c r="D1684" s="273"/>
      <c r="E1684" s="28" t="s">
        <v>4929</v>
      </c>
      <c r="F1684" s="272"/>
      <c r="G1684" s="282"/>
      <c r="H1684" s="273"/>
      <c r="I1684" s="104" t="s">
        <v>4648</v>
      </c>
      <c r="J1684" s="105"/>
      <c r="K1684" s="126" t="s">
        <v>4904</v>
      </c>
      <c r="L1684" s="127"/>
      <c r="M1684" s="183">
        <v>121</v>
      </c>
      <c r="N1684" s="184"/>
      <c r="O1684" s="185"/>
      <c r="P1684" s="180" t="s">
        <v>4905</v>
      </c>
      <c r="Q1684" s="181"/>
      <c r="R1684" s="155">
        <v>23</v>
      </c>
      <c r="S1684" s="157"/>
      <c r="T1684" s="183">
        <v>10</v>
      </c>
      <c r="U1684" s="185"/>
      <c r="V1684" s="173" t="s">
        <v>4912</v>
      </c>
      <c r="W1684" s="174"/>
      <c r="X1684" s="227">
        <v>189</v>
      </c>
      <c r="Y1684" s="228"/>
      <c r="Z1684" s="229"/>
      <c r="AA1684" s="110" t="s">
        <v>4118</v>
      </c>
      <c r="AB1684" s="111"/>
      <c r="AC1684" s="162"/>
      <c r="AD1684" s="163"/>
      <c r="AE1684" s="43"/>
      <c r="AF1684" s="167"/>
      <c r="AG1684" s="168"/>
      <c r="AH1684" s="169"/>
      <c r="AI1684" s="167"/>
      <c r="AJ1684" s="48"/>
      <c r="AK1684" s="15"/>
      <c r="AL1684" s="15"/>
    </row>
    <row r="1685" spans="1:38" ht="120" x14ac:dyDescent="0.3">
      <c r="A1685" s="230"/>
      <c r="B1685" s="194"/>
      <c r="C1685" s="197"/>
      <c r="D1685" s="195"/>
      <c r="E1685" s="28" t="s">
        <v>4930</v>
      </c>
      <c r="F1685" s="194"/>
      <c r="G1685" s="197"/>
      <c r="H1685" s="195"/>
      <c r="I1685" s="146" t="s">
        <v>4648</v>
      </c>
      <c r="J1685" s="148"/>
      <c r="K1685" s="117" t="s">
        <v>4904</v>
      </c>
      <c r="L1685" s="118"/>
      <c r="M1685" s="183">
        <v>133</v>
      </c>
      <c r="N1685" s="184"/>
      <c r="O1685" s="185"/>
      <c r="P1685" s="180" t="s">
        <v>4905</v>
      </c>
      <c r="Q1685" s="181"/>
      <c r="R1685" s="160">
        <v>23</v>
      </c>
      <c r="S1685" s="161"/>
      <c r="T1685" s="183">
        <v>10</v>
      </c>
      <c r="U1685" s="185"/>
      <c r="V1685" s="173" t="s">
        <v>4918</v>
      </c>
      <c r="W1685" s="174"/>
      <c r="X1685" s="227">
        <v>199</v>
      </c>
      <c r="Y1685" s="228"/>
      <c r="Z1685" s="229"/>
      <c r="AA1685" s="110" t="s">
        <v>4618</v>
      </c>
      <c r="AB1685" s="111"/>
      <c r="AC1685" s="212"/>
      <c r="AD1685" s="213"/>
      <c r="AE1685" s="43"/>
      <c r="AF1685" s="214"/>
      <c r="AG1685" s="215"/>
      <c r="AH1685" s="216"/>
      <c r="AI1685" s="167"/>
      <c r="AJ1685" s="48"/>
      <c r="AK1685" s="15"/>
      <c r="AL1685" s="15"/>
    </row>
    <row r="1686" spans="1:38" ht="75" x14ac:dyDescent="0.3">
      <c r="A1686" s="178"/>
      <c r="B1686" s="303" t="s">
        <v>4931</v>
      </c>
      <c r="C1686" s="344"/>
      <c r="D1686" s="304"/>
      <c r="E1686" s="28" t="s">
        <v>4932</v>
      </c>
      <c r="F1686" s="124" t="s">
        <v>4933</v>
      </c>
      <c r="G1686" s="182"/>
      <c r="H1686" s="125"/>
      <c r="I1686" s="110" t="s">
        <v>4934</v>
      </c>
      <c r="J1686" s="111"/>
      <c r="K1686" s="110" t="s">
        <v>4935</v>
      </c>
      <c r="L1686" s="111"/>
      <c r="M1686" s="110" t="s">
        <v>1759</v>
      </c>
      <c r="N1686" s="138"/>
      <c r="O1686" s="111"/>
      <c r="P1686" s="183">
        <v>0</v>
      </c>
      <c r="Q1686" s="185"/>
      <c r="R1686" s="114" t="s">
        <v>758</v>
      </c>
      <c r="S1686" s="116"/>
      <c r="T1686" s="114" t="s">
        <v>922</v>
      </c>
      <c r="U1686" s="116"/>
      <c r="V1686" s="180" t="s">
        <v>4101</v>
      </c>
      <c r="W1686" s="181"/>
      <c r="X1686" s="175" t="s">
        <v>1477</v>
      </c>
      <c r="Y1686" s="176"/>
      <c r="Z1686" s="177"/>
      <c r="AA1686" s="110" t="s">
        <v>1261</v>
      </c>
      <c r="AB1686" s="111"/>
      <c r="AC1686" s="223" t="s">
        <v>4936</v>
      </c>
      <c r="AD1686" s="224"/>
      <c r="AE1686" s="24" t="s">
        <v>4938</v>
      </c>
      <c r="AF1686" s="171" t="s">
        <v>2540</v>
      </c>
      <c r="AG1686" s="407"/>
      <c r="AH1686" s="172"/>
      <c r="AI1686" s="167"/>
      <c r="AJ1686" s="48"/>
      <c r="AK1686" s="15"/>
      <c r="AL1686" s="15"/>
    </row>
    <row r="1687" spans="1:38" ht="75" x14ac:dyDescent="0.3">
      <c r="A1687" s="179"/>
      <c r="B1687" s="292"/>
      <c r="C1687" s="314"/>
      <c r="D1687" s="293"/>
      <c r="E1687" s="28" t="s">
        <v>4940</v>
      </c>
      <c r="F1687" s="124" t="s">
        <v>4941</v>
      </c>
      <c r="G1687" s="182"/>
      <c r="H1687" s="125"/>
      <c r="I1687" s="110" t="s">
        <v>4942</v>
      </c>
      <c r="J1687" s="111"/>
      <c r="K1687" s="110" t="s">
        <v>4943</v>
      </c>
      <c r="L1687" s="111"/>
      <c r="M1687" s="114" t="s">
        <v>4944</v>
      </c>
      <c r="N1687" s="115"/>
      <c r="O1687" s="116"/>
      <c r="P1687" s="183">
        <v>0</v>
      </c>
      <c r="Q1687" s="185"/>
      <c r="R1687" s="114" t="s">
        <v>1127</v>
      </c>
      <c r="S1687" s="116"/>
      <c r="T1687" s="114" t="s">
        <v>922</v>
      </c>
      <c r="U1687" s="116"/>
      <c r="V1687" s="114" t="s">
        <v>4945</v>
      </c>
      <c r="W1687" s="116"/>
      <c r="X1687" s="175" t="s">
        <v>4946</v>
      </c>
      <c r="Y1687" s="176"/>
      <c r="Z1687" s="177"/>
      <c r="AA1687" s="110" t="s">
        <v>879</v>
      </c>
      <c r="AB1687" s="111"/>
      <c r="AC1687" s="239" t="s">
        <v>2211</v>
      </c>
      <c r="AD1687" s="240"/>
      <c r="AE1687" s="31" t="s">
        <v>1356</v>
      </c>
      <c r="AF1687" s="162" t="s">
        <v>2541</v>
      </c>
      <c r="AG1687" s="170"/>
      <c r="AH1687" s="163"/>
      <c r="AI1687" s="167"/>
      <c r="AJ1687" s="48"/>
      <c r="AK1687" s="15"/>
      <c r="AL1687" s="15"/>
    </row>
    <row r="1688" spans="1:38" ht="75" x14ac:dyDescent="0.3">
      <c r="A1688" s="179"/>
      <c r="B1688" s="292"/>
      <c r="C1688" s="314"/>
      <c r="D1688" s="293"/>
      <c r="E1688" s="28" t="s">
        <v>4947</v>
      </c>
      <c r="F1688" s="124" t="s">
        <v>4933</v>
      </c>
      <c r="G1688" s="182"/>
      <c r="H1688" s="125"/>
      <c r="I1688" s="110" t="s">
        <v>4934</v>
      </c>
      <c r="J1688" s="111"/>
      <c r="K1688" s="110" t="s">
        <v>4935</v>
      </c>
      <c r="L1688" s="111"/>
      <c r="M1688" s="110" t="s">
        <v>1759</v>
      </c>
      <c r="N1688" s="138"/>
      <c r="O1688" s="111"/>
      <c r="P1688" s="183">
        <v>0</v>
      </c>
      <c r="Q1688" s="185"/>
      <c r="R1688" s="114" t="s">
        <v>758</v>
      </c>
      <c r="S1688" s="116"/>
      <c r="T1688" s="114" t="s">
        <v>922</v>
      </c>
      <c r="U1688" s="116"/>
      <c r="V1688" s="180" t="s">
        <v>4101</v>
      </c>
      <c r="W1688" s="181"/>
      <c r="X1688" s="175" t="s">
        <v>1477</v>
      </c>
      <c r="Y1688" s="176"/>
      <c r="Z1688" s="177"/>
      <c r="AA1688" s="110" t="s">
        <v>1261</v>
      </c>
      <c r="AB1688" s="111"/>
      <c r="AC1688" s="239" t="s">
        <v>4937</v>
      </c>
      <c r="AD1688" s="240"/>
      <c r="AE1688" s="31" t="s">
        <v>4939</v>
      </c>
      <c r="AF1688" s="162"/>
      <c r="AG1688" s="170"/>
      <c r="AH1688" s="163"/>
      <c r="AI1688" s="167"/>
      <c r="AJ1688" s="48"/>
      <c r="AK1688" s="15"/>
      <c r="AL1688" s="15"/>
    </row>
    <row r="1689" spans="1:38" ht="75" x14ac:dyDescent="0.3">
      <c r="A1689" s="179"/>
      <c r="B1689" s="292"/>
      <c r="C1689" s="314"/>
      <c r="D1689" s="293"/>
      <c r="E1689" s="28" t="s">
        <v>4948</v>
      </c>
      <c r="F1689" s="124" t="s">
        <v>4941</v>
      </c>
      <c r="G1689" s="182"/>
      <c r="H1689" s="125"/>
      <c r="I1689" s="110" t="s">
        <v>4942</v>
      </c>
      <c r="J1689" s="111"/>
      <c r="K1689" s="110" t="s">
        <v>4943</v>
      </c>
      <c r="L1689" s="111"/>
      <c r="M1689" s="114" t="s">
        <v>4944</v>
      </c>
      <c r="N1689" s="115"/>
      <c r="O1689" s="116"/>
      <c r="P1689" s="183">
        <v>0</v>
      </c>
      <c r="Q1689" s="185"/>
      <c r="R1689" s="114" t="s">
        <v>1127</v>
      </c>
      <c r="S1689" s="116"/>
      <c r="T1689" s="114" t="s">
        <v>922</v>
      </c>
      <c r="U1689" s="116"/>
      <c r="V1689" s="114" t="s">
        <v>4945</v>
      </c>
      <c r="W1689" s="116"/>
      <c r="X1689" s="175" t="s">
        <v>4946</v>
      </c>
      <c r="Y1689" s="176"/>
      <c r="Z1689" s="177"/>
      <c r="AA1689" s="110" t="s">
        <v>879</v>
      </c>
      <c r="AB1689" s="111"/>
      <c r="AC1689" s="239"/>
      <c r="AD1689" s="240"/>
      <c r="AE1689" s="31"/>
      <c r="AF1689" s="162"/>
      <c r="AG1689" s="170"/>
      <c r="AH1689" s="163"/>
      <c r="AI1689" s="167"/>
      <c r="AJ1689" s="48"/>
      <c r="AK1689" s="15"/>
      <c r="AL1689" s="15"/>
    </row>
    <row r="1690" spans="1:38" ht="75" x14ac:dyDescent="0.3">
      <c r="A1690" s="179"/>
      <c r="B1690" s="292"/>
      <c r="C1690" s="314"/>
      <c r="D1690" s="293"/>
      <c r="E1690" s="28" t="s">
        <v>4949</v>
      </c>
      <c r="F1690" s="124" t="s">
        <v>4933</v>
      </c>
      <c r="G1690" s="182"/>
      <c r="H1690" s="125"/>
      <c r="I1690" s="110" t="s">
        <v>4934</v>
      </c>
      <c r="J1690" s="111"/>
      <c r="K1690" s="110" t="s">
        <v>4935</v>
      </c>
      <c r="L1690" s="111"/>
      <c r="M1690" s="110" t="s">
        <v>1717</v>
      </c>
      <c r="N1690" s="138"/>
      <c r="O1690" s="111"/>
      <c r="P1690" s="183">
        <v>0</v>
      </c>
      <c r="Q1690" s="185"/>
      <c r="R1690" s="114" t="s">
        <v>758</v>
      </c>
      <c r="S1690" s="116"/>
      <c r="T1690" s="114" t="s">
        <v>922</v>
      </c>
      <c r="U1690" s="116"/>
      <c r="V1690" s="180" t="s">
        <v>4765</v>
      </c>
      <c r="W1690" s="181"/>
      <c r="X1690" s="175" t="s">
        <v>4102</v>
      </c>
      <c r="Y1690" s="176"/>
      <c r="Z1690" s="177"/>
      <c r="AA1690" s="110" t="s">
        <v>1023</v>
      </c>
      <c r="AB1690" s="111"/>
      <c r="AC1690" s="239"/>
      <c r="AD1690" s="240"/>
      <c r="AE1690" s="31"/>
      <c r="AF1690" s="162"/>
      <c r="AG1690" s="170"/>
      <c r="AH1690" s="163"/>
      <c r="AI1690" s="167"/>
      <c r="AJ1690" s="48"/>
      <c r="AK1690" s="15"/>
      <c r="AL1690" s="15"/>
    </row>
    <row r="1691" spans="1:38" ht="75" x14ac:dyDescent="0.3">
      <c r="A1691" s="179"/>
      <c r="B1691" s="292"/>
      <c r="C1691" s="314"/>
      <c r="D1691" s="293"/>
      <c r="E1691" s="28" t="s">
        <v>4950</v>
      </c>
      <c r="F1691" s="124" t="s">
        <v>4941</v>
      </c>
      <c r="G1691" s="182"/>
      <c r="H1691" s="125"/>
      <c r="I1691" s="110" t="s">
        <v>4942</v>
      </c>
      <c r="J1691" s="111"/>
      <c r="K1691" s="110" t="s">
        <v>4943</v>
      </c>
      <c r="L1691" s="111"/>
      <c r="M1691" s="114" t="s">
        <v>977</v>
      </c>
      <c r="N1691" s="115"/>
      <c r="O1691" s="116"/>
      <c r="P1691" s="183">
        <v>0</v>
      </c>
      <c r="Q1691" s="185"/>
      <c r="R1691" s="114" t="s">
        <v>1127</v>
      </c>
      <c r="S1691" s="116"/>
      <c r="T1691" s="114" t="s">
        <v>922</v>
      </c>
      <c r="U1691" s="116"/>
      <c r="V1691" s="114" t="s">
        <v>1522</v>
      </c>
      <c r="W1691" s="116"/>
      <c r="X1691" s="175" t="s">
        <v>3764</v>
      </c>
      <c r="Y1691" s="176"/>
      <c r="Z1691" s="177"/>
      <c r="AA1691" s="110" t="s">
        <v>688</v>
      </c>
      <c r="AB1691" s="111"/>
      <c r="AC1691" s="239"/>
      <c r="AD1691" s="240"/>
      <c r="AE1691" s="31"/>
      <c r="AF1691" s="162"/>
      <c r="AG1691" s="170"/>
      <c r="AH1691" s="163"/>
      <c r="AI1691" s="167"/>
      <c r="AJ1691" s="48"/>
      <c r="AK1691" s="15"/>
      <c r="AL1691" s="15"/>
    </row>
    <row r="1692" spans="1:38" ht="75" x14ac:dyDescent="0.3">
      <c r="A1692" s="179"/>
      <c r="B1692" s="292"/>
      <c r="C1692" s="314"/>
      <c r="D1692" s="293"/>
      <c r="E1692" s="28" t="s">
        <v>4951</v>
      </c>
      <c r="F1692" s="124" t="s">
        <v>4952</v>
      </c>
      <c r="G1692" s="182"/>
      <c r="H1692" s="125"/>
      <c r="I1692" s="110" t="s">
        <v>4953</v>
      </c>
      <c r="J1692" s="111"/>
      <c r="K1692" s="110" t="s">
        <v>4935</v>
      </c>
      <c r="L1692" s="111"/>
      <c r="M1692" s="110" t="s">
        <v>1222</v>
      </c>
      <c r="N1692" s="138"/>
      <c r="O1692" s="111"/>
      <c r="P1692" s="183">
        <v>0</v>
      </c>
      <c r="Q1692" s="185"/>
      <c r="R1692" s="114" t="s">
        <v>758</v>
      </c>
      <c r="S1692" s="116"/>
      <c r="T1692" s="114" t="s">
        <v>922</v>
      </c>
      <c r="U1692" s="116"/>
      <c r="V1692" s="180" t="s">
        <v>4610</v>
      </c>
      <c r="W1692" s="181"/>
      <c r="X1692" s="488" t="s">
        <v>4298</v>
      </c>
      <c r="Y1692" s="489"/>
      <c r="Z1692" s="490"/>
      <c r="AA1692" s="110" t="s">
        <v>3193</v>
      </c>
      <c r="AB1692" s="111"/>
      <c r="AC1692" s="239"/>
      <c r="AD1692" s="240"/>
      <c r="AE1692" s="31"/>
      <c r="AF1692" s="162"/>
      <c r="AG1692" s="170"/>
      <c r="AH1692" s="163"/>
      <c r="AI1692" s="167"/>
      <c r="AJ1692" s="48"/>
      <c r="AK1692" s="15"/>
      <c r="AL1692" s="15"/>
    </row>
    <row r="1693" spans="1:38" ht="75" x14ac:dyDescent="0.3">
      <c r="A1693" s="179"/>
      <c r="B1693" s="292"/>
      <c r="C1693" s="314"/>
      <c r="D1693" s="293"/>
      <c r="E1693" s="28" t="s">
        <v>4954</v>
      </c>
      <c r="F1693" s="124" t="s">
        <v>4955</v>
      </c>
      <c r="G1693" s="182"/>
      <c r="H1693" s="125"/>
      <c r="I1693" s="110" t="s">
        <v>4076</v>
      </c>
      <c r="J1693" s="111"/>
      <c r="K1693" s="110" t="s">
        <v>4943</v>
      </c>
      <c r="L1693" s="111"/>
      <c r="M1693" s="114" t="s">
        <v>4956</v>
      </c>
      <c r="N1693" s="115"/>
      <c r="O1693" s="116"/>
      <c r="P1693" s="183">
        <v>0</v>
      </c>
      <c r="Q1693" s="185"/>
      <c r="R1693" s="183">
        <v>4</v>
      </c>
      <c r="S1693" s="185"/>
      <c r="T1693" s="114" t="s">
        <v>922</v>
      </c>
      <c r="U1693" s="116"/>
      <c r="V1693" s="180" t="s">
        <v>4957</v>
      </c>
      <c r="W1693" s="181"/>
      <c r="X1693" s="175" t="s">
        <v>3761</v>
      </c>
      <c r="Y1693" s="176"/>
      <c r="Z1693" s="177"/>
      <c r="AA1693" s="110" t="s">
        <v>1023</v>
      </c>
      <c r="AB1693" s="111"/>
      <c r="AC1693" s="239"/>
      <c r="AD1693" s="240"/>
      <c r="AE1693" s="31"/>
      <c r="AF1693" s="162"/>
      <c r="AG1693" s="170"/>
      <c r="AH1693" s="163"/>
      <c r="AI1693" s="167"/>
      <c r="AJ1693" s="48"/>
      <c r="AK1693" s="15"/>
      <c r="AL1693" s="15"/>
    </row>
    <row r="1694" spans="1:38" ht="75" x14ac:dyDescent="0.3">
      <c r="A1694" s="179"/>
      <c r="B1694" s="292"/>
      <c r="C1694" s="314"/>
      <c r="D1694" s="293"/>
      <c r="E1694" s="28" t="s">
        <v>4958</v>
      </c>
      <c r="F1694" s="124" t="s">
        <v>4952</v>
      </c>
      <c r="G1694" s="182"/>
      <c r="H1694" s="125"/>
      <c r="I1694" s="110" t="s">
        <v>4953</v>
      </c>
      <c r="J1694" s="111"/>
      <c r="K1694" s="110" t="s">
        <v>4935</v>
      </c>
      <c r="L1694" s="111"/>
      <c r="M1694" s="110" t="s">
        <v>1222</v>
      </c>
      <c r="N1694" s="138"/>
      <c r="O1694" s="111"/>
      <c r="P1694" s="183">
        <v>0</v>
      </c>
      <c r="Q1694" s="185"/>
      <c r="R1694" s="114" t="s">
        <v>758</v>
      </c>
      <c r="S1694" s="116"/>
      <c r="T1694" s="114" t="s">
        <v>922</v>
      </c>
      <c r="U1694" s="116"/>
      <c r="V1694" s="180" t="s">
        <v>4610</v>
      </c>
      <c r="W1694" s="181"/>
      <c r="X1694" s="488" t="s">
        <v>4298</v>
      </c>
      <c r="Y1694" s="489"/>
      <c r="Z1694" s="490"/>
      <c r="AA1694" s="110" t="s">
        <v>3193</v>
      </c>
      <c r="AB1694" s="111"/>
      <c r="AC1694" s="239"/>
      <c r="AD1694" s="240"/>
      <c r="AE1694" s="31"/>
      <c r="AF1694" s="162"/>
      <c r="AG1694" s="170"/>
      <c r="AH1694" s="163"/>
      <c r="AI1694" s="167"/>
      <c r="AJ1694" s="48"/>
      <c r="AK1694" s="15"/>
      <c r="AL1694" s="15"/>
    </row>
    <row r="1695" spans="1:38" ht="75" x14ac:dyDescent="0.3">
      <c r="A1695" s="179"/>
      <c r="B1695" s="292"/>
      <c r="C1695" s="314"/>
      <c r="D1695" s="293"/>
      <c r="E1695" s="28" t="s">
        <v>4959</v>
      </c>
      <c r="F1695" s="124" t="s">
        <v>4955</v>
      </c>
      <c r="G1695" s="182"/>
      <c r="H1695" s="125"/>
      <c r="I1695" s="110" t="s">
        <v>4076</v>
      </c>
      <c r="J1695" s="111"/>
      <c r="K1695" s="110" t="s">
        <v>4943</v>
      </c>
      <c r="L1695" s="111"/>
      <c r="M1695" s="114" t="s">
        <v>4956</v>
      </c>
      <c r="N1695" s="115"/>
      <c r="O1695" s="116"/>
      <c r="P1695" s="183">
        <v>0</v>
      </c>
      <c r="Q1695" s="185"/>
      <c r="R1695" s="183">
        <v>4</v>
      </c>
      <c r="S1695" s="185"/>
      <c r="T1695" s="114" t="s">
        <v>922</v>
      </c>
      <c r="U1695" s="116"/>
      <c r="V1695" s="180" t="s">
        <v>4957</v>
      </c>
      <c r="W1695" s="181"/>
      <c r="X1695" s="175" t="s">
        <v>3761</v>
      </c>
      <c r="Y1695" s="176"/>
      <c r="Z1695" s="177"/>
      <c r="AA1695" s="110" t="s">
        <v>1023</v>
      </c>
      <c r="AB1695" s="111"/>
      <c r="AC1695" s="239"/>
      <c r="AD1695" s="240"/>
      <c r="AE1695" s="31"/>
      <c r="AF1695" s="162"/>
      <c r="AG1695" s="170"/>
      <c r="AH1695" s="163"/>
      <c r="AI1695" s="167"/>
      <c r="AJ1695" s="48"/>
      <c r="AK1695" s="15"/>
      <c r="AL1695" s="15"/>
    </row>
    <row r="1696" spans="1:38" ht="75" x14ac:dyDescent="0.3">
      <c r="A1696" s="179"/>
      <c r="B1696" s="292"/>
      <c r="C1696" s="314"/>
      <c r="D1696" s="293"/>
      <c r="E1696" s="28" t="s">
        <v>4960</v>
      </c>
      <c r="F1696" s="124" t="s">
        <v>4952</v>
      </c>
      <c r="G1696" s="182"/>
      <c r="H1696" s="125"/>
      <c r="I1696" s="110" t="s">
        <v>4953</v>
      </c>
      <c r="J1696" s="111"/>
      <c r="K1696" s="110" t="s">
        <v>4935</v>
      </c>
      <c r="L1696" s="111"/>
      <c r="M1696" s="110" t="s">
        <v>1751</v>
      </c>
      <c r="N1696" s="138"/>
      <c r="O1696" s="111"/>
      <c r="P1696" s="183">
        <v>0</v>
      </c>
      <c r="Q1696" s="185"/>
      <c r="R1696" s="114" t="s">
        <v>758</v>
      </c>
      <c r="S1696" s="116"/>
      <c r="T1696" s="114" t="s">
        <v>922</v>
      </c>
      <c r="U1696" s="116"/>
      <c r="V1696" s="180" t="s">
        <v>4298</v>
      </c>
      <c r="W1696" s="181"/>
      <c r="X1696" s="175" t="s">
        <v>4765</v>
      </c>
      <c r="Y1696" s="176"/>
      <c r="Z1696" s="177"/>
      <c r="AA1696" s="110" t="s">
        <v>1114</v>
      </c>
      <c r="AB1696" s="111"/>
      <c r="AC1696" s="239"/>
      <c r="AD1696" s="240"/>
      <c r="AE1696" s="31"/>
      <c r="AF1696" s="162"/>
      <c r="AG1696" s="170"/>
      <c r="AH1696" s="163"/>
      <c r="AI1696" s="167"/>
      <c r="AJ1696" s="48"/>
      <c r="AK1696" s="15"/>
      <c r="AL1696" s="15"/>
    </row>
    <row r="1697" spans="1:38" ht="75" x14ac:dyDescent="0.3">
      <c r="A1697" s="230"/>
      <c r="B1697" s="290"/>
      <c r="C1697" s="345"/>
      <c r="D1697" s="291"/>
      <c r="E1697" s="28" t="s">
        <v>4961</v>
      </c>
      <c r="F1697" s="124" t="s">
        <v>4955</v>
      </c>
      <c r="G1697" s="182"/>
      <c r="H1697" s="125"/>
      <c r="I1697" s="110" t="s">
        <v>4076</v>
      </c>
      <c r="J1697" s="111"/>
      <c r="K1697" s="110" t="s">
        <v>4943</v>
      </c>
      <c r="L1697" s="111"/>
      <c r="M1697" s="114" t="s">
        <v>1482</v>
      </c>
      <c r="N1697" s="115"/>
      <c r="O1697" s="116"/>
      <c r="P1697" s="183">
        <v>0</v>
      </c>
      <c r="Q1697" s="185"/>
      <c r="R1697" s="183">
        <v>4</v>
      </c>
      <c r="S1697" s="185"/>
      <c r="T1697" s="114" t="s">
        <v>922</v>
      </c>
      <c r="U1697" s="116"/>
      <c r="V1697" s="180" t="s">
        <v>4962</v>
      </c>
      <c r="W1697" s="181"/>
      <c r="X1697" s="175" t="s">
        <v>4963</v>
      </c>
      <c r="Y1697" s="176"/>
      <c r="Z1697" s="177"/>
      <c r="AA1697" s="110" t="s">
        <v>717</v>
      </c>
      <c r="AB1697" s="111"/>
      <c r="AC1697" s="225"/>
      <c r="AD1697" s="226"/>
      <c r="AE1697" s="31"/>
      <c r="AF1697" s="212"/>
      <c r="AG1697" s="408"/>
      <c r="AH1697" s="213"/>
      <c r="AI1697" s="167"/>
      <c r="AJ1697" s="48"/>
      <c r="AK1697" s="15"/>
      <c r="AL1697" s="15"/>
    </row>
    <row r="1698" spans="1:38" ht="60" x14ac:dyDescent="0.3">
      <c r="A1698" s="178"/>
      <c r="B1698" s="303" t="s">
        <v>4964</v>
      </c>
      <c r="C1698" s="344"/>
      <c r="D1698" s="304"/>
      <c r="E1698" s="28" t="s">
        <v>4965</v>
      </c>
      <c r="F1698" s="192" t="s">
        <v>4966</v>
      </c>
      <c r="G1698" s="196"/>
      <c r="H1698" s="193"/>
      <c r="I1698" s="143" t="s">
        <v>4967</v>
      </c>
      <c r="J1698" s="145"/>
      <c r="K1698" s="143" t="s">
        <v>4968</v>
      </c>
      <c r="L1698" s="145"/>
      <c r="M1698" s="110" t="s">
        <v>1023</v>
      </c>
      <c r="N1698" s="138"/>
      <c r="O1698" s="111"/>
      <c r="P1698" s="183">
        <v>0</v>
      </c>
      <c r="Q1698" s="185"/>
      <c r="R1698" s="477">
        <v>2</v>
      </c>
      <c r="S1698" s="478"/>
      <c r="T1698" s="114" t="s">
        <v>922</v>
      </c>
      <c r="U1698" s="116"/>
      <c r="V1698" s="114" t="s">
        <v>1695</v>
      </c>
      <c r="W1698" s="116"/>
      <c r="X1698" s="488" t="s">
        <v>2758</v>
      </c>
      <c r="Y1698" s="489"/>
      <c r="Z1698" s="490"/>
      <c r="AA1698" s="110" t="s">
        <v>1127</v>
      </c>
      <c r="AB1698" s="111"/>
      <c r="AC1698" s="171" t="s">
        <v>3194</v>
      </c>
      <c r="AD1698" s="172"/>
      <c r="AE1698" s="24" t="s">
        <v>4971</v>
      </c>
      <c r="AF1698" s="164"/>
      <c r="AG1698" s="165"/>
      <c r="AH1698" s="166"/>
      <c r="AI1698" s="167"/>
      <c r="AJ1698" s="48"/>
      <c r="AK1698" s="15"/>
      <c r="AL1698" s="15"/>
    </row>
    <row r="1699" spans="1:38" ht="60" x14ac:dyDescent="0.3">
      <c r="A1699" s="179"/>
      <c r="B1699" s="292"/>
      <c r="C1699" s="314"/>
      <c r="D1699" s="293"/>
      <c r="E1699" s="28" t="s">
        <v>4973</v>
      </c>
      <c r="F1699" s="272"/>
      <c r="G1699" s="282"/>
      <c r="H1699" s="273"/>
      <c r="I1699" s="104" t="s">
        <v>4967</v>
      </c>
      <c r="J1699" s="105"/>
      <c r="K1699" s="104" t="s">
        <v>4968</v>
      </c>
      <c r="L1699" s="105"/>
      <c r="M1699" s="110" t="s">
        <v>758</v>
      </c>
      <c r="N1699" s="138"/>
      <c r="O1699" s="111"/>
      <c r="P1699" s="183">
        <v>0</v>
      </c>
      <c r="Q1699" s="185"/>
      <c r="R1699" s="477">
        <v>2</v>
      </c>
      <c r="S1699" s="478"/>
      <c r="T1699" s="114" t="s">
        <v>922</v>
      </c>
      <c r="U1699" s="116"/>
      <c r="V1699" s="114" t="s">
        <v>1690</v>
      </c>
      <c r="W1699" s="116"/>
      <c r="X1699" s="488" t="s">
        <v>1583</v>
      </c>
      <c r="Y1699" s="489"/>
      <c r="Z1699" s="490"/>
      <c r="AA1699" s="110" t="s">
        <v>1062</v>
      </c>
      <c r="AB1699" s="111"/>
      <c r="AC1699" s="162" t="s">
        <v>4969</v>
      </c>
      <c r="AD1699" s="163"/>
      <c r="AE1699" s="31" t="s">
        <v>848</v>
      </c>
      <c r="AF1699" s="167"/>
      <c r="AG1699" s="168"/>
      <c r="AH1699" s="169"/>
      <c r="AI1699" s="167"/>
      <c r="AJ1699" s="48"/>
      <c r="AK1699" s="15"/>
      <c r="AL1699" s="15"/>
    </row>
    <row r="1700" spans="1:38" ht="60" x14ac:dyDescent="0.3">
      <c r="A1700" s="179"/>
      <c r="B1700" s="292"/>
      <c r="C1700" s="314"/>
      <c r="D1700" s="293"/>
      <c r="E1700" s="28" t="s">
        <v>4974</v>
      </c>
      <c r="F1700" s="194"/>
      <c r="G1700" s="197"/>
      <c r="H1700" s="195"/>
      <c r="I1700" s="146" t="s">
        <v>4967</v>
      </c>
      <c r="J1700" s="148"/>
      <c r="K1700" s="146" t="s">
        <v>4968</v>
      </c>
      <c r="L1700" s="148"/>
      <c r="M1700" s="110" t="s">
        <v>758</v>
      </c>
      <c r="N1700" s="138"/>
      <c r="O1700" s="111"/>
      <c r="P1700" s="183">
        <v>0</v>
      </c>
      <c r="Q1700" s="185"/>
      <c r="R1700" s="477">
        <v>2</v>
      </c>
      <c r="S1700" s="478"/>
      <c r="T1700" s="114" t="s">
        <v>922</v>
      </c>
      <c r="U1700" s="116"/>
      <c r="V1700" s="114" t="s">
        <v>1690</v>
      </c>
      <c r="W1700" s="116"/>
      <c r="X1700" s="488" t="s">
        <v>1583</v>
      </c>
      <c r="Y1700" s="489"/>
      <c r="Z1700" s="490"/>
      <c r="AA1700" s="110" t="s">
        <v>1062</v>
      </c>
      <c r="AB1700" s="111"/>
      <c r="AC1700" s="162" t="s">
        <v>2211</v>
      </c>
      <c r="AD1700" s="163"/>
      <c r="AE1700" s="31" t="s">
        <v>1356</v>
      </c>
      <c r="AF1700" s="167"/>
      <c r="AG1700" s="168"/>
      <c r="AH1700" s="169"/>
      <c r="AI1700" s="167"/>
      <c r="AJ1700" s="48"/>
      <c r="AK1700" s="15"/>
      <c r="AL1700" s="15"/>
    </row>
    <row r="1701" spans="1:38" ht="60" x14ac:dyDescent="0.3">
      <c r="A1701" s="179"/>
      <c r="B1701" s="292"/>
      <c r="C1701" s="314"/>
      <c r="D1701" s="293"/>
      <c r="E1701" s="28" t="s">
        <v>4975</v>
      </c>
      <c r="F1701" s="192" t="s">
        <v>4976</v>
      </c>
      <c r="G1701" s="196"/>
      <c r="H1701" s="193"/>
      <c r="I1701" s="143" t="s">
        <v>4602</v>
      </c>
      <c r="J1701" s="145"/>
      <c r="K1701" s="143" t="s">
        <v>2496</v>
      </c>
      <c r="L1701" s="145"/>
      <c r="M1701" s="110" t="s">
        <v>1854</v>
      </c>
      <c r="N1701" s="138"/>
      <c r="O1701" s="111"/>
      <c r="P1701" s="180" t="s">
        <v>4977</v>
      </c>
      <c r="Q1701" s="181"/>
      <c r="R1701" s="88" t="s">
        <v>688</v>
      </c>
      <c r="S1701" s="89"/>
      <c r="T1701" s="114" t="s">
        <v>922</v>
      </c>
      <c r="U1701" s="116"/>
      <c r="V1701" s="180" t="s">
        <v>4610</v>
      </c>
      <c r="W1701" s="181"/>
      <c r="X1701" s="175" t="s">
        <v>4765</v>
      </c>
      <c r="Y1701" s="176"/>
      <c r="Z1701" s="177"/>
      <c r="AA1701" s="110" t="s">
        <v>1854</v>
      </c>
      <c r="AB1701" s="111"/>
      <c r="AC1701" s="162" t="s">
        <v>4970</v>
      </c>
      <c r="AD1701" s="163"/>
      <c r="AE1701" s="31" t="s">
        <v>4972</v>
      </c>
      <c r="AF1701" s="167"/>
      <c r="AG1701" s="168"/>
      <c r="AH1701" s="169"/>
      <c r="AI1701" s="167"/>
      <c r="AJ1701" s="48"/>
      <c r="AK1701" s="15"/>
      <c r="AL1701" s="15"/>
    </row>
    <row r="1702" spans="1:38" ht="60" x14ac:dyDescent="0.3">
      <c r="A1702" s="179"/>
      <c r="B1702" s="292"/>
      <c r="C1702" s="314"/>
      <c r="D1702" s="293"/>
      <c r="E1702" s="28" t="s">
        <v>4978</v>
      </c>
      <c r="F1702" s="272"/>
      <c r="G1702" s="282"/>
      <c r="H1702" s="273"/>
      <c r="I1702" s="104" t="s">
        <v>4602</v>
      </c>
      <c r="J1702" s="105"/>
      <c r="K1702" s="104" t="s">
        <v>2496</v>
      </c>
      <c r="L1702" s="105"/>
      <c r="M1702" s="110" t="s">
        <v>1342</v>
      </c>
      <c r="N1702" s="138"/>
      <c r="O1702" s="111"/>
      <c r="P1702" s="180" t="s">
        <v>4977</v>
      </c>
      <c r="Q1702" s="181"/>
      <c r="R1702" s="126" t="s">
        <v>688</v>
      </c>
      <c r="S1702" s="127"/>
      <c r="T1702" s="114" t="s">
        <v>922</v>
      </c>
      <c r="U1702" s="116"/>
      <c r="V1702" s="180" t="s">
        <v>1078</v>
      </c>
      <c r="W1702" s="181"/>
      <c r="X1702" s="175" t="s">
        <v>2092</v>
      </c>
      <c r="Y1702" s="176"/>
      <c r="Z1702" s="177"/>
      <c r="AA1702" s="110" t="s">
        <v>1081</v>
      </c>
      <c r="AB1702" s="111"/>
      <c r="AC1702" s="162"/>
      <c r="AD1702" s="163"/>
      <c r="AE1702" s="31"/>
      <c r="AF1702" s="167"/>
      <c r="AG1702" s="168"/>
      <c r="AH1702" s="169"/>
      <c r="AI1702" s="167"/>
      <c r="AJ1702" s="48"/>
      <c r="AK1702" s="15"/>
      <c r="AL1702" s="15"/>
    </row>
    <row r="1703" spans="1:38" ht="60" x14ac:dyDescent="0.3">
      <c r="A1703" s="179"/>
      <c r="B1703" s="292"/>
      <c r="C1703" s="314"/>
      <c r="D1703" s="293"/>
      <c r="E1703" s="28" t="s">
        <v>4979</v>
      </c>
      <c r="F1703" s="194"/>
      <c r="G1703" s="197"/>
      <c r="H1703" s="195"/>
      <c r="I1703" s="146" t="s">
        <v>4602</v>
      </c>
      <c r="J1703" s="148"/>
      <c r="K1703" s="146" t="s">
        <v>2496</v>
      </c>
      <c r="L1703" s="148"/>
      <c r="M1703" s="110" t="s">
        <v>1342</v>
      </c>
      <c r="N1703" s="138"/>
      <c r="O1703" s="111"/>
      <c r="P1703" s="180" t="s">
        <v>4977</v>
      </c>
      <c r="Q1703" s="181"/>
      <c r="R1703" s="117" t="s">
        <v>688</v>
      </c>
      <c r="S1703" s="118"/>
      <c r="T1703" s="114" t="s">
        <v>922</v>
      </c>
      <c r="U1703" s="116"/>
      <c r="V1703" s="180" t="s">
        <v>1078</v>
      </c>
      <c r="W1703" s="181"/>
      <c r="X1703" s="175" t="s">
        <v>2092</v>
      </c>
      <c r="Y1703" s="176"/>
      <c r="Z1703" s="177"/>
      <c r="AA1703" s="110" t="s">
        <v>1081</v>
      </c>
      <c r="AB1703" s="111"/>
      <c r="AC1703" s="162"/>
      <c r="AD1703" s="163"/>
      <c r="AE1703" s="31"/>
      <c r="AF1703" s="167"/>
      <c r="AG1703" s="168"/>
      <c r="AH1703" s="169"/>
      <c r="AI1703" s="167"/>
      <c r="AJ1703" s="48"/>
      <c r="AK1703" s="15"/>
      <c r="AL1703" s="15"/>
    </row>
    <row r="1704" spans="1:38" ht="60" x14ac:dyDescent="0.3">
      <c r="A1704" s="179"/>
      <c r="B1704" s="292"/>
      <c r="C1704" s="314"/>
      <c r="D1704" s="293"/>
      <c r="E1704" s="28" t="s">
        <v>4980</v>
      </c>
      <c r="F1704" s="192" t="s">
        <v>4981</v>
      </c>
      <c r="G1704" s="196"/>
      <c r="H1704" s="193"/>
      <c r="I1704" s="143" t="s">
        <v>4953</v>
      </c>
      <c r="J1704" s="145"/>
      <c r="K1704" s="143" t="s">
        <v>4982</v>
      </c>
      <c r="L1704" s="145"/>
      <c r="M1704" s="110" t="s">
        <v>901</v>
      </c>
      <c r="N1704" s="138"/>
      <c r="O1704" s="111"/>
      <c r="P1704" s="180" t="s">
        <v>4983</v>
      </c>
      <c r="Q1704" s="181"/>
      <c r="R1704" s="88" t="s">
        <v>1342</v>
      </c>
      <c r="S1704" s="89"/>
      <c r="T1704" s="114" t="s">
        <v>922</v>
      </c>
      <c r="U1704" s="116"/>
      <c r="V1704" s="180" t="s">
        <v>2092</v>
      </c>
      <c r="W1704" s="181"/>
      <c r="X1704" s="175" t="s">
        <v>1477</v>
      </c>
      <c r="Y1704" s="176"/>
      <c r="Z1704" s="177"/>
      <c r="AA1704" s="110" t="s">
        <v>1338</v>
      </c>
      <c r="AB1704" s="111"/>
      <c r="AC1704" s="162"/>
      <c r="AD1704" s="163"/>
      <c r="AE1704" s="31"/>
      <c r="AF1704" s="167"/>
      <c r="AG1704" s="168"/>
      <c r="AH1704" s="169"/>
      <c r="AI1704" s="167"/>
      <c r="AJ1704" s="48"/>
      <c r="AK1704" s="15"/>
      <c r="AL1704" s="15"/>
    </row>
    <row r="1705" spans="1:38" ht="60" x14ac:dyDescent="0.3">
      <c r="A1705" s="179"/>
      <c r="B1705" s="292"/>
      <c r="C1705" s="314"/>
      <c r="D1705" s="293"/>
      <c r="E1705" s="28" t="s">
        <v>4984</v>
      </c>
      <c r="F1705" s="272"/>
      <c r="G1705" s="282"/>
      <c r="H1705" s="273"/>
      <c r="I1705" s="104" t="s">
        <v>4953</v>
      </c>
      <c r="J1705" s="105"/>
      <c r="K1705" s="104" t="s">
        <v>4982</v>
      </c>
      <c r="L1705" s="105"/>
      <c r="M1705" s="110" t="s">
        <v>1739</v>
      </c>
      <c r="N1705" s="138"/>
      <c r="O1705" s="111"/>
      <c r="P1705" s="180" t="s">
        <v>4983</v>
      </c>
      <c r="Q1705" s="181"/>
      <c r="R1705" s="126" t="s">
        <v>1342</v>
      </c>
      <c r="S1705" s="127"/>
      <c r="T1705" s="114" t="s">
        <v>922</v>
      </c>
      <c r="U1705" s="116"/>
      <c r="V1705" s="180" t="s">
        <v>1303</v>
      </c>
      <c r="W1705" s="181"/>
      <c r="X1705" s="175" t="s">
        <v>4124</v>
      </c>
      <c r="Y1705" s="176"/>
      <c r="Z1705" s="177"/>
      <c r="AA1705" s="110" t="s">
        <v>1159</v>
      </c>
      <c r="AB1705" s="111"/>
      <c r="AC1705" s="162"/>
      <c r="AD1705" s="163"/>
      <c r="AE1705" s="31"/>
      <c r="AF1705" s="167"/>
      <c r="AG1705" s="168"/>
      <c r="AH1705" s="169"/>
      <c r="AI1705" s="167"/>
      <c r="AJ1705" s="48"/>
      <c r="AK1705" s="15"/>
      <c r="AL1705" s="15"/>
    </row>
    <row r="1706" spans="1:38" ht="60" x14ac:dyDescent="0.3">
      <c r="A1706" s="230"/>
      <c r="B1706" s="290"/>
      <c r="C1706" s="345"/>
      <c r="D1706" s="291"/>
      <c r="E1706" s="28" t="s">
        <v>4985</v>
      </c>
      <c r="F1706" s="194"/>
      <c r="G1706" s="197"/>
      <c r="H1706" s="195"/>
      <c r="I1706" s="146" t="s">
        <v>4953</v>
      </c>
      <c r="J1706" s="148"/>
      <c r="K1706" s="146" t="s">
        <v>4982</v>
      </c>
      <c r="L1706" s="148"/>
      <c r="M1706" s="110" t="s">
        <v>1739</v>
      </c>
      <c r="N1706" s="138"/>
      <c r="O1706" s="111"/>
      <c r="P1706" s="180" t="s">
        <v>4983</v>
      </c>
      <c r="Q1706" s="181"/>
      <c r="R1706" s="117" t="s">
        <v>1342</v>
      </c>
      <c r="S1706" s="118"/>
      <c r="T1706" s="114" t="s">
        <v>922</v>
      </c>
      <c r="U1706" s="116"/>
      <c r="V1706" s="180" t="s">
        <v>1303</v>
      </c>
      <c r="W1706" s="181"/>
      <c r="X1706" s="175" t="s">
        <v>4124</v>
      </c>
      <c r="Y1706" s="176"/>
      <c r="Z1706" s="177"/>
      <c r="AA1706" s="110" t="s">
        <v>1159</v>
      </c>
      <c r="AB1706" s="111"/>
      <c r="AC1706" s="212"/>
      <c r="AD1706" s="213"/>
      <c r="AE1706" s="31"/>
      <c r="AF1706" s="214"/>
      <c r="AG1706" s="215"/>
      <c r="AH1706" s="216"/>
      <c r="AI1706" s="167"/>
      <c r="AJ1706" s="48"/>
      <c r="AK1706" s="15"/>
      <c r="AL1706" s="15"/>
    </row>
    <row r="1707" spans="1:38" ht="90" x14ac:dyDescent="0.3">
      <c r="A1707" s="178"/>
      <c r="B1707" s="303" t="s">
        <v>4986</v>
      </c>
      <c r="C1707" s="344"/>
      <c r="D1707" s="304"/>
      <c r="E1707" s="28" t="s">
        <v>4987</v>
      </c>
      <c r="F1707" s="233" t="s">
        <v>4988</v>
      </c>
      <c r="G1707" s="305"/>
      <c r="H1707" s="234"/>
      <c r="I1707" s="143" t="s">
        <v>4862</v>
      </c>
      <c r="J1707" s="145"/>
      <c r="K1707" s="143" t="s">
        <v>4989</v>
      </c>
      <c r="L1707" s="145"/>
      <c r="M1707" s="183">
        <v>60</v>
      </c>
      <c r="N1707" s="184"/>
      <c r="O1707" s="185"/>
      <c r="P1707" s="183">
        <v>8</v>
      </c>
      <c r="Q1707" s="185"/>
      <c r="R1707" s="88" t="s">
        <v>977</v>
      </c>
      <c r="S1707" s="89"/>
      <c r="T1707" s="183">
        <v>9</v>
      </c>
      <c r="U1707" s="185"/>
      <c r="V1707" s="180" t="s">
        <v>4990</v>
      </c>
      <c r="W1707" s="181"/>
      <c r="X1707" s="252">
        <v>99</v>
      </c>
      <c r="Y1707" s="253"/>
      <c r="Z1707" s="254"/>
      <c r="AA1707" s="192" t="s">
        <v>4991</v>
      </c>
      <c r="AB1707" s="193"/>
      <c r="AC1707" s="171" t="s">
        <v>3194</v>
      </c>
      <c r="AD1707" s="172"/>
      <c r="AE1707" s="24" t="s">
        <v>4994</v>
      </c>
      <c r="AF1707" s="164"/>
      <c r="AG1707" s="165"/>
      <c r="AH1707" s="166"/>
      <c r="AI1707" s="167"/>
      <c r="AJ1707" s="48"/>
      <c r="AK1707" s="15"/>
      <c r="AL1707" s="15"/>
    </row>
    <row r="1708" spans="1:38" ht="90" x14ac:dyDescent="0.3">
      <c r="A1708" s="179"/>
      <c r="B1708" s="292"/>
      <c r="C1708" s="314"/>
      <c r="D1708" s="293"/>
      <c r="E1708" s="19" t="s">
        <v>4996</v>
      </c>
      <c r="F1708" s="235"/>
      <c r="G1708" s="270"/>
      <c r="H1708" s="236"/>
      <c r="I1708" s="104" t="s">
        <v>4862</v>
      </c>
      <c r="J1708" s="105"/>
      <c r="K1708" s="104" t="s">
        <v>4989</v>
      </c>
      <c r="L1708" s="105"/>
      <c r="M1708" s="349">
        <v>60</v>
      </c>
      <c r="N1708" s="423"/>
      <c r="O1708" s="350"/>
      <c r="P1708" s="349">
        <v>8</v>
      </c>
      <c r="Q1708" s="350"/>
      <c r="R1708" s="126" t="s">
        <v>977</v>
      </c>
      <c r="S1708" s="127"/>
      <c r="T1708" s="349">
        <v>9</v>
      </c>
      <c r="U1708" s="350"/>
      <c r="V1708" s="353" t="s">
        <v>4990</v>
      </c>
      <c r="W1708" s="355"/>
      <c r="X1708" s="311"/>
      <c r="Y1708" s="312"/>
      <c r="Z1708" s="313"/>
      <c r="AA1708" s="272"/>
      <c r="AB1708" s="273"/>
      <c r="AC1708" s="162" t="s">
        <v>4992</v>
      </c>
      <c r="AD1708" s="163"/>
      <c r="AE1708" s="31" t="s">
        <v>1356</v>
      </c>
      <c r="AF1708" s="167"/>
      <c r="AG1708" s="168"/>
      <c r="AH1708" s="169"/>
      <c r="AI1708" s="167"/>
      <c r="AJ1708" s="48"/>
      <c r="AK1708" s="15"/>
      <c r="AL1708" s="15"/>
    </row>
    <row r="1709" spans="1:38" ht="90" x14ac:dyDescent="0.3">
      <c r="A1709" s="179"/>
      <c r="B1709" s="292"/>
      <c r="C1709" s="314"/>
      <c r="D1709" s="293"/>
      <c r="E1709" s="28" t="s">
        <v>4997</v>
      </c>
      <c r="F1709" s="235"/>
      <c r="G1709" s="270"/>
      <c r="H1709" s="236"/>
      <c r="I1709" s="104" t="s">
        <v>4862</v>
      </c>
      <c r="J1709" s="105"/>
      <c r="K1709" s="104" t="s">
        <v>4989</v>
      </c>
      <c r="L1709" s="105"/>
      <c r="M1709" s="183">
        <v>60</v>
      </c>
      <c r="N1709" s="184"/>
      <c r="O1709" s="185"/>
      <c r="P1709" s="183">
        <v>8</v>
      </c>
      <c r="Q1709" s="185"/>
      <c r="R1709" s="126" t="s">
        <v>977</v>
      </c>
      <c r="S1709" s="127"/>
      <c r="T1709" s="183">
        <v>9</v>
      </c>
      <c r="U1709" s="185"/>
      <c r="V1709" s="180" t="s">
        <v>4990</v>
      </c>
      <c r="W1709" s="181"/>
      <c r="X1709" s="255"/>
      <c r="Y1709" s="256"/>
      <c r="Z1709" s="257"/>
      <c r="AA1709" s="194"/>
      <c r="AB1709" s="195"/>
      <c r="AC1709" s="162" t="s">
        <v>2211</v>
      </c>
      <c r="AD1709" s="163"/>
      <c r="AE1709" s="31" t="s">
        <v>4995</v>
      </c>
      <c r="AF1709" s="167"/>
      <c r="AG1709" s="168"/>
      <c r="AH1709" s="169"/>
      <c r="AI1709" s="167"/>
      <c r="AJ1709" s="48"/>
      <c r="AK1709" s="15"/>
      <c r="AL1709" s="15"/>
    </row>
    <row r="1710" spans="1:38" ht="90" x14ac:dyDescent="0.3">
      <c r="A1710" s="179"/>
      <c r="B1710" s="292"/>
      <c r="C1710" s="314"/>
      <c r="D1710" s="293"/>
      <c r="E1710" s="28" t="s">
        <v>4998</v>
      </c>
      <c r="F1710" s="235"/>
      <c r="G1710" s="270"/>
      <c r="H1710" s="236"/>
      <c r="I1710" s="104" t="s">
        <v>4862</v>
      </c>
      <c r="J1710" s="105"/>
      <c r="K1710" s="104" t="s">
        <v>4989</v>
      </c>
      <c r="L1710" s="105"/>
      <c r="M1710" s="183">
        <v>65</v>
      </c>
      <c r="N1710" s="184"/>
      <c r="O1710" s="185"/>
      <c r="P1710" s="183">
        <v>8</v>
      </c>
      <c r="Q1710" s="185"/>
      <c r="R1710" s="126" t="s">
        <v>977</v>
      </c>
      <c r="S1710" s="127"/>
      <c r="T1710" s="183">
        <v>9</v>
      </c>
      <c r="U1710" s="185"/>
      <c r="V1710" s="180" t="s">
        <v>2397</v>
      </c>
      <c r="W1710" s="181"/>
      <c r="X1710" s="252">
        <v>105</v>
      </c>
      <c r="Y1710" s="253"/>
      <c r="Z1710" s="254"/>
      <c r="AA1710" s="192" t="s">
        <v>1206</v>
      </c>
      <c r="AB1710" s="193"/>
      <c r="AC1710" s="162" t="s">
        <v>4993</v>
      </c>
      <c r="AD1710" s="163"/>
      <c r="AE1710" s="31"/>
      <c r="AF1710" s="167"/>
      <c r="AG1710" s="168"/>
      <c r="AH1710" s="169"/>
      <c r="AI1710" s="167"/>
      <c r="AJ1710" s="48"/>
      <c r="AK1710" s="15"/>
      <c r="AL1710" s="15"/>
    </row>
    <row r="1711" spans="1:38" ht="90" x14ac:dyDescent="0.3">
      <c r="A1711" s="179"/>
      <c r="B1711" s="292"/>
      <c r="C1711" s="314"/>
      <c r="D1711" s="293"/>
      <c r="E1711" s="19" t="s">
        <v>4999</v>
      </c>
      <c r="F1711" s="235"/>
      <c r="G1711" s="270"/>
      <c r="H1711" s="236"/>
      <c r="I1711" s="104" t="s">
        <v>4862</v>
      </c>
      <c r="J1711" s="105"/>
      <c r="K1711" s="104" t="s">
        <v>4989</v>
      </c>
      <c r="L1711" s="105"/>
      <c r="M1711" s="349">
        <v>65</v>
      </c>
      <c r="N1711" s="423"/>
      <c r="O1711" s="350"/>
      <c r="P1711" s="349">
        <v>8</v>
      </c>
      <c r="Q1711" s="350"/>
      <c r="R1711" s="126" t="s">
        <v>977</v>
      </c>
      <c r="S1711" s="127"/>
      <c r="T1711" s="349">
        <v>9</v>
      </c>
      <c r="U1711" s="350"/>
      <c r="V1711" s="353" t="s">
        <v>2397</v>
      </c>
      <c r="W1711" s="355"/>
      <c r="X1711" s="311"/>
      <c r="Y1711" s="312"/>
      <c r="Z1711" s="313"/>
      <c r="AA1711" s="272"/>
      <c r="AB1711" s="273"/>
      <c r="AC1711" s="162"/>
      <c r="AD1711" s="163"/>
      <c r="AE1711" s="31"/>
      <c r="AF1711" s="167"/>
      <c r="AG1711" s="168"/>
      <c r="AH1711" s="169"/>
      <c r="AI1711" s="167"/>
      <c r="AJ1711" s="48"/>
      <c r="AK1711" s="15"/>
      <c r="AL1711" s="15"/>
    </row>
    <row r="1712" spans="1:38" ht="90" x14ac:dyDescent="0.3">
      <c r="A1712" s="230"/>
      <c r="B1712" s="290"/>
      <c r="C1712" s="345"/>
      <c r="D1712" s="291"/>
      <c r="E1712" s="28" t="s">
        <v>5000</v>
      </c>
      <c r="F1712" s="237"/>
      <c r="G1712" s="306"/>
      <c r="H1712" s="238"/>
      <c r="I1712" s="146" t="s">
        <v>4862</v>
      </c>
      <c r="J1712" s="148"/>
      <c r="K1712" s="146" t="s">
        <v>4989</v>
      </c>
      <c r="L1712" s="148"/>
      <c r="M1712" s="183">
        <v>65</v>
      </c>
      <c r="N1712" s="184"/>
      <c r="O1712" s="185"/>
      <c r="P1712" s="183">
        <v>8</v>
      </c>
      <c r="Q1712" s="185"/>
      <c r="R1712" s="117" t="s">
        <v>977</v>
      </c>
      <c r="S1712" s="118"/>
      <c r="T1712" s="183">
        <v>9</v>
      </c>
      <c r="U1712" s="185"/>
      <c r="V1712" s="180" t="s">
        <v>2397</v>
      </c>
      <c r="W1712" s="181"/>
      <c r="X1712" s="255"/>
      <c r="Y1712" s="256"/>
      <c r="Z1712" s="257"/>
      <c r="AA1712" s="194"/>
      <c r="AB1712" s="195"/>
      <c r="AC1712" s="212"/>
      <c r="AD1712" s="213"/>
      <c r="AE1712" s="31"/>
      <c r="AF1712" s="214"/>
      <c r="AG1712" s="215"/>
      <c r="AH1712" s="216"/>
      <c r="AI1712" s="167"/>
      <c r="AJ1712" s="48"/>
      <c r="AK1712" s="15"/>
      <c r="AL1712" s="15"/>
    </row>
    <row r="1713" spans="1:38" ht="105" x14ac:dyDescent="0.3">
      <c r="A1713" s="178"/>
      <c r="B1713" s="192" t="s">
        <v>5001</v>
      </c>
      <c r="C1713" s="196"/>
      <c r="D1713" s="193"/>
      <c r="E1713" s="28" t="s">
        <v>5002</v>
      </c>
      <c r="F1713" s="143" t="s">
        <v>5003</v>
      </c>
      <c r="G1713" s="144"/>
      <c r="H1713" s="145"/>
      <c r="I1713" s="143" t="s">
        <v>3827</v>
      </c>
      <c r="J1713" s="145"/>
      <c r="K1713" s="143" t="s">
        <v>5004</v>
      </c>
      <c r="L1713" s="145"/>
      <c r="M1713" s="183">
        <v>7</v>
      </c>
      <c r="N1713" s="184"/>
      <c r="O1713" s="185"/>
      <c r="P1713" s="112">
        <v>0</v>
      </c>
      <c r="Q1713" s="113"/>
      <c r="R1713" s="88" t="s">
        <v>758</v>
      </c>
      <c r="S1713" s="89"/>
      <c r="T1713" s="112">
        <v>1</v>
      </c>
      <c r="U1713" s="113"/>
      <c r="V1713" s="173" t="s">
        <v>2092</v>
      </c>
      <c r="W1713" s="174"/>
      <c r="X1713" s="175" t="s">
        <v>4765</v>
      </c>
      <c r="Y1713" s="176"/>
      <c r="Z1713" s="177"/>
      <c r="AA1713" s="110" t="s">
        <v>4765</v>
      </c>
      <c r="AB1713" s="111"/>
      <c r="AC1713" s="171" t="s">
        <v>3194</v>
      </c>
      <c r="AD1713" s="172"/>
      <c r="AE1713" s="16" t="s">
        <v>5007</v>
      </c>
      <c r="AF1713" s="164"/>
      <c r="AG1713" s="165"/>
      <c r="AH1713" s="166"/>
      <c r="AI1713" s="167"/>
      <c r="AJ1713" s="48"/>
      <c r="AK1713" s="15"/>
      <c r="AL1713" s="15"/>
    </row>
    <row r="1714" spans="1:38" ht="75" x14ac:dyDescent="0.3">
      <c r="A1714" s="179"/>
      <c r="B1714" s="272"/>
      <c r="C1714" s="282"/>
      <c r="D1714" s="273"/>
      <c r="E1714" s="28" t="s">
        <v>5009</v>
      </c>
      <c r="F1714" s="104"/>
      <c r="G1714" s="202"/>
      <c r="H1714" s="105"/>
      <c r="I1714" s="104" t="s">
        <v>3827</v>
      </c>
      <c r="J1714" s="105"/>
      <c r="K1714" s="104" t="s">
        <v>5004</v>
      </c>
      <c r="L1714" s="105"/>
      <c r="M1714" s="183">
        <v>7</v>
      </c>
      <c r="N1714" s="184"/>
      <c r="O1714" s="185"/>
      <c r="P1714" s="155">
        <v>0</v>
      </c>
      <c r="Q1714" s="157"/>
      <c r="R1714" s="126" t="s">
        <v>758</v>
      </c>
      <c r="S1714" s="127"/>
      <c r="T1714" s="155">
        <v>1</v>
      </c>
      <c r="U1714" s="157"/>
      <c r="V1714" s="180" t="s">
        <v>2092</v>
      </c>
      <c r="W1714" s="181"/>
      <c r="X1714" s="175" t="s">
        <v>4765</v>
      </c>
      <c r="Y1714" s="176"/>
      <c r="Z1714" s="177"/>
      <c r="AA1714" s="110" t="s">
        <v>4765</v>
      </c>
      <c r="AB1714" s="111"/>
      <c r="AC1714" s="162" t="s">
        <v>5005</v>
      </c>
      <c r="AD1714" s="163"/>
      <c r="AE1714" s="43" t="s">
        <v>5008</v>
      </c>
      <c r="AF1714" s="167"/>
      <c r="AG1714" s="168"/>
      <c r="AH1714" s="169"/>
      <c r="AI1714" s="167"/>
      <c r="AJ1714" s="48"/>
      <c r="AK1714" s="15"/>
      <c r="AL1714" s="15"/>
    </row>
    <row r="1715" spans="1:38" ht="75" x14ac:dyDescent="0.3">
      <c r="A1715" s="179"/>
      <c r="B1715" s="272"/>
      <c r="C1715" s="282"/>
      <c r="D1715" s="273"/>
      <c r="E1715" s="28" t="s">
        <v>5010</v>
      </c>
      <c r="F1715" s="146"/>
      <c r="G1715" s="147"/>
      <c r="H1715" s="148"/>
      <c r="I1715" s="146" t="s">
        <v>3827</v>
      </c>
      <c r="J1715" s="148"/>
      <c r="K1715" s="146" t="s">
        <v>5004</v>
      </c>
      <c r="L1715" s="148"/>
      <c r="M1715" s="183">
        <v>7</v>
      </c>
      <c r="N1715" s="184"/>
      <c r="O1715" s="185"/>
      <c r="P1715" s="160">
        <v>0</v>
      </c>
      <c r="Q1715" s="161"/>
      <c r="R1715" s="117" t="s">
        <v>758</v>
      </c>
      <c r="S1715" s="118"/>
      <c r="T1715" s="160">
        <v>1</v>
      </c>
      <c r="U1715" s="161"/>
      <c r="V1715" s="180" t="s">
        <v>2092</v>
      </c>
      <c r="W1715" s="181"/>
      <c r="X1715" s="175" t="s">
        <v>4124</v>
      </c>
      <c r="Y1715" s="176"/>
      <c r="Z1715" s="177"/>
      <c r="AA1715" s="110" t="s">
        <v>975</v>
      </c>
      <c r="AB1715" s="111"/>
      <c r="AC1715" s="162" t="s">
        <v>5006</v>
      </c>
      <c r="AD1715" s="163"/>
      <c r="AE1715" s="43"/>
      <c r="AF1715" s="167"/>
      <c r="AG1715" s="168"/>
      <c r="AH1715" s="169"/>
      <c r="AI1715" s="167"/>
      <c r="AJ1715" s="48"/>
      <c r="AK1715" s="15"/>
      <c r="AL1715" s="15"/>
    </row>
    <row r="1716" spans="1:38" ht="75" x14ac:dyDescent="0.3">
      <c r="A1716" s="179"/>
      <c r="B1716" s="272"/>
      <c r="C1716" s="282"/>
      <c r="D1716" s="273"/>
      <c r="E1716" s="28" t="s">
        <v>5011</v>
      </c>
      <c r="F1716" s="143" t="s">
        <v>5012</v>
      </c>
      <c r="G1716" s="144"/>
      <c r="H1716" s="145"/>
      <c r="I1716" s="143" t="s">
        <v>4639</v>
      </c>
      <c r="J1716" s="145"/>
      <c r="K1716" s="143" t="s">
        <v>5013</v>
      </c>
      <c r="L1716" s="145"/>
      <c r="M1716" s="183">
        <v>14</v>
      </c>
      <c r="N1716" s="184"/>
      <c r="O1716" s="185"/>
      <c r="P1716" s="112">
        <v>0</v>
      </c>
      <c r="Q1716" s="113"/>
      <c r="R1716" s="112">
        <v>4</v>
      </c>
      <c r="S1716" s="113"/>
      <c r="T1716" s="112">
        <v>1</v>
      </c>
      <c r="U1716" s="113"/>
      <c r="V1716" s="114" t="s">
        <v>4777</v>
      </c>
      <c r="W1716" s="116"/>
      <c r="X1716" s="175" t="s">
        <v>1418</v>
      </c>
      <c r="Y1716" s="176"/>
      <c r="Z1716" s="177"/>
      <c r="AA1716" s="110" t="s">
        <v>4778</v>
      </c>
      <c r="AB1716" s="111"/>
      <c r="AC1716" s="162"/>
      <c r="AD1716" s="163"/>
      <c r="AE1716" s="43"/>
      <c r="AF1716" s="167"/>
      <c r="AG1716" s="168"/>
      <c r="AH1716" s="169"/>
      <c r="AI1716" s="167"/>
      <c r="AJ1716" s="48"/>
      <c r="AK1716" s="15"/>
      <c r="AL1716" s="15"/>
    </row>
    <row r="1717" spans="1:38" ht="75" x14ac:dyDescent="0.3">
      <c r="A1717" s="179"/>
      <c r="B1717" s="272"/>
      <c r="C1717" s="282"/>
      <c r="D1717" s="273"/>
      <c r="E1717" s="28" t="s">
        <v>5014</v>
      </c>
      <c r="F1717" s="104"/>
      <c r="G1717" s="202"/>
      <c r="H1717" s="105"/>
      <c r="I1717" s="104" t="s">
        <v>4639</v>
      </c>
      <c r="J1717" s="105"/>
      <c r="K1717" s="104" t="s">
        <v>5013</v>
      </c>
      <c r="L1717" s="105"/>
      <c r="M1717" s="183">
        <v>14</v>
      </c>
      <c r="N1717" s="184"/>
      <c r="O1717" s="185"/>
      <c r="P1717" s="155">
        <v>0</v>
      </c>
      <c r="Q1717" s="157"/>
      <c r="R1717" s="155">
        <v>4</v>
      </c>
      <c r="S1717" s="157"/>
      <c r="T1717" s="155">
        <v>1</v>
      </c>
      <c r="U1717" s="157"/>
      <c r="V1717" s="180" t="s">
        <v>4777</v>
      </c>
      <c r="W1717" s="181"/>
      <c r="X1717" s="175" t="s">
        <v>1418</v>
      </c>
      <c r="Y1717" s="176"/>
      <c r="Z1717" s="177"/>
      <c r="AA1717" s="110" t="s">
        <v>4778</v>
      </c>
      <c r="AB1717" s="111"/>
      <c r="AC1717" s="162"/>
      <c r="AD1717" s="163"/>
      <c r="AE1717" s="43"/>
      <c r="AF1717" s="167"/>
      <c r="AG1717" s="168"/>
      <c r="AH1717" s="169"/>
      <c r="AI1717" s="167"/>
      <c r="AJ1717" s="48"/>
      <c r="AK1717" s="15"/>
      <c r="AL1717" s="15"/>
    </row>
    <row r="1718" spans="1:38" ht="75" x14ac:dyDescent="0.3">
      <c r="A1718" s="179"/>
      <c r="B1718" s="272"/>
      <c r="C1718" s="282"/>
      <c r="D1718" s="273"/>
      <c r="E1718" s="28" t="s">
        <v>5015</v>
      </c>
      <c r="F1718" s="146"/>
      <c r="G1718" s="147"/>
      <c r="H1718" s="148"/>
      <c r="I1718" s="146" t="s">
        <v>4639</v>
      </c>
      <c r="J1718" s="148"/>
      <c r="K1718" s="146" t="s">
        <v>5013</v>
      </c>
      <c r="L1718" s="148"/>
      <c r="M1718" s="183">
        <v>14</v>
      </c>
      <c r="N1718" s="184"/>
      <c r="O1718" s="185"/>
      <c r="P1718" s="160">
        <v>0</v>
      </c>
      <c r="Q1718" s="161"/>
      <c r="R1718" s="160">
        <v>4</v>
      </c>
      <c r="S1718" s="161"/>
      <c r="T1718" s="160">
        <v>1</v>
      </c>
      <c r="U1718" s="161"/>
      <c r="V1718" s="180" t="s">
        <v>4777</v>
      </c>
      <c r="W1718" s="181"/>
      <c r="X1718" s="175" t="s">
        <v>5016</v>
      </c>
      <c r="Y1718" s="176"/>
      <c r="Z1718" s="177"/>
      <c r="AA1718" s="110" t="s">
        <v>1364</v>
      </c>
      <c r="AB1718" s="111"/>
      <c r="AC1718" s="162"/>
      <c r="AD1718" s="163"/>
      <c r="AE1718" s="43"/>
      <c r="AF1718" s="167"/>
      <c r="AG1718" s="168"/>
      <c r="AH1718" s="169"/>
      <c r="AI1718" s="167"/>
      <c r="AJ1718" s="48"/>
      <c r="AK1718" s="15"/>
      <c r="AL1718" s="15"/>
    </row>
    <row r="1719" spans="1:38" ht="75" x14ac:dyDescent="0.3">
      <c r="A1719" s="179"/>
      <c r="B1719" s="272"/>
      <c r="C1719" s="282"/>
      <c r="D1719" s="273"/>
      <c r="E1719" s="28" t="s">
        <v>5017</v>
      </c>
      <c r="F1719" s="143" t="s">
        <v>5003</v>
      </c>
      <c r="G1719" s="144"/>
      <c r="H1719" s="145"/>
      <c r="I1719" s="143" t="s">
        <v>3827</v>
      </c>
      <c r="J1719" s="145"/>
      <c r="K1719" s="143" t="s">
        <v>5004</v>
      </c>
      <c r="L1719" s="145"/>
      <c r="M1719" s="183">
        <v>7</v>
      </c>
      <c r="N1719" s="184"/>
      <c r="O1719" s="185"/>
      <c r="P1719" s="112">
        <v>0</v>
      </c>
      <c r="Q1719" s="113"/>
      <c r="R1719" s="88" t="s">
        <v>758</v>
      </c>
      <c r="S1719" s="89"/>
      <c r="T1719" s="112">
        <v>1</v>
      </c>
      <c r="U1719" s="113"/>
      <c r="V1719" s="173" t="s">
        <v>2092</v>
      </c>
      <c r="W1719" s="174"/>
      <c r="X1719" s="175" t="s">
        <v>4765</v>
      </c>
      <c r="Y1719" s="176"/>
      <c r="Z1719" s="177"/>
      <c r="AA1719" s="110" t="s">
        <v>4765</v>
      </c>
      <c r="AB1719" s="111"/>
      <c r="AC1719" s="162"/>
      <c r="AD1719" s="163"/>
      <c r="AE1719" s="43"/>
      <c r="AF1719" s="167"/>
      <c r="AG1719" s="168"/>
      <c r="AH1719" s="169"/>
      <c r="AI1719" s="167"/>
      <c r="AJ1719" s="48"/>
      <c r="AK1719" s="15"/>
      <c r="AL1719" s="15"/>
    </row>
    <row r="1720" spans="1:38" ht="75" x14ac:dyDescent="0.3">
      <c r="A1720" s="179"/>
      <c r="B1720" s="272"/>
      <c r="C1720" s="282"/>
      <c r="D1720" s="273"/>
      <c r="E1720" s="28" t="s">
        <v>5018</v>
      </c>
      <c r="F1720" s="104"/>
      <c r="G1720" s="202"/>
      <c r="H1720" s="105"/>
      <c r="I1720" s="104" t="s">
        <v>3827</v>
      </c>
      <c r="J1720" s="105"/>
      <c r="K1720" s="104" t="s">
        <v>5004</v>
      </c>
      <c r="L1720" s="105"/>
      <c r="M1720" s="183">
        <v>7</v>
      </c>
      <c r="N1720" s="184"/>
      <c r="O1720" s="185"/>
      <c r="P1720" s="155">
        <v>0</v>
      </c>
      <c r="Q1720" s="157"/>
      <c r="R1720" s="126" t="s">
        <v>758</v>
      </c>
      <c r="S1720" s="127"/>
      <c r="T1720" s="155">
        <v>1</v>
      </c>
      <c r="U1720" s="157"/>
      <c r="V1720" s="180" t="s">
        <v>2092</v>
      </c>
      <c r="W1720" s="181"/>
      <c r="X1720" s="175" t="s">
        <v>4765</v>
      </c>
      <c r="Y1720" s="176"/>
      <c r="Z1720" s="177"/>
      <c r="AA1720" s="110" t="s">
        <v>4765</v>
      </c>
      <c r="AB1720" s="111"/>
      <c r="AC1720" s="162"/>
      <c r="AD1720" s="163"/>
      <c r="AE1720" s="43"/>
      <c r="AF1720" s="167"/>
      <c r="AG1720" s="168"/>
      <c r="AH1720" s="169"/>
      <c r="AI1720" s="167"/>
      <c r="AJ1720" s="48"/>
      <c r="AK1720" s="15"/>
      <c r="AL1720" s="15"/>
    </row>
    <row r="1721" spans="1:38" ht="75" x14ac:dyDescent="0.3">
      <c r="A1721" s="179"/>
      <c r="B1721" s="272"/>
      <c r="C1721" s="282"/>
      <c r="D1721" s="273"/>
      <c r="E1721" s="28" t="s">
        <v>5019</v>
      </c>
      <c r="F1721" s="146"/>
      <c r="G1721" s="147"/>
      <c r="H1721" s="148"/>
      <c r="I1721" s="146" t="s">
        <v>3827</v>
      </c>
      <c r="J1721" s="148"/>
      <c r="K1721" s="146" t="s">
        <v>5004</v>
      </c>
      <c r="L1721" s="148"/>
      <c r="M1721" s="183">
        <v>7</v>
      </c>
      <c r="N1721" s="184"/>
      <c r="O1721" s="185"/>
      <c r="P1721" s="160">
        <v>0</v>
      </c>
      <c r="Q1721" s="161"/>
      <c r="R1721" s="117" t="s">
        <v>758</v>
      </c>
      <c r="S1721" s="118"/>
      <c r="T1721" s="160">
        <v>1</v>
      </c>
      <c r="U1721" s="161"/>
      <c r="V1721" s="180" t="s">
        <v>2092</v>
      </c>
      <c r="W1721" s="181"/>
      <c r="X1721" s="175" t="s">
        <v>4124</v>
      </c>
      <c r="Y1721" s="176"/>
      <c r="Z1721" s="177"/>
      <c r="AA1721" s="110" t="s">
        <v>975</v>
      </c>
      <c r="AB1721" s="111"/>
      <c r="AC1721" s="162"/>
      <c r="AD1721" s="163"/>
      <c r="AE1721" s="43"/>
      <c r="AF1721" s="167"/>
      <c r="AG1721" s="168"/>
      <c r="AH1721" s="169"/>
      <c r="AI1721" s="167"/>
      <c r="AJ1721" s="48"/>
      <c r="AK1721" s="15"/>
      <c r="AL1721" s="15"/>
    </row>
    <row r="1722" spans="1:38" ht="75" x14ac:dyDescent="0.3">
      <c r="A1722" s="179"/>
      <c r="B1722" s="272"/>
      <c r="C1722" s="282"/>
      <c r="D1722" s="273"/>
      <c r="E1722" s="28" t="s">
        <v>5020</v>
      </c>
      <c r="F1722" s="143" t="s">
        <v>5021</v>
      </c>
      <c r="G1722" s="144"/>
      <c r="H1722" s="145"/>
      <c r="I1722" s="143" t="s">
        <v>4639</v>
      </c>
      <c r="J1722" s="145"/>
      <c r="K1722" s="143" t="s">
        <v>5013</v>
      </c>
      <c r="L1722" s="145"/>
      <c r="M1722" s="183">
        <v>14</v>
      </c>
      <c r="N1722" s="184"/>
      <c r="O1722" s="185"/>
      <c r="P1722" s="112">
        <v>0</v>
      </c>
      <c r="Q1722" s="113"/>
      <c r="R1722" s="112">
        <v>4</v>
      </c>
      <c r="S1722" s="113"/>
      <c r="T1722" s="112">
        <v>1</v>
      </c>
      <c r="U1722" s="113"/>
      <c r="V1722" s="114" t="s">
        <v>4777</v>
      </c>
      <c r="W1722" s="116"/>
      <c r="X1722" s="175" t="s">
        <v>1418</v>
      </c>
      <c r="Y1722" s="176"/>
      <c r="Z1722" s="177"/>
      <c r="AA1722" s="110" t="s">
        <v>4778</v>
      </c>
      <c r="AB1722" s="111"/>
      <c r="AC1722" s="162"/>
      <c r="AD1722" s="163"/>
      <c r="AE1722" s="43"/>
      <c r="AF1722" s="167"/>
      <c r="AG1722" s="168"/>
      <c r="AH1722" s="169"/>
      <c r="AI1722" s="167"/>
      <c r="AJ1722" s="48"/>
      <c r="AK1722" s="15"/>
      <c r="AL1722" s="15"/>
    </row>
    <row r="1723" spans="1:38" ht="75" x14ac:dyDescent="0.3">
      <c r="A1723" s="179"/>
      <c r="B1723" s="272"/>
      <c r="C1723" s="282"/>
      <c r="D1723" s="273"/>
      <c r="E1723" s="28" t="s">
        <v>5022</v>
      </c>
      <c r="F1723" s="104"/>
      <c r="G1723" s="202"/>
      <c r="H1723" s="105"/>
      <c r="I1723" s="104" t="s">
        <v>4639</v>
      </c>
      <c r="J1723" s="105"/>
      <c r="K1723" s="104" t="s">
        <v>5013</v>
      </c>
      <c r="L1723" s="105"/>
      <c r="M1723" s="183">
        <v>14</v>
      </c>
      <c r="N1723" s="184"/>
      <c r="O1723" s="185"/>
      <c r="P1723" s="155">
        <v>0</v>
      </c>
      <c r="Q1723" s="157"/>
      <c r="R1723" s="155">
        <v>4</v>
      </c>
      <c r="S1723" s="157"/>
      <c r="T1723" s="155">
        <v>1</v>
      </c>
      <c r="U1723" s="157"/>
      <c r="V1723" s="180" t="s">
        <v>4777</v>
      </c>
      <c r="W1723" s="181"/>
      <c r="X1723" s="175" t="s">
        <v>1418</v>
      </c>
      <c r="Y1723" s="176"/>
      <c r="Z1723" s="177"/>
      <c r="AA1723" s="110" t="s">
        <v>4778</v>
      </c>
      <c r="AB1723" s="111"/>
      <c r="AC1723" s="162"/>
      <c r="AD1723" s="163"/>
      <c r="AE1723" s="43"/>
      <c r="AF1723" s="167"/>
      <c r="AG1723" s="168"/>
      <c r="AH1723" s="169"/>
      <c r="AI1723" s="167"/>
      <c r="AJ1723" s="48"/>
      <c r="AK1723" s="15"/>
      <c r="AL1723" s="15"/>
    </row>
    <row r="1724" spans="1:38" ht="75" x14ac:dyDescent="0.3">
      <c r="A1724" s="179"/>
      <c r="B1724" s="272"/>
      <c r="C1724" s="282"/>
      <c r="D1724" s="273"/>
      <c r="E1724" s="28" t="s">
        <v>5023</v>
      </c>
      <c r="F1724" s="146"/>
      <c r="G1724" s="147"/>
      <c r="H1724" s="148"/>
      <c r="I1724" s="146" t="s">
        <v>4639</v>
      </c>
      <c r="J1724" s="148"/>
      <c r="K1724" s="146" t="s">
        <v>5013</v>
      </c>
      <c r="L1724" s="148"/>
      <c r="M1724" s="183">
        <v>14</v>
      </c>
      <c r="N1724" s="184"/>
      <c r="O1724" s="185"/>
      <c r="P1724" s="160">
        <v>0</v>
      </c>
      <c r="Q1724" s="161"/>
      <c r="R1724" s="160">
        <v>4</v>
      </c>
      <c r="S1724" s="161"/>
      <c r="T1724" s="160">
        <v>1</v>
      </c>
      <c r="U1724" s="161"/>
      <c r="V1724" s="180" t="s">
        <v>4777</v>
      </c>
      <c r="W1724" s="181"/>
      <c r="X1724" s="175" t="s">
        <v>5016</v>
      </c>
      <c r="Y1724" s="176"/>
      <c r="Z1724" s="177"/>
      <c r="AA1724" s="110" t="s">
        <v>1364</v>
      </c>
      <c r="AB1724" s="111"/>
      <c r="AC1724" s="162"/>
      <c r="AD1724" s="163"/>
      <c r="AE1724" s="43"/>
      <c r="AF1724" s="167"/>
      <c r="AG1724" s="168"/>
      <c r="AH1724" s="169"/>
      <c r="AI1724" s="167"/>
      <c r="AJ1724" s="48"/>
      <c r="AK1724" s="15"/>
      <c r="AL1724" s="15"/>
    </row>
    <row r="1725" spans="1:38" ht="75" x14ac:dyDescent="0.3">
      <c r="A1725" s="179"/>
      <c r="B1725" s="272"/>
      <c r="C1725" s="282"/>
      <c r="D1725" s="273"/>
      <c r="E1725" s="28" t="s">
        <v>5024</v>
      </c>
      <c r="F1725" s="143" t="s">
        <v>5003</v>
      </c>
      <c r="G1725" s="144"/>
      <c r="H1725" s="145"/>
      <c r="I1725" s="143" t="s">
        <v>3827</v>
      </c>
      <c r="J1725" s="145"/>
      <c r="K1725" s="143" t="s">
        <v>5004</v>
      </c>
      <c r="L1725" s="145"/>
      <c r="M1725" s="183">
        <v>6</v>
      </c>
      <c r="N1725" s="184"/>
      <c r="O1725" s="185"/>
      <c r="P1725" s="112">
        <v>0</v>
      </c>
      <c r="Q1725" s="113"/>
      <c r="R1725" s="88" t="s">
        <v>758</v>
      </c>
      <c r="S1725" s="89"/>
      <c r="T1725" s="112">
        <v>1</v>
      </c>
      <c r="U1725" s="113"/>
      <c r="V1725" s="173" t="s">
        <v>4298</v>
      </c>
      <c r="W1725" s="174"/>
      <c r="X1725" s="488" t="s">
        <v>4298</v>
      </c>
      <c r="Y1725" s="489"/>
      <c r="Z1725" s="490"/>
      <c r="AA1725" s="124" t="s">
        <v>4774</v>
      </c>
      <c r="AB1725" s="125"/>
      <c r="AC1725" s="162"/>
      <c r="AD1725" s="163"/>
      <c r="AE1725" s="43"/>
      <c r="AF1725" s="167"/>
      <c r="AG1725" s="168"/>
      <c r="AH1725" s="169"/>
      <c r="AI1725" s="167"/>
      <c r="AJ1725" s="48"/>
      <c r="AK1725" s="15"/>
      <c r="AL1725" s="15"/>
    </row>
    <row r="1726" spans="1:38" ht="75" x14ac:dyDescent="0.3">
      <c r="A1726" s="179"/>
      <c r="B1726" s="272"/>
      <c r="C1726" s="282"/>
      <c r="D1726" s="273"/>
      <c r="E1726" s="28" t="s">
        <v>5025</v>
      </c>
      <c r="F1726" s="104"/>
      <c r="G1726" s="202"/>
      <c r="H1726" s="105"/>
      <c r="I1726" s="104" t="s">
        <v>3827</v>
      </c>
      <c r="J1726" s="105"/>
      <c r="K1726" s="104" t="s">
        <v>5004</v>
      </c>
      <c r="L1726" s="105"/>
      <c r="M1726" s="183">
        <v>6</v>
      </c>
      <c r="N1726" s="184"/>
      <c r="O1726" s="185"/>
      <c r="P1726" s="155">
        <v>0</v>
      </c>
      <c r="Q1726" s="157"/>
      <c r="R1726" s="126" t="s">
        <v>758</v>
      </c>
      <c r="S1726" s="127"/>
      <c r="T1726" s="155">
        <v>1</v>
      </c>
      <c r="U1726" s="157"/>
      <c r="V1726" s="180" t="s">
        <v>4298</v>
      </c>
      <c r="W1726" s="181"/>
      <c r="X1726" s="488" t="s">
        <v>4298</v>
      </c>
      <c r="Y1726" s="489"/>
      <c r="Z1726" s="490"/>
      <c r="AA1726" s="124" t="s">
        <v>4774</v>
      </c>
      <c r="AB1726" s="125"/>
      <c r="AC1726" s="162"/>
      <c r="AD1726" s="163"/>
      <c r="AE1726" s="43"/>
      <c r="AF1726" s="167"/>
      <c r="AG1726" s="168"/>
      <c r="AH1726" s="169"/>
      <c r="AI1726" s="167"/>
      <c r="AJ1726" s="48"/>
      <c r="AK1726" s="15"/>
      <c r="AL1726" s="15"/>
    </row>
    <row r="1727" spans="1:38" ht="75" x14ac:dyDescent="0.3">
      <c r="A1727" s="179"/>
      <c r="B1727" s="272"/>
      <c r="C1727" s="282"/>
      <c r="D1727" s="273"/>
      <c r="E1727" s="28" t="s">
        <v>5026</v>
      </c>
      <c r="F1727" s="146"/>
      <c r="G1727" s="147"/>
      <c r="H1727" s="148"/>
      <c r="I1727" s="146" t="s">
        <v>3827</v>
      </c>
      <c r="J1727" s="148"/>
      <c r="K1727" s="146" t="s">
        <v>5004</v>
      </c>
      <c r="L1727" s="148"/>
      <c r="M1727" s="183">
        <v>6</v>
      </c>
      <c r="N1727" s="184"/>
      <c r="O1727" s="185"/>
      <c r="P1727" s="160">
        <v>0</v>
      </c>
      <c r="Q1727" s="161"/>
      <c r="R1727" s="117" t="s">
        <v>758</v>
      </c>
      <c r="S1727" s="118"/>
      <c r="T1727" s="160">
        <v>1</v>
      </c>
      <c r="U1727" s="161"/>
      <c r="V1727" s="180" t="s">
        <v>4298</v>
      </c>
      <c r="W1727" s="181"/>
      <c r="X1727" s="175" t="s">
        <v>4765</v>
      </c>
      <c r="Y1727" s="176"/>
      <c r="Z1727" s="177"/>
      <c r="AA1727" s="110" t="s">
        <v>1114</v>
      </c>
      <c r="AB1727" s="111"/>
      <c r="AC1727" s="162"/>
      <c r="AD1727" s="163"/>
      <c r="AE1727" s="43"/>
      <c r="AF1727" s="167"/>
      <c r="AG1727" s="168"/>
      <c r="AH1727" s="169"/>
      <c r="AI1727" s="167"/>
      <c r="AJ1727" s="48"/>
      <c r="AK1727" s="15"/>
      <c r="AL1727" s="15"/>
    </row>
    <row r="1728" spans="1:38" ht="75" x14ac:dyDescent="0.3">
      <c r="A1728" s="179"/>
      <c r="B1728" s="272"/>
      <c r="C1728" s="282"/>
      <c r="D1728" s="273"/>
      <c r="E1728" s="28" t="s">
        <v>5027</v>
      </c>
      <c r="F1728" s="143" t="s">
        <v>5021</v>
      </c>
      <c r="G1728" s="144"/>
      <c r="H1728" s="145"/>
      <c r="I1728" s="143" t="s">
        <v>4639</v>
      </c>
      <c r="J1728" s="145"/>
      <c r="K1728" s="143" t="s">
        <v>5013</v>
      </c>
      <c r="L1728" s="145"/>
      <c r="M1728" s="183">
        <v>12</v>
      </c>
      <c r="N1728" s="184"/>
      <c r="O1728" s="185"/>
      <c r="P1728" s="112">
        <v>0</v>
      </c>
      <c r="Q1728" s="113"/>
      <c r="R1728" s="112">
        <v>4</v>
      </c>
      <c r="S1728" s="113"/>
      <c r="T1728" s="112">
        <v>1</v>
      </c>
      <c r="U1728" s="113"/>
      <c r="V1728" s="114" t="s">
        <v>5028</v>
      </c>
      <c r="W1728" s="116"/>
      <c r="X1728" s="175" t="s">
        <v>4094</v>
      </c>
      <c r="Y1728" s="176"/>
      <c r="Z1728" s="177"/>
      <c r="AA1728" s="110" t="s">
        <v>1418</v>
      </c>
      <c r="AB1728" s="111"/>
      <c r="AC1728" s="162"/>
      <c r="AD1728" s="163"/>
      <c r="AE1728" s="43"/>
      <c r="AF1728" s="167"/>
      <c r="AG1728" s="168"/>
      <c r="AH1728" s="169"/>
      <c r="AI1728" s="167"/>
      <c r="AJ1728" s="48"/>
      <c r="AK1728" s="15"/>
      <c r="AL1728" s="15"/>
    </row>
    <row r="1729" spans="1:38" ht="75" x14ac:dyDescent="0.3">
      <c r="A1729" s="179"/>
      <c r="B1729" s="272"/>
      <c r="C1729" s="282"/>
      <c r="D1729" s="273"/>
      <c r="E1729" s="28" t="s">
        <v>5029</v>
      </c>
      <c r="F1729" s="104"/>
      <c r="G1729" s="202"/>
      <c r="H1729" s="105"/>
      <c r="I1729" s="104" t="s">
        <v>4639</v>
      </c>
      <c r="J1729" s="105"/>
      <c r="K1729" s="104" t="s">
        <v>5013</v>
      </c>
      <c r="L1729" s="105"/>
      <c r="M1729" s="183">
        <v>12</v>
      </c>
      <c r="N1729" s="184"/>
      <c r="O1729" s="185"/>
      <c r="P1729" s="155">
        <v>0</v>
      </c>
      <c r="Q1729" s="157"/>
      <c r="R1729" s="155">
        <v>4</v>
      </c>
      <c r="S1729" s="157"/>
      <c r="T1729" s="155">
        <v>1</v>
      </c>
      <c r="U1729" s="157"/>
      <c r="V1729" s="180" t="s">
        <v>5028</v>
      </c>
      <c r="W1729" s="181"/>
      <c r="X1729" s="175" t="s">
        <v>4094</v>
      </c>
      <c r="Y1729" s="176"/>
      <c r="Z1729" s="177"/>
      <c r="AA1729" s="110" t="s">
        <v>2581</v>
      </c>
      <c r="AB1729" s="111"/>
      <c r="AC1729" s="162"/>
      <c r="AD1729" s="163"/>
      <c r="AE1729" s="43"/>
      <c r="AF1729" s="167"/>
      <c r="AG1729" s="168"/>
      <c r="AH1729" s="169"/>
      <c r="AI1729" s="167"/>
      <c r="AJ1729" s="48"/>
      <c r="AK1729" s="15"/>
      <c r="AL1729" s="15"/>
    </row>
    <row r="1730" spans="1:38" ht="75" x14ac:dyDescent="0.3">
      <c r="A1730" s="230"/>
      <c r="B1730" s="194"/>
      <c r="C1730" s="197"/>
      <c r="D1730" s="195"/>
      <c r="E1730" s="28" t="s">
        <v>5030</v>
      </c>
      <c r="F1730" s="146"/>
      <c r="G1730" s="147"/>
      <c r="H1730" s="148"/>
      <c r="I1730" s="146" t="s">
        <v>4639</v>
      </c>
      <c r="J1730" s="148"/>
      <c r="K1730" s="146" t="s">
        <v>5013</v>
      </c>
      <c r="L1730" s="148"/>
      <c r="M1730" s="183">
        <v>12</v>
      </c>
      <c r="N1730" s="184"/>
      <c r="O1730" s="185"/>
      <c r="P1730" s="160">
        <v>0</v>
      </c>
      <c r="Q1730" s="161"/>
      <c r="R1730" s="160">
        <v>4</v>
      </c>
      <c r="S1730" s="161"/>
      <c r="T1730" s="160">
        <v>1</v>
      </c>
      <c r="U1730" s="161"/>
      <c r="V1730" s="180" t="s">
        <v>5028</v>
      </c>
      <c r="W1730" s="181"/>
      <c r="X1730" s="175" t="s">
        <v>3566</v>
      </c>
      <c r="Y1730" s="176"/>
      <c r="Z1730" s="177"/>
      <c r="AA1730" s="110" t="s">
        <v>1127</v>
      </c>
      <c r="AB1730" s="111"/>
      <c r="AC1730" s="212"/>
      <c r="AD1730" s="213"/>
      <c r="AE1730" s="43"/>
      <c r="AF1730" s="214"/>
      <c r="AG1730" s="215"/>
      <c r="AH1730" s="216"/>
      <c r="AI1730" s="167"/>
      <c r="AJ1730" s="48"/>
      <c r="AK1730" s="15"/>
      <c r="AL1730" s="15"/>
    </row>
    <row r="1731" spans="1:38" ht="75" x14ac:dyDescent="0.3">
      <c r="A1731" s="178"/>
      <c r="B1731" s="171" t="s">
        <v>5031</v>
      </c>
      <c r="C1731" s="407"/>
      <c r="D1731" s="172"/>
      <c r="E1731" s="28" t="s">
        <v>5032</v>
      </c>
      <c r="F1731" s="143" t="s">
        <v>5033</v>
      </c>
      <c r="G1731" s="144"/>
      <c r="H1731" s="145"/>
      <c r="I1731" s="110" t="s">
        <v>1127</v>
      </c>
      <c r="J1731" s="111"/>
      <c r="K1731" s="143" t="s">
        <v>5034</v>
      </c>
      <c r="L1731" s="145"/>
      <c r="M1731" s="183">
        <v>59</v>
      </c>
      <c r="N1731" s="184"/>
      <c r="O1731" s="185"/>
      <c r="P1731" s="173" t="s">
        <v>5035</v>
      </c>
      <c r="Q1731" s="174"/>
      <c r="R1731" s="112">
        <v>8</v>
      </c>
      <c r="S1731" s="113"/>
      <c r="T1731" s="183">
        <v>6</v>
      </c>
      <c r="U1731" s="185"/>
      <c r="V1731" s="173" t="s">
        <v>3490</v>
      </c>
      <c r="W1731" s="174"/>
      <c r="X1731" s="227">
        <v>88</v>
      </c>
      <c r="Y1731" s="228"/>
      <c r="Z1731" s="229"/>
      <c r="AA1731" s="110" t="s">
        <v>804</v>
      </c>
      <c r="AB1731" s="111"/>
      <c r="AC1731" s="171" t="s">
        <v>3194</v>
      </c>
      <c r="AD1731" s="172"/>
      <c r="AE1731" s="24" t="s">
        <v>5037</v>
      </c>
      <c r="AF1731" s="164"/>
      <c r="AG1731" s="165"/>
      <c r="AH1731" s="166"/>
      <c r="AI1731" s="167"/>
      <c r="AJ1731" s="48"/>
      <c r="AK1731" s="15"/>
      <c r="AL1731" s="15"/>
    </row>
    <row r="1732" spans="1:38" ht="75" x14ac:dyDescent="0.3">
      <c r="A1732" s="179"/>
      <c r="B1732" s="162"/>
      <c r="C1732" s="170"/>
      <c r="D1732" s="163"/>
      <c r="E1732" s="28" t="s">
        <v>5039</v>
      </c>
      <c r="F1732" s="104"/>
      <c r="G1732" s="202"/>
      <c r="H1732" s="105"/>
      <c r="I1732" s="110" t="s">
        <v>1127</v>
      </c>
      <c r="J1732" s="111"/>
      <c r="K1732" s="104" t="s">
        <v>5034</v>
      </c>
      <c r="L1732" s="105"/>
      <c r="M1732" s="183">
        <v>52</v>
      </c>
      <c r="N1732" s="184"/>
      <c r="O1732" s="185"/>
      <c r="P1732" s="173" t="s">
        <v>5035</v>
      </c>
      <c r="Q1732" s="174"/>
      <c r="R1732" s="155">
        <v>8</v>
      </c>
      <c r="S1732" s="157"/>
      <c r="T1732" s="183">
        <v>6</v>
      </c>
      <c r="U1732" s="185"/>
      <c r="V1732" s="173" t="s">
        <v>5040</v>
      </c>
      <c r="W1732" s="174"/>
      <c r="X1732" s="227">
        <v>78</v>
      </c>
      <c r="Y1732" s="228"/>
      <c r="Z1732" s="229"/>
      <c r="AA1732" s="110" t="s">
        <v>3478</v>
      </c>
      <c r="AB1732" s="111"/>
      <c r="AC1732" s="162" t="s">
        <v>5036</v>
      </c>
      <c r="AD1732" s="163"/>
      <c r="AE1732" s="31" t="s">
        <v>1356</v>
      </c>
      <c r="AF1732" s="167"/>
      <c r="AG1732" s="168"/>
      <c r="AH1732" s="169"/>
      <c r="AI1732" s="167"/>
      <c r="AJ1732" s="48"/>
      <c r="AK1732" s="15"/>
      <c r="AL1732" s="15"/>
    </row>
    <row r="1733" spans="1:38" ht="75" x14ac:dyDescent="0.3">
      <c r="A1733" s="179"/>
      <c r="B1733" s="162"/>
      <c r="C1733" s="170"/>
      <c r="D1733" s="163"/>
      <c r="E1733" s="28" t="s">
        <v>5041</v>
      </c>
      <c r="F1733" s="146"/>
      <c r="G1733" s="147"/>
      <c r="H1733" s="148"/>
      <c r="I1733" s="110" t="s">
        <v>1127</v>
      </c>
      <c r="J1733" s="111"/>
      <c r="K1733" s="146" t="s">
        <v>5034</v>
      </c>
      <c r="L1733" s="148"/>
      <c r="M1733" s="183">
        <v>52</v>
      </c>
      <c r="N1733" s="184"/>
      <c r="O1733" s="185"/>
      <c r="P1733" s="173" t="s">
        <v>5035</v>
      </c>
      <c r="Q1733" s="174"/>
      <c r="R1733" s="155">
        <v>8</v>
      </c>
      <c r="S1733" s="157"/>
      <c r="T1733" s="183">
        <v>6</v>
      </c>
      <c r="U1733" s="185"/>
      <c r="V1733" s="173" t="s">
        <v>5040</v>
      </c>
      <c r="W1733" s="174"/>
      <c r="X1733" s="227">
        <v>78</v>
      </c>
      <c r="Y1733" s="228"/>
      <c r="Z1733" s="229"/>
      <c r="AA1733" s="110" t="s">
        <v>3478</v>
      </c>
      <c r="AB1733" s="111"/>
      <c r="AC1733" s="162"/>
      <c r="AD1733" s="163"/>
      <c r="AE1733" s="31" t="s">
        <v>5038</v>
      </c>
      <c r="AF1733" s="167"/>
      <c r="AG1733" s="168"/>
      <c r="AH1733" s="169"/>
      <c r="AI1733" s="167"/>
      <c r="AJ1733" s="48"/>
      <c r="AK1733" s="15"/>
      <c r="AL1733" s="15"/>
    </row>
    <row r="1734" spans="1:38" ht="60" x14ac:dyDescent="0.3">
      <c r="A1734" s="179"/>
      <c r="B1734" s="162"/>
      <c r="C1734" s="170"/>
      <c r="D1734" s="163"/>
      <c r="E1734" s="28" t="s">
        <v>5042</v>
      </c>
      <c r="F1734" s="143" t="s">
        <v>5043</v>
      </c>
      <c r="G1734" s="144"/>
      <c r="H1734" s="145"/>
      <c r="I1734" s="183">
        <v>5</v>
      </c>
      <c r="J1734" s="185"/>
      <c r="K1734" s="143" t="s">
        <v>5044</v>
      </c>
      <c r="L1734" s="145"/>
      <c r="M1734" s="183">
        <v>62</v>
      </c>
      <c r="N1734" s="184"/>
      <c r="O1734" s="185"/>
      <c r="P1734" s="173" t="s">
        <v>5045</v>
      </c>
      <c r="Q1734" s="174"/>
      <c r="R1734" s="155">
        <v>8</v>
      </c>
      <c r="S1734" s="157"/>
      <c r="T1734" s="183">
        <v>6</v>
      </c>
      <c r="U1734" s="185"/>
      <c r="V1734" s="173" t="s">
        <v>1335</v>
      </c>
      <c r="W1734" s="174"/>
      <c r="X1734" s="227">
        <v>98</v>
      </c>
      <c r="Y1734" s="228"/>
      <c r="Z1734" s="229"/>
      <c r="AA1734" s="110" t="s">
        <v>1369</v>
      </c>
      <c r="AB1734" s="111"/>
      <c r="AC1734" s="162"/>
      <c r="AD1734" s="163"/>
      <c r="AE1734" s="31"/>
      <c r="AF1734" s="167"/>
      <c r="AG1734" s="168"/>
      <c r="AH1734" s="169"/>
      <c r="AI1734" s="167"/>
      <c r="AJ1734" s="48"/>
      <c r="AK1734" s="15"/>
      <c r="AL1734" s="15"/>
    </row>
    <row r="1735" spans="1:38" ht="75" x14ac:dyDescent="0.3">
      <c r="A1735" s="179"/>
      <c r="B1735" s="162"/>
      <c r="C1735" s="170"/>
      <c r="D1735" s="163"/>
      <c r="E1735" s="28" t="s">
        <v>5046</v>
      </c>
      <c r="F1735" s="104"/>
      <c r="G1735" s="202"/>
      <c r="H1735" s="105"/>
      <c r="I1735" s="183">
        <v>5</v>
      </c>
      <c r="J1735" s="185"/>
      <c r="K1735" s="104" t="s">
        <v>5044</v>
      </c>
      <c r="L1735" s="105"/>
      <c r="M1735" s="183">
        <v>55</v>
      </c>
      <c r="N1735" s="184"/>
      <c r="O1735" s="185"/>
      <c r="P1735" s="173" t="s">
        <v>5045</v>
      </c>
      <c r="Q1735" s="174"/>
      <c r="R1735" s="155">
        <v>8</v>
      </c>
      <c r="S1735" s="157"/>
      <c r="T1735" s="183">
        <v>6</v>
      </c>
      <c r="U1735" s="185"/>
      <c r="V1735" s="173" t="s">
        <v>3509</v>
      </c>
      <c r="W1735" s="174"/>
      <c r="X1735" s="227">
        <v>88</v>
      </c>
      <c r="Y1735" s="228"/>
      <c r="Z1735" s="229"/>
      <c r="AA1735" s="110" t="s">
        <v>1537</v>
      </c>
      <c r="AB1735" s="111"/>
      <c r="AC1735" s="162"/>
      <c r="AD1735" s="163"/>
      <c r="AE1735" s="31"/>
      <c r="AF1735" s="167"/>
      <c r="AG1735" s="168"/>
      <c r="AH1735" s="169"/>
      <c r="AI1735" s="167"/>
      <c r="AJ1735" s="48"/>
      <c r="AK1735" s="15"/>
      <c r="AL1735" s="15"/>
    </row>
    <row r="1736" spans="1:38" ht="75" x14ac:dyDescent="0.3">
      <c r="A1736" s="179"/>
      <c r="B1736" s="162"/>
      <c r="C1736" s="170"/>
      <c r="D1736" s="163"/>
      <c r="E1736" s="28" t="s">
        <v>5047</v>
      </c>
      <c r="F1736" s="146"/>
      <c r="G1736" s="147"/>
      <c r="H1736" s="148"/>
      <c r="I1736" s="183">
        <v>5</v>
      </c>
      <c r="J1736" s="185"/>
      <c r="K1736" s="146" t="s">
        <v>5044</v>
      </c>
      <c r="L1736" s="148"/>
      <c r="M1736" s="183">
        <v>55</v>
      </c>
      <c r="N1736" s="184"/>
      <c r="O1736" s="185"/>
      <c r="P1736" s="173" t="s">
        <v>5045</v>
      </c>
      <c r="Q1736" s="174"/>
      <c r="R1736" s="160">
        <v>8</v>
      </c>
      <c r="S1736" s="161"/>
      <c r="T1736" s="183">
        <v>6</v>
      </c>
      <c r="U1736" s="185"/>
      <c r="V1736" s="173" t="s">
        <v>3509</v>
      </c>
      <c r="W1736" s="174"/>
      <c r="X1736" s="227">
        <v>88</v>
      </c>
      <c r="Y1736" s="228"/>
      <c r="Z1736" s="229"/>
      <c r="AA1736" s="110" t="s">
        <v>1537</v>
      </c>
      <c r="AB1736" s="111"/>
      <c r="AC1736" s="162"/>
      <c r="AD1736" s="163"/>
      <c r="AE1736" s="31"/>
      <c r="AF1736" s="167"/>
      <c r="AG1736" s="168"/>
      <c r="AH1736" s="169"/>
      <c r="AI1736" s="167"/>
      <c r="AJ1736" s="48"/>
      <c r="AK1736" s="15"/>
      <c r="AL1736" s="15"/>
    </row>
    <row r="1737" spans="1:38" ht="75" x14ac:dyDescent="0.3">
      <c r="A1737" s="179"/>
      <c r="B1737" s="162"/>
      <c r="C1737" s="170"/>
      <c r="D1737" s="163"/>
      <c r="E1737" s="28" t="s">
        <v>5048</v>
      </c>
      <c r="F1737" s="143" t="s">
        <v>5049</v>
      </c>
      <c r="G1737" s="144"/>
      <c r="H1737" s="145"/>
      <c r="I1737" s="110" t="s">
        <v>1985</v>
      </c>
      <c r="J1737" s="111"/>
      <c r="K1737" s="143" t="s">
        <v>5050</v>
      </c>
      <c r="L1737" s="145"/>
      <c r="M1737" s="183">
        <v>65</v>
      </c>
      <c r="N1737" s="184"/>
      <c r="O1737" s="185"/>
      <c r="P1737" s="173" t="s">
        <v>1127</v>
      </c>
      <c r="Q1737" s="174"/>
      <c r="R1737" s="114" t="s">
        <v>3519</v>
      </c>
      <c r="S1737" s="116"/>
      <c r="T1737" s="183">
        <v>6</v>
      </c>
      <c r="U1737" s="185"/>
      <c r="V1737" s="180" t="s">
        <v>2679</v>
      </c>
      <c r="W1737" s="181"/>
      <c r="X1737" s="227">
        <v>108</v>
      </c>
      <c r="Y1737" s="228"/>
      <c r="Z1737" s="229"/>
      <c r="AA1737" s="110" t="s">
        <v>1140</v>
      </c>
      <c r="AB1737" s="111"/>
      <c r="AC1737" s="162"/>
      <c r="AD1737" s="163"/>
      <c r="AE1737" s="31"/>
      <c r="AF1737" s="167"/>
      <c r="AG1737" s="168"/>
      <c r="AH1737" s="169"/>
      <c r="AI1737" s="167"/>
      <c r="AJ1737" s="48"/>
      <c r="AK1737" s="15"/>
      <c r="AL1737" s="15"/>
    </row>
    <row r="1738" spans="1:38" ht="75" x14ac:dyDescent="0.3">
      <c r="A1738" s="179"/>
      <c r="B1738" s="162"/>
      <c r="C1738" s="170"/>
      <c r="D1738" s="163"/>
      <c r="E1738" s="28" t="s">
        <v>5051</v>
      </c>
      <c r="F1738" s="104"/>
      <c r="G1738" s="202"/>
      <c r="H1738" s="105"/>
      <c r="I1738" s="110" t="s">
        <v>1985</v>
      </c>
      <c r="J1738" s="111"/>
      <c r="K1738" s="104" t="s">
        <v>5050</v>
      </c>
      <c r="L1738" s="105"/>
      <c r="M1738" s="183">
        <v>58</v>
      </c>
      <c r="N1738" s="184"/>
      <c r="O1738" s="185"/>
      <c r="P1738" s="173" t="s">
        <v>1127</v>
      </c>
      <c r="Q1738" s="174"/>
      <c r="R1738" s="114" t="s">
        <v>3519</v>
      </c>
      <c r="S1738" s="116"/>
      <c r="T1738" s="183">
        <v>6</v>
      </c>
      <c r="U1738" s="185"/>
      <c r="V1738" s="180" t="s">
        <v>5052</v>
      </c>
      <c r="W1738" s="181"/>
      <c r="X1738" s="227">
        <v>98</v>
      </c>
      <c r="Y1738" s="228"/>
      <c r="Z1738" s="229"/>
      <c r="AA1738" s="110" t="s">
        <v>3553</v>
      </c>
      <c r="AB1738" s="111"/>
      <c r="AC1738" s="162"/>
      <c r="AD1738" s="163"/>
      <c r="AE1738" s="31"/>
      <c r="AF1738" s="167"/>
      <c r="AG1738" s="168"/>
      <c r="AH1738" s="169"/>
      <c r="AI1738" s="167"/>
      <c r="AJ1738" s="48"/>
      <c r="AK1738" s="15"/>
      <c r="AL1738" s="15"/>
    </row>
    <row r="1739" spans="1:38" ht="75" x14ac:dyDescent="0.3">
      <c r="A1739" s="179"/>
      <c r="B1739" s="162"/>
      <c r="C1739" s="170"/>
      <c r="D1739" s="163"/>
      <c r="E1739" s="28" t="s">
        <v>5053</v>
      </c>
      <c r="F1739" s="146"/>
      <c r="G1739" s="147"/>
      <c r="H1739" s="148"/>
      <c r="I1739" s="110" t="s">
        <v>1985</v>
      </c>
      <c r="J1739" s="111"/>
      <c r="K1739" s="146" t="s">
        <v>5050</v>
      </c>
      <c r="L1739" s="148"/>
      <c r="M1739" s="183">
        <v>58</v>
      </c>
      <c r="N1739" s="184"/>
      <c r="O1739" s="185"/>
      <c r="P1739" s="173" t="s">
        <v>1127</v>
      </c>
      <c r="Q1739" s="174"/>
      <c r="R1739" s="114" t="s">
        <v>3519</v>
      </c>
      <c r="S1739" s="116"/>
      <c r="T1739" s="183">
        <v>6</v>
      </c>
      <c r="U1739" s="185"/>
      <c r="V1739" s="180" t="s">
        <v>5052</v>
      </c>
      <c r="W1739" s="181"/>
      <c r="X1739" s="227">
        <v>98</v>
      </c>
      <c r="Y1739" s="228"/>
      <c r="Z1739" s="229"/>
      <c r="AA1739" s="110" t="s">
        <v>3553</v>
      </c>
      <c r="AB1739" s="111"/>
      <c r="AC1739" s="162"/>
      <c r="AD1739" s="163"/>
      <c r="AE1739" s="31"/>
      <c r="AF1739" s="167"/>
      <c r="AG1739" s="168"/>
      <c r="AH1739" s="169"/>
      <c r="AI1739" s="167"/>
      <c r="AJ1739" s="48"/>
      <c r="AK1739" s="15"/>
      <c r="AL1739" s="15"/>
    </row>
    <row r="1740" spans="1:38" ht="75" x14ac:dyDescent="0.3">
      <c r="A1740" s="179"/>
      <c r="B1740" s="162"/>
      <c r="C1740" s="170"/>
      <c r="D1740" s="163"/>
      <c r="E1740" s="28" t="s">
        <v>5054</v>
      </c>
      <c r="F1740" s="143" t="s">
        <v>5055</v>
      </c>
      <c r="G1740" s="144"/>
      <c r="H1740" s="145"/>
      <c r="I1740" s="110" t="s">
        <v>1140</v>
      </c>
      <c r="J1740" s="111"/>
      <c r="K1740" s="143" t="s">
        <v>5056</v>
      </c>
      <c r="L1740" s="145"/>
      <c r="M1740" s="183">
        <v>68</v>
      </c>
      <c r="N1740" s="184"/>
      <c r="O1740" s="185"/>
      <c r="P1740" s="180" t="s">
        <v>3531</v>
      </c>
      <c r="Q1740" s="181"/>
      <c r="R1740" s="114" t="s">
        <v>5057</v>
      </c>
      <c r="S1740" s="116"/>
      <c r="T1740" s="183">
        <v>6</v>
      </c>
      <c r="U1740" s="185"/>
      <c r="V1740" s="180" t="s">
        <v>5058</v>
      </c>
      <c r="W1740" s="181"/>
      <c r="X1740" s="227">
        <v>118</v>
      </c>
      <c r="Y1740" s="228"/>
      <c r="Z1740" s="229"/>
      <c r="AA1740" s="110" t="s">
        <v>1033</v>
      </c>
      <c r="AB1740" s="111"/>
      <c r="AC1740" s="162"/>
      <c r="AD1740" s="163"/>
      <c r="AE1740" s="31"/>
      <c r="AF1740" s="167"/>
      <c r="AG1740" s="168"/>
      <c r="AH1740" s="169"/>
      <c r="AI1740" s="167"/>
      <c r="AJ1740" s="48"/>
      <c r="AK1740" s="15"/>
      <c r="AL1740" s="15"/>
    </row>
    <row r="1741" spans="1:38" ht="75" x14ac:dyDescent="0.3">
      <c r="A1741" s="179"/>
      <c r="B1741" s="162"/>
      <c r="C1741" s="170"/>
      <c r="D1741" s="163"/>
      <c r="E1741" s="28" t="s">
        <v>5059</v>
      </c>
      <c r="F1741" s="104"/>
      <c r="G1741" s="202"/>
      <c r="H1741" s="105"/>
      <c r="I1741" s="110" t="s">
        <v>1140</v>
      </c>
      <c r="J1741" s="111"/>
      <c r="K1741" s="104" t="s">
        <v>5056</v>
      </c>
      <c r="L1741" s="105"/>
      <c r="M1741" s="183">
        <v>61</v>
      </c>
      <c r="N1741" s="184"/>
      <c r="O1741" s="185"/>
      <c r="P1741" s="180" t="s">
        <v>3531</v>
      </c>
      <c r="Q1741" s="181"/>
      <c r="R1741" s="114" t="s">
        <v>5057</v>
      </c>
      <c r="S1741" s="116"/>
      <c r="T1741" s="183">
        <v>6</v>
      </c>
      <c r="U1741" s="185"/>
      <c r="V1741" s="180" t="s">
        <v>5060</v>
      </c>
      <c r="W1741" s="181"/>
      <c r="X1741" s="227">
        <v>108</v>
      </c>
      <c r="Y1741" s="228"/>
      <c r="Z1741" s="229"/>
      <c r="AA1741" s="110" t="s">
        <v>1114</v>
      </c>
      <c r="AB1741" s="111"/>
      <c r="AC1741" s="162"/>
      <c r="AD1741" s="163"/>
      <c r="AE1741" s="31"/>
      <c r="AF1741" s="167"/>
      <c r="AG1741" s="168"/>
      <c r="AH1741" s="169"/>
      <c r="AI1741" s="167"/>
      <c r="AJ1741" s="48"/>
      <c r="AK1741" s="15"/>
      <c r="AL1741" s="15"/>
    </row>
    <row r="1742" spans="1:38" ht="75" x14ac:dyDescent="0.3">
      <c r="A1742" s="230"/>
      <c r="B1742" s="212"/>
      <c r="C1742" s="408"/>
      <c r="D1742" s="213"/>
      <c r="E1742" s="28" t="s">
        <v>5061</v>
      </c>
      <c r="F1742" s="146"/>
      <c r="G1742" s="147"/>
      <c r="H1742" s="148"/>
      <c r="I1742" s="110" t="s">
        <v>1140</v>
      </c>
      <c r="J1742" s="111"/>
      <c r="K1742" s="146" t="s">
        <v>5056</v>
      </c>
      <c r="L1742" s="148"/>
      <c r="M1742" s="183">
        <v>61</v>
      </c>
      <c r="N1742" s="184"/>
      <c r="O1742" s="185"/>
      <c r="P1742" s="180" t="s">
        <v>3531</v>
      </c>
      <c r="Q1742" s="181"/>
      <c r="R1742" s="114" t="s">
        <v>5057</v>
      </c>
      <c r="S1742" s="116"/>
      <c r="T1742" s="183">
        <v>6</v>
      </c>
      <c r="U1742" s="185"/>
      <c r="V1742" s="180" t="s">
        <v>5060</v>
      </c>
      <c r="W1742" s="181"/>
      <c r="X1742" s="227">
        <v>108</v>
      </c>
      <c r="Y1742" s="228"/>
      <c r="Z1742" s="229"/>
      <c r="AA1742" s="110" t="s">
        <v>1114</v>
      </c>
      <c r="AB1742" s="111"/>
      <c r="AC1742" s="212"/>
      <c r="AD1742" s="213"/>
      <c r="AE1742" s="31"/>
      <c r="AF1742" s="214"/>
      <c r="AG1742" s="215"/>
      <c r="AH1742" s="216"/>
      <c r="AI1742" s="214"/>
      <c r="AJ1742" s="48"/>
      <c r="AK1742" s="15"/>
      <c r="AL1742" s="15"/>
    </row>
    <row r="1743" spans="1:38" ht="75" x14ac:dyDescent="0.25">
      <c r="A1743" s="178"/>
      <c r="B1743" s="303" t="s">
        <v>5062</v>
      </c>
      <c r="C1743" s="344"/>
      <c r="D1743" s="304"/>
      <c r="E1743" s="28" t="s">
        <v>5063</v>
      </c>
      <c r="F1743" s="143" t="s">
        <v>5064</v>
      </c>
      <c r="G1743" s="144"/>
      <c r="H1743" s="145"/>
      <c r="I1743" s="110" t="s">
        <v>889</v>
      </c>
      <c r="J1743" s="111"/>
      <c r="K1743" s="110" t="s">
        <v>5065</v>
      </c>
      <c r="L1743" s="111"/>
      <c r="M1743" s="285">
        <v>19</v>
      </c>
      <c r="N1743" s="400"/>
      <c r="O1743" s="286"/>
      <c r="P1743" s="173" t="s">
        <v>5066</v>
      </c>
      <c r="Q1743" s="174"/>
      <c r="R1743" s="112">
        <v>5</v>
      </c>
      <c r="S1743" s="113"/>
      <c r="T1743" s="183">
        <v>4</v>
      </c>
      <c r="U1743" s="185"/>
      <c r="V1743" s="173" t="s">
        <v>5067</v>
      </c>
      <c r="W1743" s="174"/>
      <c r="X1743" s="186" t="s">
        <v>5068</v>
      </c>
      <c r="Y1743" s="187"/>
      <c r="Z1743" s="188"/>
      <c r="AA1743" s="143" t="s">
        <v>1261</v>
      </c>
      <c r="AB1743" s="145"/>
      <c r="AC1743" s="171" t="s">
        <v>3194</v>
      </c>
      <c r="AD1743" s="172"/>
      <c r="AE1743" s="24" t="s">
        <v>5070</v>
      </c>
      <c r="AF1743" s="303" t="s">
        <v>2566</v>
      </c>
      <c r="AG1743" s="344"/>
      <c r="AH1743" s="304"/>
      <c r="AI1743" s="16" t="s">
        <v>5072</v>
      </c>
      <c r="AJ1743" s="48"/>
      <c r="AK1743" s="15"/>
      <c r="AL1743" s="15"/>
    </row>
    <row r="1744" spans="1:38" ht="120" x14ac:dyDescent="0.25">
      <c r="A1744" s="179"/>
      <c r="B1744" s="292"/>
      <c r="C1744" s="314"/>
      <c r="D1744" s="293"/>
      <c r="E1744" s="28" t="s">
        <v>5074</v>
      </c>
      <c r="F1744" s="146"/>
      <c r="G1744" s="147"/>
      <c r="H1744" s="148"/>
      <c r="I1744" s="110" t="s">
        <v>889</v>
      </c>
      <c r="J1744" s="111"/>
      <c r="K1744" s="110" t="s">
        <v>5065</v>
      </c>
      <c r="L1744" s="111"/>
      <c r="M1744" s="285">
        <v>19</v>
      </c>
      <c r="N1744" s="400"/>
      <c r="O1744" s="286"/>
      <c r="P1744" s="173" t="s">
        <v>5066</v>
      </c>
      <c r="Q1744" s="174"/>
      <c r="R1744" s="155">
        <v>5</v>
      </c>
      <c r="S1744" s="157"/>
      <c r="T1744" s="183">
        <v>4</v>
      </c>
      <c r="U1744" s="185"/>
      <c r="V1744" s="173" t="s">
        <v>5067</v>
      </c>
      <c r="W1744" s="174"/>
      <c r="X1744" s="189"/>
      <c r="Y1744" s="190"/>
      <c r="Z1744" s="191"/>
      <c r="AA1744" s="146"/>
      <c r="AB1744" s="148"/>
      <c r="AC1744" s="162" t="s">
        <v>5069</v>
      </c>
      <c r="AD1744" s="163"/>
      <c r="AE1744" s="31" t="s">
        <v>1356</v>
      </c>
      <c r="AF1744" s="292" t="s">
        <v>3401</v>
      </c>
      <c r="AG1744" s="314"/>
      <c r="AH1744" s="293"/>
      <c r="AI1744" s="43" t="s">
        <v>5073</v>
      </c>
      <c r="AJ1744" s="48"/>
      <c r="AK1744" s="15"/>
      <c r="AL1744" s="15"/>
    </row>
    <row r="1745" spans="1:38" ht="60" x14ac:dyDescent="0.25">
      <c r="A1745" s="179"/>
      <c r="B1745" s="292"/>
      <c r="C1745" s="314"/>
      <c r="D1745" s="293"/>
      <c r="E1745" s="28" t="s">
        <v>5075</v>
      </c>
      <c r="F1745" s="192" t="s">
        <v>5076</v>
      </c>
      <c r="G1745" s="196"/>
      <c r="H1745" s="193"/>
      <c r="I1745" s="110" t="s">
        <v>722</v>
      </c>
      <c r="J1745" s="111"/>
      <c r="K1745" s="110" t="s">
        <v>5077</v>
      </c>
      <c r="L1745" s="111"/>
      <c r="M1745" s="285">
        <v>23</v>
      </c>
      <c r="N1745" s="400"/>
      <c r="O1745" s="286"/>
      <c r="P1745" s="173" t="s">
        <v>924</v>
      </c>
      <c r="Q1745" s="174"/>
      <c r="R1745" s="155">
        <v>5</v>
      </c>
      <c r="S1745" s="157"/>
      <c r="T1745" s="183">
        <v>4</v>
      </c>
      <c r="U1745" s="185"/>
      <c r="V1745" s="173" t="s">
        <v>5078</v>
      </c>
      <c r="W1745" s="174"/>
      <c r="X1745" s="186" t="s">
        <v>5079</v>
      </c>
      <c r="Y1745" s="187"/>
      <c r="Z1745" s="188"/>
      <c r="AA1745" s="192" t="s">
        <v>826</v>
      </c>
      <c r="AB1745" s="193"/>
      <c r="AC1745" s="162"/>
      <c r="AD1745" s="163"/>
      <c r="AE1745" s="31" t="s">
        <v>5071</v>
      </c>
      <c r="AF1745" s="292"/>
      <c r="AG1745" s="314"/>
      <c r="AH1745" s="293"/>
      <c r="AI1745" s="43"/>
      <c r="AJ1745" s="48"/>
      <c r="AK1745" s="15"/>
      <c r="AL1745" s="15"/>
    </row>
    <row r="1746" spans="1:38" ht="60" x14ac:dyDescent="0.25">
      <c r="A1746" s="179"/>
      <c r="B1746" s="292"/>
      <c r="C1746" s="314"/>
      <c r="D1746" s="293"/>
      <c r="E1746" s="28" t="s">
        <v>5080</v>
      </c>
      <c r="F1746" s="194"/>
      <c r="G1746" s="197"/>
      <c r="H1746" s="195"/>
      <c r="I1746" s="110" t="s">
        <v>722</v>
      </c>
      <c r="J1746" s="111"/>
      <c r="K1746" s="110" t="s">
        <v>5077</v>
      </c>
      <c r="L1746" s="111"/>
      <c r="M1746" s="285">
        <v>23</v>
      </c>
      <c r="N1746" s="400"/>
      <c r="O1746" s="286"/>
      <c r="P1746" s="173" t="s">
        <v>924</v>
      </c>
      <c r="Q1746" s="174"/>
      <c r="R1746" s="160">
        <v>5</v>
      </c>
      <c r="S1746" s="161"/>
      <c r="T1746" s="183">
        <v>4</v>
      </c>
      <c r="U1746" s="185"/>
      <c r="V1746" s="173" t="s">
        <v>5078</v>
      </c>
      <c r="W1746" s="174"/>
      <c r="X1746" s="189"/>
      <c r="Y1746" s="190"/>
      <c r="Z1746" s="191"/>
      <c r="AA1746" s="194"/>
      <c r="AB1746" s="195"/>
      <c r="AC1746" s="162"/>
      <c r="AD1746" s="163"/>
      <c r="AE1746" s="31"/>
      <c r="AF1746" s="292"/>
      <c r="AG1746" s="314"/>
      <c r="AH1746" s="293"/>
      <c r="AI1746" s="43"/>
      <c r="AJ1746" s="48"/>
      <c r="AK1746" s="15"/>
      <c r="AL1746" s="15"/>
    </row>
    <row r="1747" spans="1:38" ht="60" x14ac:dyDescent="0.25">
      <c r="A1747" s="179"/>
      <c r="B1747" s="292"/>
      <c r="C1747" s="314"/>
      <c r="D1747" s="293"/>
      <c r="E1747" s="28" t="s">
        <v>5081</v>
      </c>
      <c r="F1747" s="143" t="s">
        <v>5082</v>
      </c>
      <c r="G1747" s="144"/>
      <c r="H1747" s="145"/>
      <c r="I1747" s="110" t="s">
        <v>826</v>
      </c>
      <c r="J1747" s="111"/>
      <c r="K1747" s="110" t="s">
        <v>5083</v>
      </c>
      <c r="L1747" s="111"/>
      <c r="M1747" s="285">
        <v>27</v>
      </c>
      <c r="N1747" s="400"/>
      <c r="O1747" s="286"/>
      <c r="P1747" s="173" t="s">
        <v>889</v>
      </c>
      <c r="Q1747" s="174"/>
      <c r="R1747" s="88">
        <v>7</v>
      </c>
      <c r="S1747" s="89"/>
      <c r="T1747" s="183">
        <v>4</v>
      </c>
      <c r="U1747" s="185"/>
      <c r="V1747" s="173" t="s">
        <v>3578</v>
      </c>
      <c r="W1747" s="174"/>
      <c r="X1747" s="186" t="s">
        <v>5084</v>
      </c>
      <c r="Y1747" s="187"/>
      <c r="Z1747" s="188"/>
      <c r="AA1747" s="143" t="s">
        <v>1452</v>
      </c>
      <c r="AB1747" s="145"/>
      <c r="AC1747" s="162"/>
      <c r="AD1747" s="163"/>
      <c r="AE1747" s="31"/>
      <c r="AF1747" s="292"/>
      <c r="AG1747" s="314"/>
      <c r="AH1747" s="293"/>
      <c r="AI1747" s="43"/>
      <c r="AJ1747" s="48"/>
      <c r="AK1747" s="15"/>
      <c r="AL1747" s="15"/>
    </row>
    <row r="1748" spans="1:38" ht="60" x14ac:dyDescent="0.25">
      <c r="A1748" s="179"/>
      <c r="B1748" s="292"/>
      <c r="C1748" s="314"/>
      <c r="D1748" s="293"/>
      <c r="E1748" s="28" t="s">
        <v>5085</v>
      </c>
      <c r="F1748" s="146"/>
      <c r="G1748" s="147"/>
      <c r="H1748" s="148"/>
      <c r="I1748" s="110" t="s">
        <v>826</v>
      </c>
      <c r="J1748" s="111"/>
      <c r="K1748" s="110" t="s">
        <v>5083</v>
      </c>
      <c r="L1748" s="111"/>
      <c r="M1748" s="285">
        <v>27</v>
      </c>
      <c r="N1748" s="400"/>
      <c r="O1748" s="286"/>
      <c r="P1748" s="173" t="s">
        <v>889</v>
      </c>
      <c r="Q1748" s="174"/>
      <c r="R1748" s="126">
        <v>7</v>
      </c>
      <c r="S1748" s="127"/>
      <c r="T1748" s="183">
        <v>4</v>
      </c>
      <c r="U1748" s="185"/>
      <c r="V1748" s="173" t="s">
        <v>3578</v>
      </c>
      <c r="W1748" s="174"/>
      <c r="X1748" s="189"/>
      <c r="Y1748" s="190"/>
      <c r="Z1748" s="191"/>
      <c r="AA1748" s="146"/>
      <c r="AB1748" s="148"/>
      <c r="AC1748" s="162"/>
      <c r="AD1748" s="163"/>
      <c r="AE1748" s="31"/>
      <c r="AF1748" s="292"/>
      <c r="AG1748" s="314"/>
      <c r="AH1748" s="293"/>
      <c r="AI1748" s="43"/>
      <c r="AJ1748" s="48"/>
      <c r="AK1748" s="15"/>
      <c r="AL1748" s="15"/>
    </row>
    <row r="1749" spans="1:38" ht="60" x14ac:dyDescent="0.25">
      <c r="A1749" s="179"/>
      <c r="B1749" s="292"/>
      <c r="C1749" s="314"/>
      <c r="D1749" s="293"/>
      <c r="E1749" s="28" t="s">
        <v>5086</v>
      </c>
      <c r="F1749" s="192" t="s">
        <v>5087</v>
      </c>
      <c r="G1749" s="196"/>
      <c r="H1749" s="193"/>
      <c r="I1749" s="110" t="s">
        <v>1342</v>
      </c>
      <c r="J1749" s="111"/>
      <c r="K1749" s="110" t="s">
        <v>5088</v>
      </c>
      <c r="L1749" s="111"/>
      <c r="M1749" s="285">
        <v>31</v>
      </c>
      <c r="N1749" s="400"/>
      <c r="O1749" s="286"/>
      <c r="P1749" s="173" t="s">
        <v>768</v>
      </c>
      <c r="Q1749" s="174"/>
      <c r="R1749" s="126" t="s">
        <v>1152</v>
      </c>
      <c r="S1749" s="127"/>
      <c r="T1749" s="183">
        <v>4</v>
      </c>
      <c r="U1749" s="185"/>
      <c r="V1749" s="173" t="s">
        <v>5089</v>
      </c>
      <c r="W1749" s="174"/>
      <c r="X1749" s="186" t="s">
        <v>3366</v>
      </c>
      <c r="Y1749" s="187"/>
      <c r="Z1749" s="188"/>
      <c r="AA1749" s="192" t="s">
        <v>717</v>
      </c>
      <c r="AB1749" s="193"/>
      <c r="AC1749" s="162"/>
      <c r="AD1749" s="163"/>
      <c r="AE1749" s="31"/>
      <c r="AF1749" s="292"/>
      <c r="AG1749" s="314"/>
      <c r="AH1749" s="293"/>
      <c r="AI1749" s="43"/>
      <c r="AJ1749" s="48"/>
      <c r="AK1749" s="15"/>
      <c r="AL1749" s="15"/>
    </row>
    <row r="1750" spans="1:38" ht="60" x14ac:dyDescent="0.25">
      <c r="A1750" s="179"/>
      <c r="B1750" s="292"/>
      <c r="C1750" s="314"/>
      <c r="D1750" s="293"/>
      <c r="E1750" s="28" t="s">
        <v>5090</v>
      </c>
      <c r="F1750" s="194"/>
      <c r="G1750" s="197"/>
      <c r="H1750" s="195"/>
      <c r="I1750" s="110" t="s">
        <v>1342</v>
      </c>
      <c r="J1750" s="111"/>
      <c r="K1750" s="110" t="s">
        <v>5088</v>
      </c>
      <c r="L1750" s="111"/>
      <c r="M1750" s="285">
        <v>31</v>
      </c>
      <c r="N1750" s="400"/>
      <c r="O1750" s="286"/>
      <c r="P1750" s="173" t="s">
        <v>768</v>
      </c>
      <c r="Q1750" s="174"/>
      <c r="R1750" s="117" t="s">
        <v>1152</v>
      </c>
      <c r="S1750" s="118"/>
      <c r="T1750" s="183">
        <v>4</v>
      </c>
      <c r="U1750" s="185"/>
      <c r="V1750" s="173" t="s">
        <v>5089</v>
      </c>
      <c r="W1750" s="174"/>
      <c r="X1750" s="189"/>
      <c r="Y1750" s="190"/>
      <c r="Z1750" s="191"/>
      <c r="AA1750" s="194"/>
      <c r="AB1750" s="195"/>
      <c r="AC1750" s="162"/>
      <c r="AD1750" s="163"/>
      <c r="AE1750" s="31"/>
      <c r="AF1750" s="292"/>
      <c r="AG1750" s="314"/>
      <c r="AH1750" s="293"/>
      <c r="AI1750" s="43"/>
      <c r="AJ1750" s="48"/>
      <c r="AK1750" s="15"/>
      <c r="AL1750" s="15"/>
    </row>
    <row r="1751" spans="1:38" ht="60" x14ac:dyDescent="0.25">
      <c r="A1751" s="179"/>
      <c r="B1751" s="292"/>
      <c r="C1751" s="314"/>
      <c r="D1751" s="293"/>
      <c r="E1751" s="28" t="s">
        <v>5091</v>
      </c>
      <c r="F1751" s="192" t="s">
        <v>5092</v>
      </c>
      <c r="G1751" s="196"/>
      <c r="H1751" s="193"/>
      <c r="I1751" s="110" t="s">
        <v>1739</v>
      </c>
      <c r="J1751" s="111"/>
      <c r="K1751" s="110" t="s">
        <v>5093</v>
      </c>
      <c r="L1751" s="111"/>
      <c r="M1751" s="285">
        <v>35</v>
      </c>
      <c r="N1751" s="400"/>
      <c r="O1751" s="286"/>
      <c r="P1751" s="173" t="s">
        <v>5094</v>
      </c>
      <c r="Q1751" s="174"/>
      <c r="R1751" s="114" t="s">
        <v>4862</v>
      </c>
      <c r="S1751" s="116"/>
      <c r="T1751" s="183">
        <v>4</v>
      </c>
      <c r="U1751" s="185"/>
      <c r="V1751" s="173" t="s">
        <v>990</v>
      </c>
      <c r="W1751" s="174"/>
      <c r="X1751" s="186" t="s">
        <v>1335</v>
      </c>
      <c r="Y1751" s="187"/>
      <c r="Z1751" s="188"/>
      <c r="AA1751" s="192" t="s">
        <v>879</v>
      </c>
      <c r="AB1751" s="193"/>
      <c r="AC1751" s="162"/>
      <c r="AD1751" s="163"/>
      <c r="AE1751" s="31"/>
      <c r="AF1751" s="292"/>
      <c r="AG1751" s="314"/>
      <c r="AH1751" s="293"/>
      <c r="AI1751" s="43"/>
      <c r="AJ1751" s="48"/>
      <c r="AK1751" s="15"/>
      <c r="AL1751" s="15"/>
    </row>
    <row r="1752" spans="1:38" ht="60" x14ac:dyDescent="0.25">
      <c r="A1752" s="179"/>
      <c r="B1752" s="292"/>
      <c r="C1752" s="314"/>
      <c r="D1752" s="293"/>
      <c r="E1752" s="28" t="s">
        <v>5095</v>
      </c>
      <c r="F1752" s="194"/>
      <c r="G1752" s="197"/>
      <c r="H1752" s="195"/>
      <c r="I1752" s="110" t="s">
        <v>1739</v>
      </c>
      <c r="J1752" s="111"/>
      <c r="K1752" s="110" t="s">
        <v>5093</v>
      </c>
      <c r="L1752" s="111"/>
      <c r="M1752" s="285">
        <v>35</v>
      </c>
      <c r="N1752" s="400"/>
      <c r="O1752" s="286"/>
      <c r="P1752" s="173" t="s">
        <v>5094</v>
      </c>
      <c r="Q1752" s="174"/>
      <c r="R1752" s="114" t="s">
        <v>4862</v>
      </c>
      <c r="S1752" s="116"/>
      <c r="T1752" s="183">
        <v>4</v>
      </c>
      <c r="U1752" s="185"/>
      <c r="V1752" s="173" t="s">
        <v>990</v>
      </c>
      <c r="W1752" s="174"/>
      <c r="X1752" s="189"/>
      <c r="Y1752" s="190"/>
      <c r="Z1752" s="191"/>
      <c r="AA1752" s="194"/>
      <c r="AB1752" s="195"/>
      <c r="AC1752" s="162"/>
      <c r="AD1752" s="163"/>
      <c r="AE1752" s="31"/>
      <c r="AF1752" s="292"/>
      <c r="AG1752" s="314"/>
      <c r="AH1752" s="293"/>
      <c r="AI1752" s="43"/>
      <c r="AJ1752" s="48"/>
      <c r="AK1752" s="15"/>
      <c r="AL1752" s="15"/>
    </row>
    <row r="1753" spans="1:38" ht="60" x14ac:dyDescent="0.25">
      <c r="A1753" s="179"/>
      <c r="B1753" s="292"/>
      <c r="C1753" s="314"/>
      <c r="D1753" s="293"/>
      <c r="E1753" s="28" t="s">
        <v>5096</v>
      </c>
      <c r="F1753" s="143" t="s">
        <v>5097</v>
      </c>
      <c r="G1753" s="144"/>
      <c r="H1753" s="145"/>
      <c r="I1753" s="110" t="s">
        <v>1045</v>
      </c>
      <c r="J1753" s="111"/>
      <c r="K1753" s="110" t="s">
        <v>5098</v>
      </c>
      <c r="L1753" s="111"/>
      <c r="M1753" s="285">
        <v>39</v>
      </c>
      <c r="N1753" s="400"/>
      <c r="O1753" s="286"/>
      <c r="P1753" s="173" t="s">
        <v>5099</v>
      </c>
      <c r="Q1753" s="174"/>
      <c r="R1753" s="114" t="s">
        <v>4862</v>
      </c>
      <c r="S1753" s="116"/>
      <c r="T1753" s="183">
        <v>4</v>
      </c>
      <c r="U1753" s="185"/>
      <c r="V1753" s="173" t="s">
        <v>3628</v>
      </c>
      <c r="W1753" s="174"/>
      <c r="X1753" s="186" t="s">
        <v>3515</v>
      </c>
      <c r="Y1753" s="187"/>
      <c r="Z1753" s="188"/>
      <c r="AA1753" s="143" t="s">
        <v>674</v>
      </c>
      <c r="AB1753" s="145"/>
      <c r="AC1753" s="162"/>
      <c r="AD1753" s="163"/>
      <c r="AE1753" s="31"/>
      <c r="AF1753" s="292"/>
      <c r="AG1753" s="314"/>
      <c r="AH1753" s="293"/>
      <c r="AI1753" s="43"/>
      <c r="AJ1753" s="48"/>
      <c r="AK1753" s="15"/>
      <c r="AL1753" s="15"/>
    </row>
    <row r="1754" spans="1:38" ht="60" x14ac:dyDescent="0.25">
      <c r="A1754" s="179"/>
      <c r="B1754" s="292"/>
      <c r="C1754" s="314"/>
      <c r="D1754" s="293"/>
      <c r="E1754" s="28" t="s">
        <v>5100</v>
      </c>
      <c r="F1754" s="146"/>
      <c r="G1754" s="147"/>
      <c r="H1754" s="148"/>
      <c r="I1754" s="110" t="s">
        <v>1045</v>
      </c>
      <c r="J1754" s="111"/>
      <c r="K1754" s="110" t="s">
        <v>5098</v>
      </c>
      <c r="L1754" s="111"/>
      <c r="M1754" s="285">
        <v>39</v>
      </c>
      <c r="N1754" s="400"/>
      <c r="O1754" s="286"/>
      <c r="P1754" s="173" t="s">
        <v>5099</v>
      </c>
      <c r="Q1754" s="174"/>
      <c r="R1754" s="114" t="s">
        <v>4862</v>
      </c>
      <c r="S1754" s="116"/>
      <c r="T1754" s="183">
        <v>4</v>
      </c>
      <c r="U1754" s="185"/>
      <c r="V1754" s="173" t="s">
        <v>3628</v>
      </c>
      <c r="W1754" s="174"/>
      <c r="X1754" s="189"/>
      <c r="Y1754" s="190"/>
      <c r="Z1754" s="191"/>
      <c r="AA1754" s="146"/>
      <c r="AB1754" s="148"/>
      <c r="AC1754" s="162"/>
      <c r="AD1754" s="163"/>
      <c r="AE1754" s="31"/>
      <c r="AF1754" s="292"/>
      <c r="AG1754" s="314"/>
      <c r="AH1754" s="293"/>
      <c r="AI1754" s="43"/>
      <c r="AJ1754" s="48"/>
      <c r="AK1754" s="15"/>
      <c r="AL1754" s="15"/>
    </row>
    <row r="1755" spans="1:38" ht="75" x14ac:dyDescent="0.25">
      <c r="A1755" s="179"/>
      <c r="B1755" s="292"/>
      <c r="C1755" s="314"/>
      <c r="D1755" s="293"/>
      <c r="E1755" s="28" t="s">
        <v>5101</v>
      </c>
      <c r="F1755" s="192" t="s">
        <v>5102</v>
      </c>
      <c r="G1755" s="196"/>
      <c r="H1755" s="193"/>
      <c r="I1755" s="183">
        <v>5</v>
      </c>
      <c r="J1755" s="185"/>
      <c r="K1755" s="110" t="s">
        <v>5103</v>
      </c>
      <c r="L1755" s="111"/>
      <c r="M1755" s="285">
        <v>43</v>
      </c>
      <c r="N1755" s="400"/>
      <c r="O1755" s="286"/>
      <c r="P1755" s="173" t="s">
        <v>5104</v>
      </c>
      <c r="Q1755" s="174"/>
      <c r="R1755" s="384" t="s">
        <v>3558</v>
      </c>
      <c r="S1755" s="386"/>
      <c r="T1755" s="183">
        <v>4</v>
      </c>
      <c r="U1755" s="185"/>
      <c r="V1755" s="173" t="s">
        <v>3500</v>
      </c>
      <c r="W1755" s="174"/>
      <c r="X1755" s="186" t="s">
        <v>4051</v>
      </c>
      <c r="Y1755" s="187"/>
      <c r="Z1755" s="188"/>
      <c r="AA1755" s="192" t="s">
        <v>717</v>
      </c>
      <c r="AB1755" s="193"/>
      <c r="AC1755" s="162"/>
      <c r="AD1755" s="163"/>
      <c r="AE1755" s="31"/>
      <c r="AF1755" s="292"/>
      <c r="AG1755" s="314"/>
      <c r="AH1755" s="293"/>
      <c r="AI1755" s="43"/>
      <c r="AJ1755" s="48"/>
      <c r="AK1755" s="15"/>
      <c r="AL1755" s="15"/>
    </row>
    <row r="1756" spans="1:38" ht="75" x14ac:dyDescent="0.25">
      <c r="A1756" s="179"/>
      <c r="B1756" s="292"/>
      <c r="C1756" s="314"/>
      <c r="D1756" s="293"/>
      <c r="E1756" s="28" t="s">
        <v>5105</v>
      </c>
      <c r="F1756" s="194"/>
      <c r="G1756" s="197"/>
      <c r="H1756" s="195"/>
      <c r="I1756" s="183">
        <v>5</v>
      </c>
      <c r="J1756" s="185"/>
      <c r="K1756" s="110" t="s">
        <v>5103</v>
      </c>
      <c r="L1756" s="111"/>
      <c r="M1756" s="285">
        <v>43</v>
      </c>
      <c r="N1756" s="400"/>
      <c r="O1756" s="286"/>
      <c r="P1756" s="173" t="s">
        <v>5104</v>
      </c>
      <c r="Q1756" s="174"/>
      <c r="R1756" s="384" t="s">
        <v>3558</v>
      </c>
      <c r="S1756" s="386"/>
      <c r="T1756" s="183">
        <v>4</v>
      </c>
      <c r="U1756" s="185"/>
      <c r="V1756" s="173" t="s">
        <v>3500</v>
      </c>
      <c r="W1756" s="174"/>
      <c r="X1756" s="189"/>
      <c r="Y1756" s="190"/>
      <c r="Z1756" s="191"/>
      <c r="AA1756" s="194"/>
      <c r="AB1756" s="195"/>
      <c r="AC1756" s="162"/>
      <c r="AD1756" s="163"/>
      <c r="AE1756" s="31"/>
      <c r="AF1756" s="292"/>
      <c r="AG1756" s="314"/>
      <c r="AH1756" s="293"/>
      <c r="AI1756" s="43"/>
      <c r="AJ1756" s="48"/>
      <c r="AK1756" s="15"/>
      <c r="AL1756" s="15"/>
    </row>
    <row r="1757" spans="1:38" ht="60" x14ac:dyDescent="0.25">
      <c r="A1757" s="179"/>
      <c r="B1757" s="292"/>
      <c r="C1757" s="314"/>
      <c r="D1757" s="293"/>
      <c r="E1757" s="28" t="s">
        <v>5106</v>
      </c>
      <c r="F1757" s="124" t="s">
        <v>5064</v>
      </c>
      <c r="G1757" s="182"/>
      <c r="H1757" s="125"/>
      <c r="I1757" s="110" t="s">
        <v>889</v>
      </c>
      <c r="J1757" s="111"/>
      <c r="K1757" s="110" t="s">
        <v>5065</v>
      </c>
      <c r="L1757" s="111"/>
      <c r="M1757" s="285">
        <v>22</v>
      </c>
      <c r="N1757" s="400"/>
      <c r="O1757" s="286"/>
      <c r="P1757" s="173" t="s">
        <v>5066</v>
      </c>
      <c r="Q1757" s="174"/>
      <c r="R1757" s="112">
        <v>5</v>
      </c>
      <c r="S1757" s="113"/>
      <c r="T1757" s="183">
        <v>4</v>
      </c>
      <c r="U1757" s="185"/>
      <c r="V1757" s="173" t="s">
        <v>5107</v>
      </c>
      <c r="W1757" s="174"/>
      <c r="X1757" s="175" t="s">
        <v>5079</v>
      </c>
      <c r="Y1757" s="176"/>
      <c r="Z1757" s="177"/>
      <c r="AA1757" s="110" t="s">
        <v>758</v>
      </c>
      <c r="AB1757" s="111"/>
      <c r="AC1757" s="162"/>
      <c r="AD1757" s="163"/>
      <c r="AE1757" s="31"/>
      <c r="AF1757" s="292"/>
      <c r="AG1757" s="314"/>
      <c r="AH1757" s="293"/>
      <c r="AI1757" s="43"/>
      <c r="AJ1757" s="48"/>
      <c r="AK1757" s="15"/>
      <c r="AL1757" s="15"/>
    </row>
    <row r="1758" spans="1:38" ht="60" x14ac:dyDescent="0.25">
      <c r="A1758" s="179"/>
      <c r="B1758" s="292"/>
      <c r="C1758" s="314"/>
      <c r="D1758" s="293"/>
      <c r="E1758" s="28" t="s">
        <v>5108</v>
      </c>
      <c r="F1758" s="124" t="s">
        <v>5076</v>
      </c>
      <c r="G1758" s="182"/>
      <c r="H1758" s="125"/>
      <c r="I1758" s="110" t="s">
        <v>722</v>
      </c>
      <c r="J1758" s="111"/>
      <c r="K1758" s="110" t="s">
        <v>5077</v>
      </c>
      <c r="L1758" s="111"/>
      <c r="M1758" s="285">
        <v>27</v>
      </c>
      <c r="N1758" s="400"/>
      <c r="O1758" s="286"/>
      <c r="P1758" s="173" t="s">
        <v>924</v>
      </c>
      <c r="Q1758" s="174"/>
      <c r="R1758" s="160">
        <v>5</v>
      </c>
      <c r="S1758" s="161"/>
      <c r="T1758" s="183">
        <v>4</v>
      </c>
      <c r="U1758" s="185"/>
      <c r="V1758" s="173" t="s">
        <v>5109</v>
      </c>
      <c r="W1758" s="174"/>
      <c r="X1758" s="175" t="s">
        <v>5084</v>
      </c>
      <c r="Y1758" s="176"/>
      <c r="Z1758" s="177"/>
      <c r="AA1758" s="110" t="s">
        <v>879</v>
      </c>
      <c r="AB1758" s="111"/>
      <c r="AC1758" s="162"/>
      <c r="AD1758" s="163"/>
      <c r="AE1758" s="31"/>
      <c r="AF1758" s="292"/>
      <c r="AG1758" s="314"/>
      <c r="AH1758" s="293"/>
      <c r="AI1758" s="43"/>
      <c r="AJ1758" s="48"/>
      <c r="AK1758" s="15"/>
      <c r="AL1758" s="15"/>
    </row>
    <row r="1759" spans="1:38" ht="60" x14ac:dyDescent="0.25">
      <c r="A1759" s="179"/>
      <c r="B1759" s="292"/>
      <c r="C1759" s="314"/>
      <c r="D1759" s="293"/>
      <c r="E1759" s="28" t="s">
        <v>5110</v>
      </c>
      <c r="F1759" s="124" t="s">
        <v>5082</v>
      </c>
      <c r="G1759" s="182"/>
      <c r="H1759" s="125"/>
      <c r="I1759" s="110" t="s">
        <v>826</v>
      </c>
      <c r="J1759" s="111"/>
      <c r="K1759" s="110" t="s">
        <v>5083</v>
      </c>
      <c r="L1759" s="111"/>
      <c r="M1759" s="285">
        <v>32</v>
      </c>
      <c r="N1759" s="400"/>
      <c r="O1759" s="286"/>
      <c r="P1759" s="173" t="s">
        <v>889</v>
      </c>
      <c r="Q1759" s="174"/>
      <c r="R1759" s="88">
        <v>7</v>
      </c>
      <c r="S1759" s="89"/>
      <c r="T1759" s="183">
        <v>4</v>
      </c>
      <c r="U1759" s="185"/>
      <c r="V1759" s="173" t="s">
        <v>5089</v>
      </c>
      <c r="W1759" s="174"/>
      <c r="X1759" s="175" t="s">
        <v>3366</v>
      </c>
      <c r="Y1759" s="176"/>
      <c r="Z1759" s="177"/>
      <c r="AA1759" s="110" t="s">
        <v>717</v>
      </c>
      <c r="AB1759" s="111"/>
      <c r="AC1759" s="162"/>
      <c r="AD1759" s="163"/>
      <c r="AE1759" s="31"/>
      <c r="AF1759" s="292"/>
      <c r="AG1759" s="314"/>
      <c r="AH1759" s="293"/>
      <c r="AI1759" s="43"/>
      <c r="AJ1759" s="48"/>
      <c r="AK1759" s="15"/>
      <c r="AL1759" s="15"/>
    </row>
    <row r="1760" spans="1:38" ht="60" x14ac:dyDescent="0.25">
      <c r="A1760" s="179"/>
      <c r="B1760" s="292"/>
      <c r="C1760" s="314"/>
      <c r="D1760" s="293"/>
      <c r="E1760" s="28" t="s">
        <v>5111</v>
      </c>
      <c r="F1760" s="124" t="s">
        <v>5087</v>
      </c>
      <c r="G1760" s="182"/>
      <c r="H1760" s="125"/>
      <c r="I1760" s="110" t="s">
        <v>1342</v>
      </c>
      <c r="J1760" s="111"/>
      <c r="K1760" s="110" t="s">
        <v>5088</v>
      </c>
      <c r="L1760" s="111"/>
      <c r="M1760" s="285">
        <v>37</v>
      </c>
      <c r="N1760" s="400"/>
      <c r="O1760" s="286"/>
      <c r="P1760" s="173" t="s">
        <v>768</v>
      </c>
      <c r="Q1760" s="174"/>
      <c r="R1760" s="117" t="s">
        <v>1152</v>
      </c>
      <c r="S1760" s="118"/>
      <c r="T1760" s="183">
        <v>4</v>
      </c>
      <c r="U1760" s="185"/>
      <c r="V1760" s="173" t="s">
        <v>5112</v>
      </c>
      <c r="W1760" s="174"/>
      <c r="X1760" s="175" t="s">
        <v>1335</v>
      </c>
      <c r="Y1760" s="176"/>
      <c r="Z1760" s="177"/>
      <c r="AA1760" s="110" t="s">
        <v>717</v>
      </c>
      <c r="AB1760" s="111"/>
      <c r="AC1760" s="162"/>
      <c r="AD1760" s="163"/>
      <c r="AE1760" s="31"/>
      <c r="AF1760" s="292"/>
      <c r="AG1760" s="314"/>
      <c r="AH1760" s="293"/>
      <c r="AI1760" s="43"/>
      <c r="AJ1760" s="48"/>
      <c r="AK1760" s="15"/>
      <c r="AL1760" s="15"/>
    </row>
    <row r="1761" spans="1:38" ht="60" x14ac:dyDescent="0.25">
      <c r="A1761" s="179"/>
      <c r="B1761" s="292"/>
      <c r="C1761" s="314"/>
      <c r="D1761" s="293"/>
      <c r="E1761" s="28" t="s">
        <v>5113</v>
      </c>
      <c r="F1761" s="124" t="s">
        <v>5092</v>
      </c>
      <c r="G1761" s="182"/>
      <c r="H1761" s="125"/>
      <c r="I1761" s="110" t="s">
        <v>1739</v>
      </c>
      <c r="J1761" s="111"/>
      <c r="K1761" s="110" t="s">
        <v>5093</v>
      </c>
      <c r="L1761" s="111"/>
      <c r="M1761" s="285">
        <v>42</v>
      </c>
      <c r="N1761" s="400"/>
      <c r="O1761" s="286"/>
      <c r="P1761" s="173" t="s">
        <v>5094</v>
      </c>
      <c r="Q1761" s="174"/>
      <c r="R1761" s="88" t="s">
        <v>4862</v>
      </c>
      <c r="S1761" s="89"/>
      <c r="T1761" s="183">
        <v>4</v>
      </c>
      <c r="U1761" s="185"/>
      <c r="V1761" s="173" t="s">
        <v>3889</v>
      </c>
      <c r="W1761" s="174"/>
      <c r="X1761" s="175" t="s">
        <v>3515</v>
      </c>
      <c r="Y1761" s="176"/>
      <c r="Z1761" s="177"/>
      <c r="AA1761" s="110" t="s">
        <v>717</v>
      </c>
      <c r="AB1761" s="111"/>
      <c r="AC1761" s="162"/>
      <c r="AD1761" s="163"/>
      <c r="AE1761" s="31"/>
      <c r="AF1761" s="292"/>
      <c r="AG1761" s="314"/>
      <c r="AH1761" s="293"/>
      <c r="AI1761" s="43"/>
      <c r="AJ1761" s="48"/>
      <c r="AK1761" s="15"/>
      <c r="AL1761" s="15"/>
    </row>
    <row r="1762" spans="1:38" ht="60" x14ac:dyDescent="0.25">
      <c r="A1762" s="179"/>
      <c r="B1762" s="292"/>
      <c r="C1762" s="314"/>
      <c r="D1762" s="293"/>
      <c r="E1762" s="28" t="s">
        <v>5114</v>
      </c>
      <c r="F1762" s="124" t="s">
        <v>5097</v>
      </c>
      <c r="G1762" s="182"/>
      <c r="H1762" s="125"/>
      <c r="I1762" s="110" t="s">
        <v>1045</v>
      </c>
      <c r="J1762" s="111"/>
      <c r="K1762" s="110" t="s">
        <v>5098</v>
      </c>
      <c r="L1762" s="111"/>
      <c r="M1762" s="285">
        <v>47</v>
      </c>
      <c r="N1762" s="400"/>
      <c r="O1762" s="286"/>
      <c r="P1762" s="173" t="s">
        <v>5099</v>
      </c>
      <c r="Q1762" s="174"/>
      <c r="R1762" s="117" t="s">
        <v>4862</v>
      </c>
      <c r="S1762" s="118"/>
      <c r="T1762" s="183">
        <v>4</v>
      </c>
      <c r="U1762" s="185"/>
      <c r="V1762" s="173" t="s">
        <v>1500</v>
      </c>
      <c r="W1762" s="174"/>
      <c r="X1762" s="175" t="s">
        <v>4051</v>
      </c>
      <c r="Y1762" s="176"/>
      <c r="Z1762" s="177"/>
      <c r="AA1762" s="110" t="s">
        <v>879</v>
      </c>
      <c r="AB1762" s="111"/>
      <c r="AC1762" s="162"/>
      <c r="AD1762" s="163"/>
      <c r="AE1762" s="31"/>
      <c r="AF1762" s="292"/>
      <c r="AG1762" s="314"/>
      <c r="AH1762" s="293"/>
      <c r="AI1762" s="43"/>
      <c r="AJ1762" s="48"/>
      <c r="AK1762" s="15"/>
      <c r="AL1762" s="15"/>
    </row>
    <row r="1763" spans="1:38" ht="60" x14ac:dyDescent="0.25">
      <c r="A1763" s="230"/>
      <c r="B1763" s="290"/>
      <c r="C1763" s="345"/>
      <c r="D1763" s="291"/>
      <c r="E1763" s="28" t="s">
        <v>5115</v>
      </c>
      <c r="F1763" s="124" t="s">
        <v>5102</v>
      </c>
      <c r="G1763" s="182"/>
      <c r="H1763" s="125"/>
      <c r="I1763" s="183">
        <v>5</v>
      </c>
      <c r="J1763" s="185"/>
      <c r="K1763" s="110" t="s">
        <v>5103</v>
      </c>
      <c r="L1763" s="111"/>
      <c r="M1763" s="285">
        <v>52</v>
      </c>
      <c r="N1763" s="400"/>
      <c r="O1763" s="286"/>
      <c r="P1763" s="173" t="s">
        <v>5104</v>
      </c>
      <c r="Q1763" s="174"/>
      <c r="R1763" s="384" t="s">
        <v>3558</v>
      </c>
      <c r="S1763" s="386"/>
      <c r="T1763" s="183">
        <v>4</v>
      </c>
      <c r="U1763" s="185"/>
      <c r="V1763" s="173" t="s">
        <v>5116</v>
      </c>
      <c r="W1763" s="174"/>
      <c r="X1763" s="175" t="s">
        <v>5117</v>
      </c>
      <c r="Y1763" s="176"/>
      <c r="Z1763" s="177"/>
      <c r="AA1763" s="110" t="s">
        <v>1452</v>
      </c>
      <c r="AB1763" s="111"/>
      <c r="AC1763" s="212"/>
      <c r="AD1763" s="213"/>
      <c r="AE1763" s="31"/>
      <c r="AF1763" s="290"/>
      <c r="AG1763" s="345"/>
      <c r="AH1763" s="291"/>
      <c r="AI1763" s="43"/>
      <c r="AJ1763" s="48"/>
      <c r="AK1763" s="15"/>
      <c r="AL1763" s="15"/>
    </row>
    <row r="1764" spans="1:38" ht="90" x14ac:dyDescent="0.3">
      <c r="A1764" s="178"/>
      <c r="B1764" s="171" t="s">
        <v>5118</v>
      </c>
      <c r="C1764" s="407"/>
      <c r="D1764" s="172"/>
      <c r="E1764" s="28" t="s">
        <v>5119</v>
      </c>
      <c r="F1764" s="192" t="s">
        <v>5120</v>
      </c>
      <c r="G1764" s="196"/>
      <c r="H1764" s="193"/>
      <c r="I1764" s="183">
        <v>10</v>
      </c>
      <c r="J1764" s="185"/>
      <c r="K1764" s="143" t="s">
        <v>5121</v>
      </c>
      <c r="L1764" s="145"/>
      <c r="M1764" s="173" t="s">
        <v>5122</v>
      </c>
      <c r="N1764" s="276"/>
      <c r="O1764" s="174"/>
      <c r="P1764" s="173" t="s">
        <v>5123</v>
      </c>
      <c r="Q1764" s="174"/>
      <c r="R1764" s="88" t="s">
        <v>977</v>
      </c>
      <c r="S1764" s="89"/>
      <c r="T1764" s="183">
        <v>10</v>
      </c>
      <c r="U1764" s="185"/>
      <c r="V1764" s="173" t="s">
        <v>5124</v>
      </c>
      <c r="W1764" s="174"/>
      <c r="X1764" s="252">
        <v>199</v>
      </c>
      <c r="Y1764" s="253"/>
      <c r="Z1764" s="254"/>
      <c r="AA1764" s="192" t="s">
        <v>758</v>
      </c>
      <c r="AB1764" s="193"/>
      <c r="AC1764" s="171" t="s">
        <v>3194</v>
      </c>
      <c r="AD1764" s="172"/>
      <c r="AE1764" s="24" t="s">
        <v>5126</v>
      </c>
      <c r="AF1764" s="164"/>
      <c r="AG1764" s="165"/>
      <c r="AH1764" s="166"/>
      <c r="AI1764" s="164"/>
      <c r="AJ1764" s="48"/>
      <c r="AK1764" s="15"/>
      <c r="AL1764" s="15"/>
    </row>
    <row r="1765" spans="1:38" ht="90" x14ac:dyDescent="0.3">
      <c r="A1765" s="179"/>
      <c r="B1765" s="162"/>
      <c r="C1765" s="170"/>
      <c r="D1765" s="163"/>
      <c r="E1765" s="28" t="s">
        <v>5128</v>
      </c>
      <c r="F1765" s="272"/>
      <c r="G1765" s="282"/>
      <c r="H1765" s="273"/>
      <c r="I1765" s="183">
        <v>10</v>
      </c>
      <c r="J1765" s="185"/>
      <c r="K1765" s="104" t="s">
        <v>5121</v>
      </c>
      <c r="L1765" s="105"/>
      <c r="M1765" s="173" t="s">
        <v>5122</v>
      </c>
      <c r="N1765" s="276"/>
      <c r="O1765" s="174"/>
      <c r="P1765" s="173" t="s">
        <v>5123</v>
      </c>
      <c r="Q1765" s="174"/>
      <c r="R1765" s="126" t="s">
        <v>977</v>
      </c>
      <c r="S1765" s="127"/>
      <c r="T1765" s="183">
        <v>10</v>
      </c>
      <c r="U1765" s="185"/>
      <c r="V1765" s="173" t="s">
        <v>5124</v>
      </c>
      <c r="W1765" s="174"/>
      <c r="X1765" s="311"/>
      <c r="Y1765" s="312"/>
      <c r="Z1765" s="313"/>
      <c r="AA1765" s="272"/>
      <c r="AB1765" s="273"/>
      <c r="AC1765" s="162" t="s">
        <v>5125</v>
      </c>
      <c r="AD1765" s="163"/>
      <c r="AE1765" s="31" t="s">
        <v>1356</v>
      </c>
      <c r="AF1765" s="167"/>
      <c r="AG1765" s="168"/>
      <c r="AH1765" s="169"/>
      <c r="AI1765" s="167"/>
      <c r="AJ1765" s="48"/>
      <c r="AK1765" s="15"/>
      <c r="AL1765" s="15"/>
    </row>
    <row r="1766" spans="1:38" ht="90" x14ac:dyDescent="0.3">
      <c r="A1766" s="179"/>
      <c r="B1766" s="162"/>
      <c r="C1766" s="170"/>
      <c r="D1766" s="163"/>
      <c r="E1766" s="28" t="s">
        <v>5129</v>
      </c>
      <c r="F1766" s="272"/>
      <c r="G1766" s="282"/>
      <c r="H1766" s="273"/>
      <c r="I1766" s="183">
        <v>10</v>
      </c>
      <c r="J1766" s="185"/>
      <c r="K1766" s="104" t="s">
        <v>5121</v>
      </c>
      <c r="L1766" s="105"/>
      <c r="M1766" s="173" t="s">
        <v>5122</v>
      </c>
      <c r="N1766" s="276"/>
      <c r="O1766" s="174"/>
      <c r="P1766" s="173" t="s">
        <v>5123</v>
      </c>
      <c r="Q1766" s="174"/>
      <c r="R1766" s="126" t="s">
        <v>977</v>
      </c>
      <c r="S1766" s="127"/>
      <c r="T1766" s="183">
        <v>10</v>
      </c>
      <c r="U1766" s="185"/>
      <c r="V1766" s="173" t="s">
        <v>5124</v>
      </c>
      <c r="W1766" s="174"/>
      <c r="X1766" s="255"/>
      <c r="Y1766" s="256"/>
      <c r="Z1766" s="257"/>
      <c r="AA1766" s="194"/>
      <c r="AB1766" s="195"/>
      <c r="AC1766" s="162"/>
      <c r="AD1766" s="163"/>
      <c r="AE1766" s="31" t="s">
        <v>5127</v>
      </c>
      <c r="AF1766" s="167"/>
      <c r="AG1766" s="168"/>
      <c r="AH1766" s="169"/>
      <c r="AI1766" s="167"/>
      <c r="AJ1766" s="48"/>
      <c r="AK1766" s="15"/>
      <c r="AL1766" s="15"/>
    </row>
    <row r="1767" spans="1:38" ht="90" x14ac:dyDescent="0.3">
      <c r="A1767" s="179"/>
      <c r="B1767" s="162"/>
      <c r="C1767" s="170"/>
      <c r="D1767" s="163"/>
      <c r="E1767" s="28" t="s">
        <v>5130</v>
      </c>
      <c r="F1767" s="272"/>
      <c r="G1767" s="282"/>
      <c r="H1767" s="273"/>
      <c r="I1767" s="183">
        <v>10</v>
      </c>
      <c r="J1767" s="185"/>
      <c r="K1767" s="104" t="s">
        <v>5121</v>
      </c>
      <c r="L1767" s="105"/>
      <c r="M1767" s="173" t="s">
        <v>5131</v>
      </c>
      <c r="N1767" s="276"/>
      <c r="O1767" s="174"/>
      <c r="P1767" s="173" t="s">
        <v>5123</v>
      </c>
      <c r="Q1767" s="174"/>
      <c r="R1767" s="126" t="s">
        <v>977</v>
      </c>
      <c r="S1767" s="127"/>
      <c r="T1767" s="183">
        <v>10</v>
      </c>
      <c r="U1767" s="185"/>
      <c r="V1767" s="173" t="s">
        <v>5132</v>
      </c>
      <c r="W1767" s="174"/>
      <c r="X1767" s="252">
        <v>209</v>
      </c>
      <c r="Y1767" s="253"/>
      <c r="Z1767" s="254"/>
      <c r="AA1767" s="192" t="s">
        <v>758</v>
      </c>
      <c r="AB1767" s="193"/>
      <c r="AC1767" s="162"/>
      <c r="AD1767" s="163"/>
      <c r="AE1767" s="31"/>
      <c r="AF1767" s="167"/>
      <c r="AG1767" s="168"/>
      <c r="AH1767" s="169"/>
      <c r="AI1767" s="167"/>
      <c r="AJ1767" s="48"/>
      <c r="AK1767" s="15"/>
      <c r="AL1767" s="15"/>
    </row>
    <row r="1768" spans="1:38" ht="90" x14ac:dyDescent="0.3">
      <c r="A1768" s="179"/>
      <c r="B1768" s="162"/>
      <c r="C1768" s="170"/>
      <c r="D1768" s="163"/>
      <c r="E1768" s="28" t="s">
        <v>5133</v>
      </c>
      <c r="F1768" s="272"/>
      <c r="G1768" s="282"/>
      <c r="H1768" s="273"/>
      <c r="I1768" s="183">
        <v>10</v>
      </c>
      <c r="J1768" s="185"/>
      <c r="K1768" s="104" t="s">
        <v>5121</v>
      </c>
      <c r="L1768" s="105"/>
      <c r="M1768" s="173" t="s">
        <v>5131</v>
      </c>
      <c r="N1768" s="276"/>
      <c r="O1768" s="174"/>
      <c r="P1768" s="173" t="s">
        <v>5123</v>
      </c>
      <c r="Q1768" s="174"/>
      <c r="R1768" s="126" t="s">
        <v>977</v>
      </c>
      <c r="S1768" s="127"/>
      <c r="T1768" s="183">
        <v>10</v>
      </c>
      <c r="U1768" s="185"/>
      <c r="V1768" s="173" t="s">
        <v>5132</v>
      </c>
      <c r="W1768" s="174"/>
      <c r="X1768" s="311"/>
      <c r="Y1768" s="312"/>
      <c r="Z1768" s="313"/>
      <c r="AA1768" s="272"/>
      <c r="AB1768" s="273"/>
      <c r="AC1768" s="162"/>
      <c r="AD1768" s="163"/>
      <c r="AE1768" s="31"/>
      <c r="AF1768" s="167"/>
      <c r="AG1768" s="168"/>
      <c r="AH1768" s="169"/>
      <c r="AI1768" s="167"/>
      <c r="AJ1768" s="48"/>
      <c r="AK1768" s="15"/>
      <c r="AL1768" s="15"/>
    </row>
    <row r="1769" spans="1:38" ht="90" x14ac:dyDescent="0.3">
      <c r="A1769" s="179"/>
      <c r="B1769" s="162"/>
      <c r="C1769" s="170"/>
      <c r="D1769" s="163"/>
      <c r="E1769" s="28" t="s">
        <v>5134</v>
      </c>
      <c r="F1769" s="272"/>
      <c r="G1769" s="282"/>
      <c r="H1769" s="273"/>
      <c r="I1769" s="183">
        <v>10</v>
      </c>
      <c r="J1769" s="185"/>
      <c r="K1769" s="104" t="s">
        <v>5121</v>
      </c>
      <c r="L1769" s="105"/>
      <c r="M1769" s="173" t="s">
        <v>5131</v>
      </c>
      <c r="N1769" s="276"/>
      <c r="O1769" s="174"/>
      <c r="P1769" s="173" t="s">
        <v>5123</v>
      </c>
      <c r="Q1769" s="174"/>
      <c r="R1769" s="126" t="s">
        <v>977</v>
      </c>
      <c r="S1769" s="127"/>
      <c r="T1769" s="183">
        <v>10</v>
      </c>
      <c r="U1769" s="185"/>
      <c r="V1769" s="173" t="s">
        <v>5132</v>
      </c>
      <c r="W1769" s="174"/>
      <c r="X1769" s="255"/>
      <c r="Y1769" s="256"/>
      <c r="Z1769" s="257"/>
      <c r="AA1769" s="194"/>
      <c r="AB1769" s="195"/>
      <c r="AC1769" s="162"/>
      <c r="AD1769" s="163"/>
      <c r="AE1769" s="31"/>
      <c r="AF1769" s="167"/>
      <c r="AG1769" s="168"/>
      <c r="AH1769" s="169"/>
      <c r="AI1769" s="167"/>
      <c r="AJ1769" s="48"/>
      <c r="AK1769" s="15"/>
      <c r="AL1769" s="15"/>
    </row>
    <row r="1770" spans="1:38" ht="90" x14ac:dyDescent="0.3">
      <c r="A1770" s="179"/>
      <c r="B1770" s="162"/>
      <c r="C1770" s="170"/>
      <c r="D1770" s="163"/>
      <c r="E1770" s="28" t="s">
        <v>5135</v>
      </c>
      <c r="F1770" s="272"/>
      <c r="G1770" s="282"/>
      <c r="H1770" s="273"/>
      <c r="I1770" s="183">
        <v>12</v>
      </c>
      <c r="J1770" s="185"/>
      <c r="K1770" s="104" t="s">
        <v>5121</v>
      </c>
      <c r="L1770" s="105"/>
      <c r="M1770" s="173" t="s">
        <v>5122</v>
      </c>
      <c r="N1770" s="276"/>
      <c r="O1770" s="174"/>
      <c r="P1770" s="173" t="s">
        <v>5123</v>
      </c>
      <c r="Q1770" s="174"/>
      <c r="R1770" s="126" t="s">
        <v>977</v>
      </c>
      <c r="S1770" s="127"/>
      <c r="T1770" s="183">
        <v>10</v>
      </c>
      <c r="U1770" s="185"/>
      <c r="V1770" s="173" t="s">
        <v>5124</v>
      </c>
      <c r="W1770" s="174"/>
      <c r="X1770" s="252">
        <v>248</v>
      </c>
      <c r="Y1770" s="253"/>
      <c r="Z1770" s="254"/>
      <c r="AA1770" s="192" t="s">
        <v>889</v>
      </c>
      <c r="AB1770" s="193"/>
      <c r="AC1770" s="162"/>
      <c r="AD1770" s="163"/>
      <c r="AE1770" s="31"/>
      <c r="AF1770" s="167"/>
      <c r="AG1770" s="168"/>
      <c r="AH1770" s="169"/>
      <c r="AI1770" s="167"/>
      <c r="AJ1770" s="48"/>
      <c r="AK1770" s="15"/>
      <c r="AL1770" s="15"/>
    </row>
    <row r="1771" spans="1:38" ht="90" x14ac:dyDescent="0.3">
      <c r="A1771" s="179"/>
      <c r="B1771" s="162"/>
      <c r="C1771" s="170"/>
      <c r="D1771" s="163"/>
      <c r="E1771" s="28" t="s">
        <v>5136</v>
      </c>
      <c r="F1771" s="272"/>
      <c r="G1771" s="282"/>
      <c r="H1771" s="273"/>
      <c r="I1771" s="183">
        <v>12</v>
      </c>
      <c r="J1771" s="185"/>
      <c r="K1771" s="104" t="s">
        <v>5121</v>
      </c>
      <c r="L1771" s="105"/>
      <c r="M1771" s="173" t="s">
        <v>5122</v>
      </c>
      <c r="N1771" s="276"/>
      <c r="O1771" s="174"/>
      <c r="P1771" s="173" t="s">
        <v>5123</v>
      </c>
      <c r="Q1771" s="174"/>
      <c r="R1771" s="126" t="s">
        <v>977</v>
      </c>
      <c r="S1771" s="127"/>
      <c r="T1771" s="183">
        <v>10</v>
      </c>
      <c r="U1771" s="185"/>
      <c r="V1771" s="173" t="s">
        <v>5124</v>
      </c>
      <c r="W1771" s="174"/>
      <c r="X1771" s="311"/>
      <c r="Y1771" s="312"/>
      <c r="Z1771" s="313"/>
      <c r="AA1771" s="272"/>
      <c r="AB1771" s="273"/>
      <c r="AC1771" s="162"/>
      <c r="AD1771" s="163"/>
      <c r="AE1771" s="31"/>
      <c r="AF1771" s="167"/>
      <c r="AG1771" s="168"/>
      <c r="AH1771" s="169"/>
      <c r="AI1771" s="167"/>
      <c r="AJ1771" s="48"/>
      <c r="AK1771" s="15"/>
      <c r="AL1771" s="15"/>
    </row>
    <row r="1772" spans="1:38" ht="90" x14ac:dyDescent="0.3">
      <c r="A1772" s="179"/>
      <c r="B1772" s="162"/>
      <c r="C1772" s="170"/>
      <c r="D1772" s="163"/>
      <c r="E1772" s="28" t="s">
        <v>5137</v>
      </c>
      <c r="F1772" s="272"/>
      <c r="G1772" s="282"/>
      <c r="H1772" s="273"/>
      <c r="I1772" s="183">
        <v>12</v>
      </c>
      <c r="J1772" s="185"/>
      <c r="K1772" s="104" t="s">
        <v>5121</v>
      </c>
      <c r="L1772" s="105"/>
      <c r="M1772" s="173" t="s">
        <v>5122</v>
      </c>
      <c r="N1772" s="276"/>
      <c r="O1772" s="174"/>
      <c r="P1772" s="173" t="s">
        <v>5123</v>
      </c>
      <c r="Q1772" s="174"/>
      <c r="R1772" s="126" t="s">
        <v>977</v>
      </c>
      <c r="S1772" s="127"/>
      <c r="T1772" s="183">
        <v>10</v>
      </c>
      <c r="U1772" s="185"/>
      <c r="V1772" s="173" t="s">
        <v>5124</v>
      </c>
      <c r="W1772" s="174"/>
      <c r="X1772" s="255"/>
      <c r="Y1772" s="256"/>
      <c r="Z1772" s="257"/>
      <c r="AA1772" s="194"/>
      <c r="AB1772" s="195"/>
      <c r="AC1772" s="162"/>
      <c r="AD1772" s="163"/>
      <c r="AE1772" s="31"/>
      <c r="AF1772" s="167"/>
      <c r="AG1772" s="168"/>
      <c r="AH1772" s="169"/>
      <c r="AI1772" s="167"/>
      <c r="AJ1772" s="48"/>
      <c r="AK1772" s="15"/>
      <c r="AL1772" s="15"/>
    </row>
    <row r="1773" spans="1:38" ht="90" x14ac:dyDescent="0.3">
      <c r="A1773" s="179"/>
      <c r="B1773" s="162"/>
      <c r="C1773" s="170"/>
      <c r="D1773" s="163"/>
      <c r="E1773" s="28" t="s">
        <v>5138</v>
      </c>
      <c r="F1773" s="272"/>
      <c r="G1773" s="282"/>
      <c r="H1773" s="273"/>
      <c r="I1773" s="183">
        <v>12</v>
      </c>
      <c r="J1773" s="185"/>
      <c r="K1773" s="104" t="s">
        <v>5121</v>
      </c>
      <c r="L1773" s="105"/>
      <c r="M1773" s="173" t="s">
        <v>5131</v>
      </c>
      <c r="N1773" s="276"/>
      <c r="O1773" s="174"/>
      <c r="P1773" s="173" t="s">
        <v>5123</v>
      </c>
      <c r="Q1773" s="174"/>
      <c r="R1773" s="126" t="s">
        <v>977</v>
      </c>
      <c r="S1773" s="127"/>
      <c r="T1773" s="183">
        <v>10</v>
      </c>
      <c r="U1773" s="185"/>
      <c r="V1773" s="173" t="s">
        <v>5132</v>
      </c>
      <c r="W1773" s="174"/>
      <c r="X1773" s="252">
        <v>258</v>
      </c>
      <c r="Y1773" s="253"/>
      <c r="Z1773" s="254"/>
      <c r="AA1773" s="192" t="s">
        <v>889</v>
      </c>
      <c r="AB1773" s="193"/>
      <c r="AC1773" s="162"/>
      <c r="AD1773" s="163"/>
      <c r="AE1773" s="31"/>
      <c r="AF1773" s="167"/>
      <c r="AG1773" s="168"/>
      <c r="AH1773" s="169"/>
      <c r="AI1773" s="167"/>
      <c r="AJ1773" s="48"/>
      <c r="AK1773" s="15"/>
      <c r="AL1773" s="15"/>
    </row>
    <row r="1774" spans="1:38" ht="90" x14ac:dyDescent="0.3">
      <c r="A1774" s="179"/>
      <c r="B1774" s="162"/>
      <c r="C1774" s="170"/>
      <c r="D1774" s="163"/>
      <c r="E1774" s="28" t="s">
        <v>5139</v>
      </c>
      <c r="F1774" s="272"/>
      <c r="G1774" s="282"/>
      <c r="H1774" s="273"/>
      <c r="I1774" s="183">
        <v>12</v>
      </c>
      <c r="J1774" s="185"/>
      <c r="K1774" s="104" t="s">
        <v>5121</v>
      </c>
      <c r="L1774" s="105"/>
      <c r="M1774" s="173" t="s">
        <v>5131</v>
      </c>
      <c r="N1774" s="276"/>
      <c r="O1774" s="174"/>
      <c r="P1774" s="173" t="s">
        <v>5123</v>
      </c>
      <c r="Q1774" s="174"/>
      <c r="R1774" s="126" t="s">
        <v>977</v>
      </c>
      <c r="S1774" s="127"/>
      <c r="T1774" s="183">
        <v>10</v>
      </c>
      <c r="U1774" s="185"/>
      <c r="V1774" s="173" t="s">
        <v>5132</v>
      </c>
      <c r="W1774" s="174"/>
      <c r="X1774" s="311"/>
      <c r="Y1774" s="312"/>
      <c r="Z1774" s="313"/>
      <c r="AA1774" s="272"/>
      <c r="AB1774" s="273"/>
      <c r="AC1774" s="162"/>
      <c r="AD1774" s="163"/>
      <c r="AE1774" s="31"/>
      <c r="AF1774" s="167"/>
      <c r="AG1774" s="168"/>
      <c r="AH1774" s="169"/>
      <c r="AI1774" s="167"/>
      <c r="AJ1774" s="48"/>
      <c r="AK1774" s="15"/>
      <c r="AL1774" s="15"/>
    </row>
    <row r="1775" spans="1:38" ht="90" x14ac:dyDescent="0.3">
      <c r="A1775" s="230"/>
      <c r="B1775" s="212"/>
      <c r="C1775" s="408"/>
      <c r="D1775" s="213"/>
      <c r="E1775" s="28" t="s">
        <v>5140</v>
      </c>
      <c r="F1775" s="194"/>
      <c r="G1775" s="197"/>
      <c r="H1775" s="195"/>
      <c r="I1775" s="183">
        <v>12</v>
      </c>
      <c r="J1775" s="185"/>
      <c r="K1775" s="146" t="s">
        <v>5121</v>
      </c>
      <c r="L1775" s="148"/>
      <c r="M1775" s="173" t="s">
        <v>5131</v>
      </c>
      <c r="N1775" s="276"/>
      <c r="O1775" s="174"/>
      <c r="P1775" s="173" t="s">
        <v>5123</v>
      </c>
      <c r="Q1775" s="174"/>
      <c r="R1775" s="117" t="s">
        <v>977</v>
      </c>
      <c r="S1775" s="118"/>
      <c r="T1775" s="183">
        <v>10</v>
      </c>
      <c r="U1775" s="185"/>
      <c r="V1775" s="173" t="s">
        <v>5132</v>
      </c>
      <c r="W1775" s="174"/>
      <c r="X1775" s="255"/>
      <c r="Y1775" s="256"/>
      <c r="Z1775" s="257"/>
      <c r="AA1775" s="194"/>
      <c r="AB1775" s="195"/>
      <c r="AC1775" s="212"/>
      <c r="AD1775" s="213"/>
      <c r="AE1775" s="31"/>
      <c r="AF1775" s="214"/>
      <c r="AG1775" s="215"/>
      <c r="AH1775" s="216"/>
      <c r="AI1775" s="167"/>
      <c r="AJ1775" s="48"/>
      <c r="AK1775" s="15"/>
      <c r="AL1775" s="15"/>
    </row>
    <row r="1776" spans="1:38" ht="75" x14ac:dyDescent="0.3">
      <c r="A1776" s="178"/>
      <c r="B1776" s="303" t="s">
        <v>5141</v>
      </c>
      <c r="C1776" s="344"/>
      <c r="D1776" s="304"/>
      <c r="E1776" s="28" t="s">
        <v>5142</v>
      </c>
      <c r="F1776" s="233" t="s">
        <v>5143</v>
      </c>
      <c r="G1776" s="305"/>
      <c r="H1776" s="234"/>
      <c r="I1776" s="110" t="s">
        <v>1751</v>
      </c>
      <c r="J1776" s="111"/>
      <c r="K1776" s="143" t="s">
        <v>3665</v>
      </c>
      <c r="L1776" s="145"/>
      <c r="M1776" s="180" t="s">
        <v>5144</v>
      </c>
      <c r="N1776" s="450"/>
      <c r="O1776" s="181"/>
      <c r="P1776" s="180" t="s">
        <v>3617</v>
      </c>
      <c r="Q1776" s="181"/>
      <c r="R1776" s="112">
        <v>9</v>
      </c>
      <c r="S1776" s="113"/>
      <c r="T1776" s="183">
        <v>6</v>
      </c>
      <c r="U1776" s="185"/>
      <c r="V1776" s="173" t="s">
        <v>3630</v>
      </c>
      <c r="W1776" s="174"/>
      <c r="X1776" s="252">
        <v>75</v>
      </c>
      <c r="Y1776" s="253"/>
      <c r="Z1776" s="254"/>
      <c r="AA1776" s="110" t="s">
        <v>768</v>
      </c>
      <c r="AB1776" s="111"/>
      <c r="AC1776" s="171" t="s">
        <v>3194</v>
      </c>
      <c r="AD1776" s="172"/>
      <c r="AE1776" s="16" t="s">
        <v>5147</v>
      </c>
      <c r="AF1776" s="164"/>
      <c r="AG1776" s="165"/>
      <c r="AH1776" s="166"/>
      <c r="AI1776" s="167"/>
      <c r="AJ1776" s="48"/>
      <c r="AK1776" s="15"/>
      <c r="AL1776" s="15"/>
    </row>
    <row r="1777" spans="1:38" ht="75" x14ac:dyDescent="0.3">
      <c r="A1777" s="179"/>
      <c r="B1777" s="292"/>
      <c r="C1777" s="314"/>
      <c r="D1777" s="293"/>
      <c r="E1777" s="28" t="s">
        <v>5149</v>
      </c>
      <c r="F1777" s="235"/>
      <c r="G1777" s="270"/>
      <c r="H1777" s="236"/>
      <c r="I1777" s="110" t="s">
        <v>1751</v>
      </c>
      <c r="J1777" s="111"/>
      <c r="K1777" s="104" t="s">
        <v>3665</v>
      </c>
      <c r="L1777" s="105"/>
      <c r="M1777" s="180" t="s">
        <v>5144</v>
      </c>
      <c r="N1777" s="450"/>
      <c r="O1777" s="181"/>
      <c r="P1777" s="180" t="s">
        <v>3617</v>
      </c>
      <c r="Q1777" s="181"/>
      <c r="R1777" s="155">
        <v>9</v>
      </c>
      <c r="S1777" s="157"/>
      <c r="T1777" s="183">
        <v>6</v>
      </c>
      <c r="U1777" s="185"/>
      <c r="V1777" s="173" t="s">
        <v>3630</v>
      </c>
      <c r="W1777" s="174"/>
      <c r="X1777" s="311"/>
      <c r="Y1777" s="312"/>
      <c r="Z1777" s="313"/>
      <c r="AA1777" s="110" t="s">
        <v>768</v>
      </c>
      <c r="AB1777" s="111"/>
      <c r="AC1777" s="162" t="s">
        <v>5145</v>
      </c>
      <c r="AD1777" s="163"/>
      <c r="AE1777" s="43" t="s">
        <v>1356</v>
      </c>
      <c r="AF1777" s="167"/>
      <c r="AG1777" s="168"/>
      <c r="AH1777" s="169"/>
      <c r="AI1777" s="167"/>
      <c r="AJ1777" s="48"/>
      <c r="AK1777" s="15"/>
      <c r="AL1777" s="15"/>
    </row>
    <row r="1778" spans="1:38" ht="75" x14ac:dyDescent="0.3">
      <c r="A1778" s="179"/>
      <c r="B1778" s="292"/>
      <c r="C1778" s="314"/>
      <c r="D1778" s="293"/>
      <c r="E1778" s="28" t="s">
        <v>5150</v>
      </c>
      <c r="F1778" s="235"/>
      <c r="G1778" s="270"/>
      <c r="H1778" s="236"/>
      <c r="I1778" s="110" t="s">
        <v>1751</v>
      </c>
      <c r="J1778" s="111"/>
      <c r="K1778" s="104" t="s">
        <v>3665</v>
      </c>
      <c r="L1778" s="105"/>
      <c r="M1778" s="180" t="s">
        <v>5144</v>
      </c>
      <c r="N1778" s="450"/>
      <c r="O1778" s="181"/>
      <c r="P1778" s="180" t="s">
        <v>3617</v>
      </c>
      <c r="Q1778" s="181"/>
      <c r="R1778" s="155">
        <v>9</v>
      </c>
      <c r="S1778" s="157"/>
      <c r="T1778" s="183">
        <v>6</v>
      </c>
      <c r="U1778" s="185"/>
      <c r="V1778" s="173" t="s">
        <v>3630</v>
      </c>
      <c r="W1778" s="174"/>
      <c r="X1778" s="255"/>
      <c r="Y1778" s="256"/>
      <c r="Z1778" s="257"/>
      <c r="AA1778" s="110" t="s">
        <v>768</v>
      </c>
      <c r="AB1778" s="111"/>
      <c r="AC1778" s="162" t="s">
        <v>2211</v>
      </c>
      <c r="AD1778" s="163"/>
      <c r="AE1778" s="43" t="s">
        <v>5148</v>
      </c>
      <c r="AF1778" s="167"/>
      <c r="AG1778" s="168"/>
      <c r="AH1778" s="169"/>
      <c r="AI1778" s="167"/>
      <c r="AJ1778" s="48"/>
      <c r="AK1778" s="15"/>
      <c r="AL1778" s="15"/>
    </row>
    <row r="1779" spans="1:38" ht="90" x14ac:dyDescent="0.3">
      <c r="A1779" s="179"/>
      <c r="B1779" s="292"/>
      <c r="C1779" s="314"/>
      <c r="D1779" s="293"/>
      <c r="E1779" s="28" t="s">
        <v>5151</v>
      </c>
      <c r="F1779" s="235"/>
      <c r="G1779" s="270"/>
      <c r="H1779" s="236"/>
      <c r="I1779" s="110" t="s">
        <v>1751</v>
      </c>
      <c r="J1779" s="111"/>
      <c r="K1779" s="104" t="s">
        <v>3665</v>
      </c>
      <c r="L1779" s="105"/>
      <c r="M1779" s="180" t="s">
        <v>5152</v>
      </c>
      <c r="N1779" s="450"/>
      <c r="O1779" s="181"/>
      <c r="P1779" s="180" t="s">
        <v>3617</v>
      </c>
      <c r="Q1779" s="181"/>
      <c r="R1779" s="155">
        <v>9</v>
      </c>
      <c r="S1779" s="157"/>
      <c r="T1779" s="183">
        <v>6</v>
      </c>
      <c r="U1779" s="185"/>
      <c r="V1779" s="173" t="s">
        <v>2693</v>
      </c>
      <c r="W1779" s="174"/>
      <c r="X1779" s="252">
        <v>80</v>
      </c>
      <c r="Y1779" s="253"/>
      <c r="Z1779" s="254"/>
      <c r="AA1779" s="110" t="s">
        <v>722</v>
      </c>
      <c r="AB1779" s="111"/>
      <c r="AC1779" s="162" t="s">
        <v>5146</v>
      </c>
      <c r="AD1779" s="163"/>
      <c r="AE1779" s="43"/>
      <c r="AF1779" s="167"/>
      <c r="AG1779" s="168"/>
      <c r="AH1779" s="169"/>
      <c r="AI1779" s="167"/>
      <c r="AJ1779" s="48"/>
      <c r="AK1779" s="15"/>
      <c r="AL1779" s="15"/>
    </row>
    <row r="1780" spans="1:38" ht="90" x14ac:dyDescent="0.3">
      <c r="A1780" s="179"/>
      <c r="B1780" s="292"/>
      <c r="C1780" s="314"/>
      <c r="D1780" s="293"/>
      <c r="E1780" s="28" t="s">
        <v>5153</v>
      </c>
      <c r="F1780" s="235"/>
      <c r="G1780" s="270"/>
      <c r="H1780" s="236"/>
      <c r="I1780" s="110" t="s">
        <v>1751</v>
      </c>
      <c r="J1780" s="111"/>
      <c r="K1780" s="104" t="s">
        <v>3665</v>
      </c>
      <c r="L1780" s="105"/>
      <c r="M1780" s="180" t="s">
        <v>5152</v>
      </c>
      <c r="N1780" s="450"/>
      <c r="O1780" s="181"/>
      <c r="P1780" s="180" t="s">
        <v>3617</v>
      </c>
      <c r="Q1780" s="181"/>
      <c r="R1780" s="155">
        <v>9</v>
      </c>
      <c r="S1780" s="157"/>
      <c r="T1780" s="183">
        <v>6</v>
      </c>
      <c r="U1780" s="185"/>
      <c r="V1780" s="173" t="s">
        <v>2693</v>
      </c>
      <c r="W1780" s="174"/>
      <c r="X1780" s="311"/>
      <c r="Y1780" s="312"/>
      <c r="Z1780" s="313"/>
      <c r="AA1780" s="110" t="s">
        <v>722</v>
      </c>
      <c r="AB1780" s="111"/>
      <c r="AC1780" s="162"/>
      <c r="AD1780" s="163"/>
      <c r="AE1780" s="43"/>
      <c r="AF1780" s="167"/>
      <c r="AG1780" s="168"/>
      <c r="AH1780" s="169"/>
      <c r="AI1780" s="167"/>
      <c r="AJ1780" s="48"/>
      <c r="AK1780" s="15"/>
      <c r="AL1780" s="15"/>
    </row>
    <row r="1781" spans="1:38" ht="90" x14ac:dyDescent="0.3">
      <c r="A1781" s="230"/>
      <c r="B1781" s="290"/>
      <c r="C1781" s="345"/>
      <c r="D1781" s="291"/>
      <c r="E1781" s="28" t="s">
        <v>5154</v>
      </c>
      <c r="F1781" s="237"/>
      <c r="G1781" s="306"/>
      <c r="H1781" s="238"/>
      <c r="I1781" s="110" t="s">
        <v>1751</v>
      </c>
      <c r="J1781" s="111"/>
      <c r="K1781" s="146" t="s">
        <v>3665</v>
      </c>
      <c r="L1781" s="148"/>
      <c r="M1781" s="180" t="s">
        <v>5152</v>
      </c>
      <c r="N1781" s="450"/>
      <c r="O1781" s="181"/>
      <c r="P1781" s="180" t="s">
        <v>3617</v>
      </c>
      <c r="Q1781" s="181"/>
      <c r="R1781" s="155">
        <v>9</v>
      </c>
      <c r="S1781" s="157"/>
      <c r="T1781" s="183">
        <v>6</v>
      </c>
      <c r="U1781" s="185"/>
      <c r="V1781" s="173" t="s">
        <v>2693</v>
      </c>
      <c r="W1781" s="174"/>
      <c r="X1781" s="255"/>
      <c r="Y1781" s="256"/>
      <c r="Z1781" s="257"/>
      <c r="AA1781" s="110" t="s">
        <v>722</v>
      </c>
      <c r="AB1781" s="111"/>
      <c r="AC1781" s="212"/>
      <c r="AD1781" s="213"/>
      <c r="AE1781" s="43"/>
      <c r="AF1781" s="214"/>
      <c r="AG1781" s="215"/>
      <c r="AH1781" s="216"/>
      <c r="AI1781" s="167"/>
      <c r="AJ1781" s="48"/>
      <c r="AK1781" s="15"/>
      <c r="AL1781" s="15"/>
    </row>
    <row r="1782" spans="1:38" ht="90" x14ac:dyDescent="0.3">
      <c r="A1782" s="178"/>
      <c r="B1782" s="303" t="s">
        <v>5155</v>
      </c>
      <c r="C1782" s="344"/>
      <c r="D1782" s="304"/>
      <c r="E1782" s="28" t="s">
        <v>5156</v>
      </c>
      <c r="F1782" s="233" t="s">
        <v>5157</v>
      </c>
      <c r="G1782" s="305"/>
      <c r="H1782" s="234"/>
      <c r="I1782" s="110" t="s">
        <v>1062</v>
      </c>
      <c r="J1782" s="111"/>
      <c r="K1782" s="143" t="s">
        <v>5158</v>
      </c>
      <c r="L1782" s="145"/>
      <c r="M1782" s="173" t="s">
        <v>5159</v>
      </c>
      <c r="N1782" s="276"/>
      <c r="O1782" s="174"/>
      <c r="P1782" s="173" t="s">
        <v>5083</v>
      </c>
      <c r="Q1782" s="174"/>
      <c r="R1782" s="155">
        <v>9</v>
      </c>
      <c r="S1782" s="157"/>
      <c r="T1782" s="183">
        <v>6</v>
      </c>
      <c r="U1782" s="185"/>
      <c r="V1782" s="173" t="s">
        <v>3631</v>
      </c>
      <c r="W1782" s="174"/>
      <c r="X1782" s="252">
        <v>79</v>
      </c>
      <c r="Y1782" s="253"/>
      <c r="Z1782" s="254"/>
      <c r="AA1782" s="110" t="s">
        <v>1038</v>
      </c>
      <c r="AB1782" s="111"/>
      <c r="AC1782" s="171" t="s">
        <v>3194</v>
      </c>
      <c r="AD1782" s="172"/>
      <c r="AE1782" s="24" t="s">
        <v>5162</v>
      </c>
      <c r="AF1782" s="164"/>
      <c r="AG1782" s="165"/>
      <c r="AH1782" s="166"/>
      <c r="AI1782" s="167"/>
      <c r="AJ1782" s="48"/>
      <c r="AK1782" s="15"/>
      <c r="AL1782" s="15"/>
    </row>
    <row r="1783" spans="1:38" ht="90" x14ac:dyDescent="0.3">
      <c r="A1783" s="179"/>
      <c r="B1783" s="292"/>
      <c r="C1783" s="314"/>
      <c r="D1783" s="293"/>
      <c r="E1783" s="28" t="s">
        <v>5164</v>
      </c>
      <c r="F1783" s="235"/>
      <c r="G1783" s="270"/>
      <c r="H1783" s="236"/>
      <c r="I1783" s="110" t="s">
        <v>1062</v>
      </c>
      <c r="J1783" s="111"/>
      <c r="K1783" s="104" t="s">
        <v>5158</v>
      </c>
      <c r="L1783" s="105"/>
      <c r="M1783" s="173" t="s">
        <v>5159</v>
      </c>
      <c r="N1783" s="276"/>
      <c r="O1783" s="174"/>
      <c r="P1783" s="173" t="s">
        <v>5083</v>
      </c>
      <c r="Q1783" s="174"/>
      <c r="R1783" s="155">
        <v>9</v>
      </c>
      <c r="S1783" s="157"/>
      <c r="T1783" s="183">
        <v>6</v>
      </c>
      <c r="U1783" s="185"/>
      <c r="V1783" s="173" t="s">
        <v>3631</v>
      </c>
      <c r="W1783" s="174"/>
      <c r="X1783" s="311"/>
      <c r="Y1783" s="312"/>
      <c r="Z1783" s="313"/>
      <c r="AA1783" s="110" t="s">
        <v>1038</v>
      </c>
      <c r="AB1783" s="111"/>
      <c r="AC1783" s="162" t="s">
        <v>5160</v>
      </c>
      <c r="AD1783" s="163"/>
      <c r="AE1783" s="31" t="s">
        <v>1356</v>
      </c>
      <c r="AF1783" s="167"/>
      <c r="AG1783" s="168"/>
      <c r="AH1783" s="169"/>
      <c r="AI1783" s="167"/>
      <c r="AJ1783" s="48"/>
      <c r="AK1783" s="15"/>
      <c r="AL1783" s="15"/>
    </row>
    <row r="1784" spans="1:38" ht="90" x14ac:dyDescent="0.3">
      <c r="A1784" s="179"/>
      <c r="B1784" s="292"/>
      <c r="C1784" s="314"/>
      <c r="D1784" s="293"/>
      <c r="E1784" s="28" t="s">
        <v>5165</v>
      </c>
      <c r="F1784" s="235"/>
      <c r="G1784" s="270"/>
      <c r="H1784" s="236"/>
      <c r="I1784" s="110" t="s">
        <v>1062</v>
      </c>
      <c r="J1784" s="111"/>
      <c r="K1784" s="104" t="s">
        <v>5158</v>
      </c>
      <c r="L1784" s="105"/>
      <c r="M1784" s="173" t="s">
        <v>5159</v>
      </c>
      <c r="N1784" s="276"/>
      <c r="O1784" s="174"/>
      <c r="P1784" s="173" t="s">
        <v>5083</v>
      </c>
      <c r="Q1784" s="174"/>
      <c r="R1784" s="155">
        <v>9</v>
      </c>
      <c r="S1784" s="157"/>
      <c r="T1784" s="183">
        <v>6</v>
      </c>
      <c r="U1784" s="185"/>
      <c r="V1784" s="173" t="s">
        <v>3631</v>
      </c>
      <c r="W1784" s="174"/>
      <c r="X1784" s="255"/>
      <c r="Y1784" s="256"/>
      <c r="Z1784" s="257"/>
      <c r="AA1784" s="110" t="s">
        <v>1038</v>
      </c>
      <c r="AB1784" s="111"/>
      <c r="AC1784" s="162" t="s">
        <v>2211</v>
      </c>
      <c r="AD1784" s="163"/>
      <c r="AE1784" s="31" t="s">
        <v>5163</v>
      </c>
      <c r="AF1784" s="167"/>
      <c r="AG1784" s="168"/>
      <c r="AH1784" s="169"/>
      <c r="AI1784" s="167"/>
      <c r="AJ1784" s="48"/>
      <c r="AK1784" s="15"/>
      <c r="AL1784" s="15"/>
    </row>
    <row r="1785" spans="1:38" ht="90" x14ac:dyDescent="0.3">
      <c r="A1785" s="179"/>
      <c r="B1785" s="292"/>
      <c r="C1785" s="314"/>
      <c r="D1785" s="293"/>
      <c r="E1785" s="28" t="s">
        <v>5166</v>
      </c>
      <c r="F1785" s="235"/>
      <c r="G1785" s="270"/>
      <c r="H1785" s="236"/>
      <c r="I1785" s="110" t="s">
        <v>1062</v>
      </c>
      <c r="J1785" s="111"/>
      <c r="K1785" s="104" t="s">
        <v>5158</v>
      </c>
      <c r="L1785" s="105"/>
      <c r="M1785" s="173" t="s">
        <v>5167</v>
      </c>
      <c r="N1785" s="276"/>
      <c r="O1785" s="174"/>
      <c r="P1785" s="173" t="s">
        <v>5083</v>
      </c>
      <c r="Q1785" s="174"/>
      <c r="R1785" s="155">
        <v>9</v>
      </c>
      <c r="S1785" s="157"/>
      <c r="T1785" s="183">
        <v>6</v>
      </c>
      <c r="U1785" s="185"/>
      <c r="V1785" s="173" t="s">
        <v>2326</v>
      </c>
      <c r="W1785" s="174"/>
      <c r="X1785" s="252">
        <v>85</v>
      </c>
      <c r="Y1785" s="253"/>
      <c r="Z1785" s="254"/>
      <c r="AA1785" s="110" t="s">
        <v>989</v>
      </c>
      <c r="AB1785" s="111"/>
      <c r="AC1785" s="162" t="s">
        <v>5161</v>
      </c>
      <c r="AD1785" s="163"/>
      <c r="AE1785" s="31"/>
      <c r="AF1785" s="167"/>
      <c r="AG1785" s="168"/>
      <c r="AH1785" s="169"/>
      <c r="AI1785" s="167"/>
      <c r="AJ1785" s="48"/>
      <c r="AK1785" s="15"/>
      <c r="AL1785" s="15"/>
    </row>
    <row r="1786" spans="1:38" ht="90" x14ac:dyDescent="0.3">
      <c r="A1786" s="179"/>
      <c r="B1786" s="292"/>
      <c r="C1786" s="314"/>
      <c r="D1786" s="293"/>
      <c r="E1786" s="28" t="s">
        <v>5168</v>
      </c>
      <c r="F1786" s="235"/>
      <c r="G1786" s="270"/>
      <c r="H1786" s="236"/>
      <c r="I1786" s="110" t="s">
        <v>1062</v>
      </c>
      <c r="J1786" s="111"/>
      <c r="K1786" s="104" t="s">
        <v>5158</v>
      </c>
      <c r="L1786" s="105"/>
      <c r="M1786" s="173" t="s">
        <v>5167</v>
      </c>
      <c r="N1786" s="276"/>
      <c r="O1786" s="174"/>
      <c r="P1786" s="173" t="s">
        <v>5083</v>
      </c>
      <c r="Q1786" s="174"/>
      <c r="R1786" s="155">
        <v>9</v>
      </c>
      <c r="S1786" s="157"/>
      <c r="T1786" s="183">
        <v>6</v>
      </c>
      <c r="U1786" s="185"/>
      <c r="V1786" s="173" t="s">
        <v>2326</v>
      </c>
      <c r="W1786" s="174"/>
      <c r="X1786" s="311"/>
      <c r="Y1786" s="312"/>
      <c r="Z1786" s="313"/>
      <c r="AA1786" s="110" t="s">
        <v>989</v>
      </c>
      <c r="AB1786" s="111"/>
      <c r="AC1786" s="162"/>
      <c r="AD1786" s="163"/>
      <c r="AE1786" s="31"/>
      <c r="AF1786" s="167"/>
      <c r="AG1786" s="168"/>
      <c r="AH1786" s="169"/>
      <c r="AI1786" s="167"/>
      <c r="AJ1786" s="48"/>
      <c r="AK1786" s="15"/>
      <c r="AL1786" s="15"/>
    </row>
    <row r="1787" spans="1:38" ht="90" x14ac:dyDescent="0.3">
      <c r="A1787" s="230"/>
      <c r="B1787" s="290"/>
      <c r="C1787" s="345"/>
      <c r="D1787" s="291"/>
      <c r="E1787" s="28" t="s">
        <v>5169</v>
      </c>
      <c r="F1787" s="237"/>
      <c r="G1787" s="306"/>
      <c r="H1787" s="238"/>
      <c r="I1787" s="110" t="s">
        <v>1062</v>
      </c>
      <c r="J1787" s="111"/>
      <c r="K1787" s="146" t="s">
        <v>5158</v>
      </c>
      <c r="L1787" s="148"/>
      <c r="M1787" s="173" t="s">
        <v>5167</v>
      </c>
      <c r="N1787" s="276"/>
      <c r="O1787" s="174"/>
      <c r="P1787" s="173" t="s">
        <v>5083</v>
      </c>
      <c r="Q1787" s="174"/>
      <c r="R1787" s="160">
        <v>9</v>
      </c>
      <c r="S1787" s="161"/>
      <c r="T1787" s="183">
        <v>6</v>
      </c>
      <c r="U1787" s="185"/>
      <c r="V1787" s="173" t="s">
        <v>2326</v>
      </c>
      <c r="W1787" s="174"/>
      <c r="X1787" s="255"/>
      <c r="Y1787" s="256"/>
      <c r="Z1787" s="257"/>
      <c r="AA1787" s="110" t="s">
        <v>989</v>
      </c>
      <c r="AB1787" s="111"/>
      <c r="AC1787" s="212"/>
      <c r="AD1787" s="213"/>
      <c r="AE1787" s="31"/>
      <c r="AF1787" s="214"/>
      <c r="AG1787" s="215"/>
      <c r="AH1787" s="216"/>
      <c r="AI1787" s="167"/>
      <c r="AJ1787" s="48"/>
      <c r="AK1787" s="15"/>
      <c r="AL1787" s="15"/>
    </row>
    <row r="1788" spans="1:38" ht="90" x14ac:dyDescent="0.3">
      <c r="A1788" s="178"/>
      <c r="B1788" s="303" t="s">
        <v>5170</v>
      </c>
      <c r="C1788" s="344"/>
      <c r="D1788" s="304"/>
      <c r="E1788" s="28" t="s">
        <v>5171</v>
      </c>
      <c r="F1788" s="233" t="s">
        <v>5172</v>
      </c>
      <c r="G1788" s="305"/>
      <c r="H1788" s="234"/>
      <c r="I1788" s="110" t="s">
        <v>4069</v>
      </c>
      <c r="J1788" s="111"/>
      <c r="K1788" s="143" t="s">
        <v>5173</v>
      </c>
      <c r="L1788" s="145"/>
      <c r="M1788" s="173" t="s">
        <v>5174</v>
      </c>
      <c r="N1788" s="276"/>
      <c r="O1788" s="174"/>
      <c r="P1788" s="173" t="s">
        <v>5083</v>
      </c>
      <c r="Q1788" s="174"/>
      <c r="R1788" s="88">
        <v>13</v>
      </c>
      <c r="S1788" s="89"/>
      <c r="T1788" s="183">
        <v>9</v>
      </c>
      <c r="U1788" s="185"/>
      <c r="V1788" s="173" t="s">
        <v>5175</v>
      </c>
      <c r="W1788" s="174"/>
      <c r="X1788" s="252">
        <v>80</v>
      </c>
      <c r="Y1788" s="253"/>
      <c r="Z1788" s="254"/>
      <c r="AA1788" s="110" t="s">
        <v>1191</v>
      </c>
      <c r="AB1788" s="111"/>
      <c r="AC1788" s="171" t="s">
        <v>3194</v>
      </c>
      <c r="AD1788" s="172"/>
      <c r="AE1788" s="24" t="s">
        <v>5178</v>
      </c>
      <c r="AF1788" s="164"/>
      <c r="AG1788" s="165"/>
      <c r="AH1788" s="166"/>
      <c r="AI1788" s="167"/>
      <c r="AJ1788" s="48"/>
      <c r="AK1788" s="15"/>
      <c r="AL1788" s="15"/>
    </row>
    <row r="1789" spans="1:38" ht="90" x14ac:dyDescent="0.3">
      <c r="A1789" s="179"/>
      <c r="B1789" s="292"/>
      <c r="C1789" s="314"/>
      <c r="D1789" s="293"/>
      <c r="E1789" s="28" t="s">
        <v>5180</v>
      </c>
      <c r="F1789" s="235"/>
      <c r="G1789" s="270"/>
      <c r="H1789" s="236"/>
      <c r="I1789" s="110" t="s">
        <v>4069</v>
      </c>
      <c r="J1789" s="111"/>
      <c r="K1789" s="104" t="s">
        <v>5173</v>
      </c>
      <c r="L1789" s="105"/>
      <c r="M1789" s="173" t="s">
        <v>5174</v>
      </c>
      <c r="N1789" s="276"/>
      <c r="O1789" s="174"/>
      <c r="P1789" s="173" t="s">
        <v>5083</v>
      </c>
      <c r="Q1789" s="174"/>
      <c r="R1789" s="126">
        <v>13</v>
      </c>
      <c r="S1789" s="127"/>
      <c r="T1789" s="183">
        <v>9</v>
      </c>
      <c r="U1789" s="185"/>
      <c r="V1789" s="173" t="s">
        <v>5175</v>
      </c>
      <c r="W1789" s="174"/>
      <c r="X1789" s="311"/>
      <c r="Y1789" s="312"/>
      <c r="Z1789" s="313"/>
      <c r="AA1789" s="110" t="s">
        <v>1191</v>
      </c>
      <c r="AB1789" s="111"/>
      <c r="AC1789" s="162" t="s">
        <v>5176</v>
      </c>
      <c r="AD1789" s="163"/>
      <c r="AE1789" s="31" t="s">
        <v>1356</v>
      </c>
      <c r="AF1789" s="167"/>
      <c r="AG1789" s="168"/>
      <c r="AH1789" s="169"/>
      <c r="AI1789" s="167"/>
      <c r="AJ1789" s="48"/>
      <c r="AK1789" s="15"/>
      <c r="AL1789" s="15"/>
    </row>
    <row r="1790" spans="1:38" ht="90" x14ac:dyDescent="0.3">
      <c r="A1790" s="179"/>
      <c r="B1790" s="292"/>
      <c r="C1790" s="314"/>
      <c r="D1790" s="293"/>
      <c r="E1790" s="28" t="s">
        <v>5181</v>
      </c>
      <c r="F1790" s="235"/>
      <c r="G1790" s="270"/>
      <c r="H1790" s="236"/>
      <c r="I1790" s="110" t="s">
        <v>4069</v>
      </c>
      <c r="J1790" s="111"/>
      <c r="K1790" s="104" t="s">
        <v>5173</v>
      </c>
      <c r="L1790" s="105"/>
      <c r="M1790" s="173" t="s">
        <v>5174</v>
      </c>
      <c r="N1790" s="276"/>
      <c r="O1790" s="174"/>
      <c r="P1790" s="173" t="s">
        <v>5083</v>
      </c>
      <c r="Q1790" s="174"/>
      <c r="R1790" s="126">
        <v>13</v>
      </c>
      <c r="S1790" s="127"/>
      <c r="T1790" s="183">
        <v>9</v>
      </c>
      <c r="U1790" s="185"/>
      <c r="V1790" s="173" t="s">
        <v>5175</v>
      </c>
      <c r="W1790" s="174"/>
      <c r="X1790" s="255"/>
      <c r="Y1790" s="256"/>
      <c r="Z1790" s="257"/>
      <c r="AA1790" s="110" t="s">
        <v>1191</v>
      </c>
      <c r="AB1790" s="111"/>
      <c r="AC1790" s="162" t="s">
        <v>2211</v>
      </c>
      <c r="AD1790" s="163"/>
      <c r="AE1790" s="31" t="s">
        <v>5179</v>
      </c>
      <c r="AF1790" s="167"/>
      <c r="AG1790" s="168"/>
      <c r="AH1790" s="169"/>
      <c r="AI1790" s="167"/>
      <c r="AJ1790" s="48"/>
      <c r="AK1790" s="15"/>
      <c r="AL1790" s="15"/>
    </row>
    <row r="1791" spans="1:38" ht="90" x14ac:dyDescent="0.3">
      <c r="A1791" s="179"/>
      <c r="B1791" s="292"/>
      <c r="C1791" s="314"/>
      <c r="D1791" s="293"/>
      <c r="E1791" s="28" t="s">
        <v>5182</v>
      </c>
      <c r="F1791" s="235"/>
      <c r="G1791" s="270"/>
      <c r="H1791" s="236"/>
      <c r="I1791" s="110" t="s">
        <v>4069</v>
      </c>
      <c r="J1791" s="111"/>
      <c r="K1791" s="104" t="s">
        <v>5173</v>
      </c>
      <c r="L1791" s="105"/>
      <c r="M1791" s="173" t="s">
        <v>5183</v>
      </c>
      <c r="N1791" s="276"/>
      <c r="O1791" s="174"/>
      <c r="P1791" s="173" t="s">
        <v>5083</v>
      </c>
      <c r="Q1791" s="174"/>
      <c r="R1791" s="126">
        <v>13</v>
      </c>
      <c r="S1791" s="127"/>
      <c r="T1791" s="183">
        <v>9</v>
      </c>
      <c r="U1791" s="185"/>
      <c r="V1791" s="173" t="s">
        <v>5184</v>
      </c>
      <c r="W1791" s="174"/>
      <c r="X1791" s="252">
        <v>89</v>
      </c>
      <c r="Y1791" s="253"/>
      <c r="Z1791" s="254"/>
      <c r="AA1791" s="233" t="s">
        <v>901</v>
      </c>
      <c r="AB1791" s="234"/>
      <c r="AC1791" s="162" t="s">
        <v>5177</v>
      </c>
      <c r="AD1791" s="163"/>
      <c r="AE1791" s="31"/>
      <c r="AF1791" s="167"/>
      <c r="AG1791" s="168"/>
      <c r="AH1791" s="169"/>
      <c r="AI1791" s="167"/>
      <c r="AJ1791" s="48"/>
      <c r="AK1791" s="15"/>
      <c r="AL1791" s="15"/>
    </row>
    <row r="1792" spans="1:38" ht="90" x14ac:dyDescent="0.3">
      <c r="A1792" s="179"/>
      <c r="B1792" s="292"/>
      <c r="C1792" s="314"/>
      <c r="D1792" s="293"/>
      <c r="E1792" s="28" t="s">
        <v>5185</v>
      </c>
      <c r="F1792" s="235"/>
      <c r="G1792" s="270"/>
      <c r="H1792" s="236"/>
      <c r="I1792" s="110" t="s">
        <v>4069</v>
      </c>
      <c r="J1792" s="111"/>
      <c r="K1792" s="104" t="s">
        <v>5173</v>
      </c>
      <c r="L1792" s="105"/>
      <c r="M1792" s="173" t="s">
        <v>5183</v>
      </c>
      <c r="N1792" s="276"/>
      <c r="O1792" s="174"/>
      <c r="P1792" s="173" t="s">
        <v>5083</v>
      </c>
      <c r="Q1792" s="174"/>
      <c r="R1792" s="126">
        <v>13</v>
      </c>
      <c r="S1792" s="127"/>
      <c r="T1792" s="183">
        <v>9</v>
      </c>
      <c r="U1792" s="185"/>
      <c r="V1792" s="173" t="s">
        <v>5184</v>
      </c>
      <c r="W1792" s="174"/>
      <c r="X1792" s="311"/>
      <c r="Y1792" s="312"/>
      <c r="Z1792" s="313"/>
      <c r="AA1792" s="235"/>
      <c r="AB1792" s="236"/>
      <c r="AC1792" s="162"/>
      <c r="AD1792" s="163"/>
      <c r="AE1792" s="31"/>
      <c r="AF1792" s="167"/>
      <c r="AG1792" s="168"/>
      <c r="AH1792" s="169"/>
      <c r="AI1792" s="167"/>
      <c r="AJ1792" s="48"/>
      <c r="AK1792" s="15"/>
      <c r="AL1792" s="15"/>
    </row>
    <row r="1793" spans="1:38" ht="90" x14ac:dyDescent="0.3">
      <c r="A1793" s="230"/>
      <c r="B1793" s="290"/>
      <c r="C1793" s="345"/>
      <c r="D1793" s="291"/>
      <c r="E1793" s="28" t="s">
        <v>5186</v>
      </c>
      <c r="F1793" s="237"/>
      <c r="G1793" s="306"/>
      <c r="H1793" s="238"/>
      <c r="I1793" s="110" t="s">
        <v>4069</v>
      </c>
      <c r="J1793" s="111"/>
      <c r="K1793" s="146" t="s">
        <v>5173</v>
      </c>
      <c r="L1793" s="148"/>
      <c r="M1793" s="173" t="s">
        <v>5183</v>
      </c>
      <c r="N1793" s="276"/>
      <c r="O1793" s="174"/>
      <c r="P1793" s="173" t="s">
        <v>5083</v>
      </c>
      <c r="Q1793" s="174"/>
      <c r="R1793" s="126">
        <v>13</v>
      </c>
      <c r="S1793" s="127"/>
      <c r="T1793" s="183">
        <v>9</v>
      </c>
      <c r="U1793" s="185"/>
      <c r="V1793" s="173" t="s">
        <v>5184</v>
      </c>
      <c r="W1793" s="174"/>
      <c r="X1793" s="255"/>
      <c r="Y1793" s="256"/>
      <c r="Z1793" s="257"/>
      <c r="AA1793" s="237"/>
      <c r="AB1793" s="238"/>
      <c r="AC1793" s="212"/>
      <c r="AD1793" s="213"/>
      <c r="AE1793" s="31"/>
      <c r="AF1793" s="214"/>
      <c r="AG1793" s="215"/>
      <c r="AH1793" s="216"/>
      <c r="AI1793" s="167"/>
      <c r="AJ1793" s="48"/>
      <c r="AK1793" s="15"/>
      <c r="AL1793" s="15"/>
    </row>
    <row r="1794" spans="1:38" ht="75" x14ac:dyDescent="0.3">
      <c r="A1794" s="178"/>
      <c r="B1794" s="303" t="s">
        <v>5187</v>
      </c>
      <c r="C1794" s="344"/>
      <c r="D1794" s="304"/>
      <c r="E1794" s="28" t="s">
        <v>5188</v>
      </c>
      <c r="F1794" s="233" t="s">
        <v>5189</v>
      </c>
      <c r="G1794" s="305"/>
      <c r="H1794" s="234"/>
      <c r="I1794" s="183">
        <v>16</v>
      </c>
      <c r="J1794" s="185"/>
      <c r="K1794" s="88" t="s">
        <v>5190</v>
      </c>
      <c r="L1794" s="89"/>
      <c r="M1794" s="173" t="s">
        <v>5191</v>
      </c>
      <c r="N1794" s="276"/>
      <c r="O1794" s="174"/>
      <c r="P1794" s="173" t="s">
        <v>5192</v>
      </c>
      <c r="Q1794" s="174"/>
      <c r="R1794" s="126" t="s">
        <v>903</v>
      </c>
      <c r="S1794" s="127"/>
      <c r="T1794" s="183">
        <v>10</v>
      </c>
      <c r="U1794" s="185"/>
      <c r="V1794" s="173" t="s">
        <v>5193</v>
      </c>
      <c r="W1794" s="174"/>
      <c r="X1794" s="252">
        <v>199</v>
      </c>
      <c r="Y1794" s="253"/>
      <c r="Z1794" s="254"/>
      <c r="AA1794" s="192" t="s">
        <v>2192</v>
      </c>
      <c r="AB1794" s="193"/>
      <c r="AC1794" s="171" t="s">
        <v>3194</v>
      </c>
      <c r="AD1794" s="172"/>
      <c r="AE1794" s="24" t="s">
        <v>5195</v>
      </c>
      <c r="AF1794" s="164"/>
      <c r="AG1794" s="165"/>
      <c r="AH1794" s="166"/>
      <c r="AI1794" s="167"/>
      <c r="AJ1794" s="48"/>
      <c r="AK1794" s="15"/>
      <c r="AL1794" s="15"/>
    </row>
    <row r="1795" spans="1:38" ht="75" x14ac:dyDescent="0.3">
      <c r="A1795" s="179"/>
      <c r="B1795" s="292"/>
      <c r="C1795" s="314"/>
      <c r="D1795" s="293"/>
      <c r="E1795" s="28" t="s">
        <v>5197</v>
      </c>
      <c r="F1795" s="235"/>
      <c r="G1795" s="270"/>
      <c r="H1795" s="236"/>
      <c r="I1795" s="183">
        <v>16</v>
      </c>
      <c r="J1795" s="185"/>
      <c r="K1795" s="126" t="s">
        <v>5190</v>
      </c>
      <c r="L1795" s="127"/>
      <c r="M1795" s="173" t="s">
        <v>5191</v>
      </c>
      <c r="N1795" s="276"/>
      <c r="O1795" s="174"/>
      <c r="P1795" s="173" t="s">
        <v>5192</v>
      </c>
      <c r="Q1795" s="174"/>
      <c r="R1795" s="126" t="s">
        <v>903</v>
      </c>
      <c r="S1795" s="127"/>
      <c r="T1795" s="183">
        <v>10</v>
      </c>
      <c r="U1795" s="185"/>
      <c r="V1795" s="173" t="s">
        <v>5193</v>
      </c>
      <c r="W1795" s="174"/>
      <c r="X1795" s="311"/>
      <c r="Y1795" s="312"/>
      <c r="Z1795" s="313"/>
      <c r="AA1795" s="272"/>
      <c r="AB1795" s="273"/>
      <c r="AC1795" s="162" t="s">
        <v>5194</v>
      </c>
      <c r="AD1795" s="163"/>
      <c r="AE1795" s="31" t="s">
        <v>1356</v>
      </c>
      <c r="AF1795" s="167"/>
      <c r="AG1795" s="168"/>
      <c r="AH1795" s="169"/>
      <c r="AI1795" s="167"/>
      <c r="AJ1795" s="48"/>
      <c r="AK1795" s="15"/>
      <c r="AL1795" s="15"/>
    </row>
    <row r="1796" spans="1:38" ht="75" x14ac:dyDescent="0.3">
      <c r="A1796" s="179"/>
      <c r="B1796" s="292"/>
      <c r="C1796" s="314"/>
      <c r="D1796" s="293"/>
      <c r="E1796" s="28" t="s">
        <v>5198</v>
      </c>
      <c r="F1796" s="235"/>
      <c r="G1796" s="270"/>
      <c r="H1796" s="236"/>
      <c r="I1796" s="183">
        <v>16</v>
      </c>
      <c r="J1796" s="185"/>
      <c r="K1796" s="126" t="s">
        <v>5190</v>
      </c>
      <c r="L1796" s="127"/>
      <c r="M1796" s="173" t="s">
        <v>5191</v>
      </c>
      <c r="N1796" s="276"/>
      <c r="O1796" s="174"/>
      <c r="P1796" s="173" t="s">
        <v>5192</v>
      </c>
      <c r="Q1796" s="174"/>
      <c r="R1796" s="126" t="s">
        <v>903</v>
      </c>
      <c r="S1796" s="127"/>
      <c r="T1796" s="183">
        <v>10</v>
      </c>
      <c r="U1796" s="185"/>
      <c r="V1796" s="173" t="s">
        <v>5193</v>
      </c>
      <c r="W1796" s="174"/>
      <c r="X1796" s="255"/>
      <c r="Y1796" s="256"/>
      <c r="Z1796" s="257"/>
      <c r="AA1796" s="194"/>
      <c r="AB1796" s="195"/>
      <c r="AC1796" s="162"/>
      <c r="AD1796" s="163"/>
      <c r="AE1796" s="31" t="s">
        <v>5196</v>
      </c>
      <c r="AF1796" s="167"/>
      <c r="AG1796" s="168"/>
      <c r="AH1796" s="169"/>
      <c r="AI1796" s="167"/>
      <c r="AJ1796" s="48"/>
      <c r="AK1796" s="15"/>
      <c r="AL1796" s="15"/>
    </row>
    <row r="1797" spans="1:38" ht="75" x14ac:dyDescent="0.3">
      <c r="A1797" s="179"/>
      <c r="B1797" s="292"/>
      <c r="C1797" s="314"/>
      <c r="D1797" s="293"/>
      <c r="E1797" s="28" t="s">
        <v>5199</v>
      </c>
      <c r="F1797" s="235"/>
      <c r="G1797" s="270"/>
      <c r="H1797" s="236"/>
      <c r="I1797" s="183">
        <v>16</v>
      </c>
      <c r="J1797" s="185"/>
      <c r="K1797" s="126" t="s">
        <v>5190</v>
      </c>
      <c r="L1797" s="127"/>
      <c r="M1797" s="173" t="s">
        <v>5200</v>
      </c>
      <c r="N1797" s="276"/>
      <c r="O1797" s="174"/>
      <c r="P1797" s="173" t="s">
        <v>5192</v>
      </c>
      <c r="Q1797" s="174"/>
      <c r="R1797" s="126" t="s">
        <v>903</v>
      </c>
      <c r="S1797" s="127"/>
      <c r="T1797" s="183">
        <v>10</v>
      </c>
      <c r="U1797" s="185"/>
      <c r="V1797" s="173" t="s">
        <v>5201</v>
      </c>
      <c r="W1797" s="174"/>
      <c r="X1797" s="252">
        <v>209</v>
      </c>
      <c r="Y1797" s="253"/>
      <c r="Z1797" s="254"/>
      <c r="AA1797" s="192" t="s">
        <v>1033</v>
      </c>
      <c r="AB1797" s="193"/>
      <c r="AC1797" s="162"/>
      <c r="AD1797" s="163"/>
      <c r="AE1797" s="31"/>
      <c r="AF1797" s="167"/>
      <c r="AG1797" s="168"/>
      <c r="AH1797" s="169"/>
      <c r="AI1797" s="167"/>
      <c r="AJ1797" s="48"/>
      <c r="AK1797" s="15"/>
      <c r="AL1797" s="15"/>
    </row>
    <row r="1798" spans="1:38" ht="75" x14ac:dyDescent="0.3">
      <c r="A1798" s="179"/>
      <c r="B1798" s="292"/>
      <c r="C1798" s="314"/>
      <c r="D1798" s="293"/>
      <c r="E1798" s="28" t="s">
        <v>5202</v>
      </c>
      <c r="F1798" s="235"/>
      <c r="G1798" s="270"/>
      <c r="H1798" s="236"/>
      <c r="I1798" s="183">
        <v>16</v>
      </c>
      <c r="J1798" s="185"/>
      <c r="K1798" s="126" t="s">
        <v>5190</v>
      </c>
      <c r="L1798" s="127"/>
      <c r="M1798" s="173" t="s">
        <v>5200</v>
      </c>
      <c r="N1798" s="276"/>
      <c r="O1798" s="174"/>
      <c r="P1798" s="173" t="s">
        <v>5192</v>
      </c>
      <c r="Q1798" s="174"/>
      <c r="R1798" s="126" t="s">
        <v>903</v>
      </c>
      <c r="S1798" s="127"/>
      <c r="T1798" s="183">
        <v>10</v>
      </c>
      <c r="U1798" s="185"/>
      <c r="V1798" s="173" t="s">
        <v>5201</v>
      </c>
      <c r="W1798" s="174"/>
      <c r="X1798" s="311"/>
      <c r="Y1798" s="312"/>
      <c r="Z1798" s="313"/>
      <c r="AA1798" s="272"/>
      <c r="AB1798" s="273"/>
      <c r="AC1798" s="162"/>
      <c r="AD1798" s="163"/>
      <c r="AE1798" s="31"/>
      <c r="AF1798" s="167"/>
      <c r="AG1798" s="168"/>
      <c r="AH1798" s="169"/>
      <c r="AI1798" s="167"/>
      <c r="AJ1798" s="48"/>
      <c r="AK1798" s="15"/>
      <c r="AL1798" s="15"/>
    </row>
    <row r="1799" spans="1:38" ht="75" x14ac:dyDescent="0.3">
      <c r="A1799" s="230"/>
      <c r="B1799" s="290"/>
      <c r="C1799" s="345"/>
      <c r="D1799" s="291"/>
      <c r="E1799" s="28" t="s">
        <v>5203</v>
      </c>
      <c r="F1799" s="237"/>
      <c r="G1799" s="306"/>
      <c r="H1799" s="238"/>
      <c r="I1799" s="183">
        <v>16</v>
      </c>
      <c r="J1799" s="185"/>
      <c r="K1799" s="117" t="s">
        <v>5190</v>
      </c>
      <c r="L1799" s="118"/>
      <c r="M1799" s="173" t="s">
        <v>5200</v>
      </c>
      <c r="N1799" s="276"/>
      <c r="O1799" s="174"/>
      <c r="P1799" s="173" t="s">
        <v>5192</v>
      </c>
      <c r="Q1799" s="174"/>
      <c r="R1799" s="117" t="s">
        <v>903</v>
      </c>
      <c r="S1799" s="118"/>
      <c r="T1799" s="183">
        <v>10</v>
      </c>
      <c r="U1799" s="185"/>
      <c r="V1799" s="173" t="s">
        <v>5201</v>
      </c>
      <c r="W1799" s="174"/>
      <c r="X1799" s="255"/>
      <c r="Y1799" s="256"/>
      <c r="Z1799" s="257"/>
      <c r="AA1799" s="194"/>
      <c r="AB1799" s="195"/>
      <c r="AC1799" s="212"/>
      <c r="AD1799" s="213"/>
      <c r="AE1799" s="31"/>
      <c r="AF1799" s="214"/>
      <c r="AG1799" s="215"/>
      <c r="AH1799" s="216"/>
      <c r="AI1799" s="214"/>
      <c r="AJ1799" s="48"/>
      <c r="AK1799" s="15"/>
      <c r="AL1799" s="15"/>
    </row>
    <row r="1800" spans="1:38" ht="90" x14ac:dyDescent="0.3">
      <c r="A1800" s="178"/>
      <c r="B1800" s="171" t="s">
        <v>5204</v>
      </c>
      <c r="C1800" s="407"/>
      <c r="D1800" s="172"/>
      <c r="E1800" s="28" t="s">
        <v>5205</v>
      </c>
      <c r="F1800" s="192" t="s">
        <v>5206</v>
      </c>
      <c r="G1800" s="196"/>
      <c r="H1800" s="193"/>
      <c r="I1800" s="110" t="s">
        <v>5207</v>
      </c>
      <c r="J1800" s="111"/>
      <c r="K1800" s="143" t="s">
        <v>5208</v>
      </c>
      <c r="L1800" s="145"/>
      <c r="M1800" s="285">
        <v>25</v>
      </c>
      <c r="N1800" s="400"/>
      <c r="O1800" s="286"/>
      <c r="P1800" s="173" t="s">
        <v>5209</v>
      </c>
      <c r="Q1800" s="174"/>
      <c r="R1800" s="112">
        <v>5</v>
      </c>
      <c r="S1800" s="113"/>
      <c r="T1800" s="183">
        <v>4</v>
      </c>
      <c r="U1800" s="185"/>
      <c r="V1800" s="173" t="s">
        <v>5210</v>
      </c>
      <c r="W1800" s="174"/>
      <c r="X1800" s="227">
        <v>58</v>
      </c>
      <c r="Y1800" s="228"/>
      <c r="Z1800" s="229"/>
      <c r="AA1800" s="110" t="s">
        <v>879</v>
      </c>
      <c r="AB1800" s="111"/>
      <c r="AC1800" s="112" t="s">
        <v>675</v>
      </c>
      <c r="AD1800" s="113"/>
      <c r="AE1800" s="16" t="s">
        <v>5213</v>
      </c>
      <c r="AF1800" s="171" t="s">
        <v>2540</v>
      </c>
      <c r="AG1800" s="407"/>
      <c r="AH1800" s="172"/>
      <c r="AI1800" s="24" t="s">
        <v>5215</v>
      </c>
      <c r="AJ1800" s="48"/>
      <c r="AK1800" s="15"/>
      <c r="AL1800" s="15"/>
    </row>
    <row r="1801" spans="1:38" ht="120" x14ac:dyDescent="0.3">
      <c r="A1801" s="179"/>
      <c r="B1801" s="162"/>
      <c r="C1801" s="170"/>
      <c r="D1801" s="163"/>
      <c r="E1801" s="28" t="s">
        <v>5217</v>
      </c>
      <c r="F1801" s="272"/>
      <c r="G1801" s="282"/>
      <c r="H1801" s="273"/>
      <c r="I1801" s="110" t="s">
        <v>5207</v>
      </c>
      <c r="J1801" s="111"/>
      <c r="K1801" s="104" t="s">
        <v>5208</v>
      </c>
      <c r="L1801" s="105"/>
      <c r="M1801" s="285">
        <v>25</v>
      </c>
      <c r="N1801" s="400"/>
      <c r="O1801" s="286"/>
      <c r="P1801" s="173" t="s">
        <v>5209</v>
      </c>
      <c r="Q1801" s="174"/>
      <c r="R1801" s="155">
        <v>5</v>
      </c>
      <c r="S1801" s="157"/>
      <c r="T1801" s="183">
        <v>4</v>
      </c>
      <c r="U1801" s="185"/>
      <c r="V1801" s="173" t="s">
        <v>5210</v>
      </c>
      <c r="W1801" s="174"/>
      <c r="X1801" s="227">
        <v>58</v>
      </c>
      <c r="Y1801" s="228"/>
      <c r="Z1801" s="229"/>
      <c r="AA1801" s="110" t="s">
        <v>879</v>
      </c>
      <c r="AB1801" s="111"/>
      <c r="AC1801" s="155" t="s">
        <v>5211</v>
      </c>
      <c r="AD1801" s="157"/>
      <c r="AE1801" s="43" t="s">
        <v>1356</v>
      </c>
      <c r="AF1801" s="162" t="s">
        <v>2541</v>
      </c>
      <c r="AG1801" s="170"/>
      <c r="AH1801" s="163"/>
      <c r="AI1801" s="31" t="s">
        <v>5216</v>
      </c>
      <c r="AJ1801" s="48"/>
      <c r="AK1801" s="15"/>
      <c r="AL1801" s="15"/>
    </row>
    <row r="1802" spans="1:38" ht="60" x14ac:dyDescent="0.3">
      <c r="A1802" s="179"/>
      <c r="B1802" s="212"/>
      <c r="C1802" s="408"/>
      <c r="D1802" s="213"/>
      <c r="E1802" s="28" t="s">
        <v>5218</v>
      </c>
      <c r="F1802" s="194"/>
      <c r="G1802" s="197"/>
      <c r="H1802" s="195"/>
      <c r="I1802" s="110" t="s">
        <v>5207</v>
      </c>
      <c r="J1802" s="111"/>
      <c r="K1802" s="146" t="s">
        <v>5208</v>
      </c>
      <c r="L1802" s="148"/>
      <c r="M1802" s="285">
        <v>27</v>
      </c>
      <c r="N1802" s="400"/>
      <c r="O1802" s="286"/>
      <c r="P1802" s="173" t="s">
        <v>5209</v>
      </c>
      <c r="Q1802" s="174"/>
      <c r="R1802" s="160">
        <v>5</v>
      </c>
      <c r="S1802" s="161"/>
      <c r="T1802" s="183">
        <v>4</v>
      </c>
      <c r="U1802" s="185"/>
      <c r="V1802" s="173" t="s">
        <v>5219</v>
      </c>
      <c r="W1802" s="174"/>
      <c r="X1802" s="227">
        <v>63</v>
      </c>
      <c r="Y1802" s="228"/>
      <c r="Z1802" s="229"/>
      <c r="AA1802" s="110" t="s">
        <v>674</v>
      </c>
      <c r="AB1802" s="111"/>
      <c r="AC1802" s="155" t="s">
        <v>2211</v>
      </c>
      <c r="AD1802" s="157"/>
      <c r="AE1802" s="43" t="s">
        <v>5214</v>
      </c>
      <c r="AF1802" s="162"/>
      <c r="AG1802" s="170"/>
      <c r="AH1802" s="163"/>
      <c r="AI1802" s="31"/>
      <c r="AJ1802" s="48"/>
      <c r="AK1802" s="15"/>
      <c r="AL1802" s="15"/>
    </row>
    <row r="1803" spans="1:38" ht="60" x14ac:dyDescent="0.3">
      <c r="A1803" s="179"/>
      <c r="B1803" s="303" t="s">
        <v>5220</v>
      </c>
      <c r="C1803" s="344"/>
      <c r="D1803" s="304"/>
      <c r="E1803" s="28" t="s">
        <v>5221</v>
      </c>
      <c r="F1803" s="192" t="s">
        <v>5222</v>
      </c>
      <c r="G1803" s="196"/>
      <c r="H1803" s="193"/>
      <c r="I1803" s="110" t="s">
        <v>5223</v>
      </c>
      <c r="J1803" s="111"/>
      <c r="K1803" s="143" t="s">
        <v>5224</v>
      </c>
      <c r="L1803" s="145"/>
      <c r="M1803" s="285">
        <v>31</v>
      </c>
      <c r="N1803" s="400"/>
      <c r="O1803" s="286"/>
      <c r="P1803" s="173" t="s">
        <v>5225</v>
      </c>
      <c r="Q1803" s="174"/>
      <c r="R1803" s="88">
        <v>7</v>
      </c>
      <c r="S1803" s="89"/>
      <c r="T1803" s="183">
        <v>4</v>
      </c>
      <c r="U1803" s="185"/>
      <c r="V1803" s="173" t="s">
        <v>5089</v>
      </c>
      <c r="W1803" s="174"/>
      <c r="X1803" s="227">
        <v>68</v>
      </c>
      <c r="Y1803" s="228"/>
      <c r="Z1803" s="229"/>
      <c r="AA1803" s="110" t="s">
        <v>1452</v>
      </c>
      <c r="AB1803" s="111"/>
      <c r="AC1803" s="155" t="s">
        <v>5212</v>
      </c>
      <c r="AD1803" s="157"/>
      <c r="AE1803" s="43"/>
      <c r="AF1803" s="162"/>
      <c r="AG1803" s="170"/>
      <c r="AH1803" s="163"/>
      <c r="AI1803" s="31"/>
      <c r="AJ1803" s="48"/>
      <c r="AK1803" s="15"/>
      <c r="AL1803" s="15"/>
    </row>
    <row r="1804" spans="1:38" ht="60" x14ac:dyDescent="0.3">
      <c r="A1804" s="179"/>
      <c r="B1804" s="292"/>
      <c r="C1804" s="314"/>
      <c r="D1804" s="293"/>
      <c r="E1804" s="28" t="s">
        <v>5226</v>
      </c>
      <c r="F1804" s="272"/>
      <c r="G1804" s="282"/>
      <c r="H1804" s="273"/>
      <c r="I1804" s="110" t="s">
        <v>5223</v>
      </c>
      <c r="J1804" s="111"/>
      <c r="K1804" s="104" t="s">
        <v>5224</v>
      </c>
      <c r="L1804" s="105"/>
      <c r="M1804" s="285">
        <v>31</v>
      </c>
      <c r="N1804" s="400"/>
      <c r="O1804" s="286"/>
      <c r="P1804" s="173" t="s">
        <v>5225</v>
      </c>
      <c r="Q1804" s="174"/>
      <c r="R1804" s="126">
        <v>7</v>
      </c>
      <c r="S1804" s="127"/>
      <c r="T1804" s="183">
        <v>4</v>
      </c>
      <c r="U1804" s="185"/>
      <c r="V1804" s="173" t="s">
        <v>5089</v>
      </c>
      <c r="W1804" s="174"/>
      <c r="X1804" s="227">
        <v>68</v>
      </c>
      <c r="Y1804" s="228"/>
      <c r="Z1804" s="229"/>
      <c r="AA1804" s="110" t="s">
        <v>1452</v>
      </c>
      <c r="AB1804" s="111"/>
      <c r="AC1804" s="155"/>
      <c r="AD1804" s="157"/>
      <c r="AE1804" s="43"/>
      <c r="AF1804" s="162"/>
      <c r="AG1804" s="170"/>
      <c r="AH1804" s="163"/>
      <c r="AI1804" s="31"/>
      <c r="AJ1804" s="48"/>
      <c r="AK1804" s="15"/>
      <c r="AL1804" s="15"/>
    </row>
    <row r="1805" spans="1:38" ht="60" x14ac:dyDescent="0.3">
      <c r="A1805" s="179"/>
      <c r="B1805" s="292"/>
      <c r="C1805" s="314"/>
      <c r="D1805" s="293"/>
      <c r="E1805" s="28" t="s">
        <v>5227</v>
      </c>
      <c r="F1805" s="194"/>
      <c r="G1805" s="197"/>
      <c r="H1805" s="195"/>
      <c r="I1805" s="110" t="s">
        <v>5223</v>
      </c>
      <c r="J1805" s="111"/>
      <c r="K1805" s="146" t="s">
        <v>5224</v>
      </c>
      <c r="L1805" s="148"/>
      <c r="M1805" s="285">
        <v>34</v>
      </c>
      <c r="N1805" s="400"/>
      <c r="O1805" s="286"/>
      <c r="P1805" s="173" t="s">
        <v>5225</v>
      </c>
      <c r="Q1805" s="174"/>
      <c r="R1805" s="126">
        <v>7</v>
      </c>
      <c r="S1805" s="127"/>
      <c r="T1805" s="183">
        <v>4</v>
      </c>
      <c r="U1805" s="185"/>
      <c r="V1805" s="173" t="s">
        <v>5228</v>
      </c>
      <c r="W1805" s="174"/>
      <c r="X1805" s="227">
        <v>73</v>
      </c>
      <c r="Y1805" s="228"/>
      <c r="Z1805" s="229"/>
      <c r="AA1805" s="110" t="s">
        <v>758</v>
      </c>
      <c r="AB1805" s="111"/>
      <c r="AC1805" s="155"/>
      <c r="AD1805" s="157"/>
      <c r="AE1805" s="43"/>
      <c r="AF1805" s="162"/>
      <c r="AG1805" s="170"/>
      <c r="AH1805" s="163"/>
      <c r="AI1805" s="31"/>
      <c r="AJ1805" s="48"/>
      <c r="AK1805" s="15"/>
      <c r="AL1805" s="15"/>
    </row>
    <row r="1806" spans="1:38" ht="60" x14ac:dyDescent="0.3">
      <c r="A1806" s="179"/>
      <c r="B1806" s="292"/>
      <c r="C1806" s="314"/>
      <c r="D1806" s="293"/>
      <c r="E1806" s="28" t="s">
        <v>5229</v>
      </c>
      <c r="F1806" s="192" t="s">
        <v>5230</v>
      </c>
      <c r="G1806" s="196"/>
      <c r="H1806" s="193"/>
      <c r="I1806" s="183">
        <v>4</v>
      </c>
      <c r="J1806" s="185"/>
      <c r="K1806" s="143" t="s">
        <v>5231</v>
      </c>
      <c r="L1806" s="145"/>
      <c r="M1806" s="285">
        <v>32</v>
      </c>
      <c r="N1806" s="400"/>
      <c r="O1806" s="286"/>
      <c r="P1806" s="173" t="s">
        <v>5232</v>
      </c>
      <c r="Q1806" s="174"/>
      <c r="R1806" s="126" t="s">
        <v>1152</v>
      </c>
      <c r="S1806" s="127"/>
      <c r="T1806" s="183">
        <v>4</v>
      </c>
      <c r="U1806" s="185"/>
      <c r="V1806" s="173" t="s">
        <v>5233</v>
      </c>
      <c r="W1806" s="174"/>
      <c r="X1806" s="227">
        <v>78</v>
      </c>
      <c r="Y1806" s="228"/>
      <c r="Z1806" s="229"/>
      <c r="AA1806" s="110" t="s">
        <v>688</v>
      </c>
      <c r="AB1806" s="111"/>
      <c r="AC1806" s="155"/>
      <c r="AD1806" s="157"/>
      <c r="AE1806" s="43"/>
      <c r="AF1806" s="162"/>
      <c r="AG1806" s="170"/>
      <c r="AH1806" s="163"/>
      <c r="AI1806" s="31"/>
      <c r="AJ1806" s="48"/>
      <c r="AK1806" s="15"/>
      <c r="AL1806" s="15"/>
    </row>
    <row r="1807" spans="1:38" ht="60" x14ac:dyDescent="0.3">
      <c r="A1807" s="179"/>
      <c r="B1807" s="292"/>
      <c r="C1807" s="314"/>
      <c r="D1807" s="293"/>
      <c r="E1807" s="28" t="s">
        <v>5234</v>
      </c>
      <c r="F1807" s="272"/>
      <c r="G1807" s="282"/>
      <c r="H1807" s="273"/>
      <c r="I1807" s="183">
        <v>4</v>
      </c>
      <c r="J1807" s="185"/>
      <c r="K1807" s="104" t="s">
        <v>5231</v>
      </c>
      <c r="L1807" s="105"/>
      <c r="M1807" s="285">
        <v>32</v>
      </c>
      <c r="N1807" s="400"/>
      <c r="O1807" s="286"/>
      <c r="P1807" s="173" t="s">
        <v>5232</v>
      </c>
      <c r="Q1807" s="174"/>
      <c r="R1807" s="126" t="s">
        <v>1152</v>
      </c>
      <c r="S1807" s="127"/>
      <c r="T1807" s="183">
        <v>4</v>
      </c>
      <c r="U1807" s="185"/>
      <c r="V1807" s="173" t="s">
        <v>5233</v>
      </c>
      <c r="W1807" s="174"/>
      <c r="X1807" s="227">
        <v>78</v>
      </c>
      <c r="Y1807" s="228"/>
      <c r="Z1807" s="229"/>
      <c r="AA1807" s="110" t="s">
        <v>688</v>
      </c>
      <c r="AB1807" s="111"/>
      <c r="AC1807" s="155"/>
      <c r="AD1807" s="157"/>
      <c r="AE1807" s="43"/>
      <c r="AF1807" s="162"/>
      <c r="AG1807" s="170"/>
      <c r="AH1807" s="163"/>
      <c r="AI1807" s="31"/>
      <c r="AJ1807" s="48"/>
      <c r="AK1807" s="15"/>
      <c r="AL1807" s="15"/>
    </row>
    <row r="1808" spans="1:38" ht="60" x14ac:dyDescent="0.3">
      <c r="A1808" s="230"/>
      <c r="B1808" s="290"/>
      <c r="C1808" s="345"/>
      <c r="D1808" s="291"/>
      <c r="E1808" s="28" t="s">
        <v>5235</v>
      </c>
      <c r="F1808" s="194"/>
      <c r="G1808" s="197"/>
      <c r="H1808" s="195"/>
      <c r="I1808" s="183">
        <v>4</v>
      </c>
      <c r="J1808" s="185"/>
      <c r="K1808" s="146" t="s">
        <v>5231</v>
      </c>
      <c r="L1808" s="148"/>
      <c r="M1808" s="285">
        <v>35</v>
      </c>
      <c r="N1808" s="400"/>
      <c r="O1808" s="286"/>
      <c r="P1808" s="173" t="s">
        <v>5232</v>
      </c>
      <c r="Q1808" s="174"/>
      <c r="R1808" s="117" t="s">
        <v>1152</v>
      </c>
      <c r="S1808" s="118"/>
      <c r="T1808" s="183">
        <v>4</v>
      </c>
      <c r="U1808" s="185"/>
      <c r="V1808" s="173" t="s">
        <v>3470</v>
      </c>
      <c r="W1808" s="174"/>
      <c r="X1808" s="227">
        <v>83</v>
      </c>
      <c r="Y1808" s="228"/>
      <c r="Z1808" s="229"/>
      <c r="AA1808" s="110" t="s">
        <v>688</v>
      </c>
      <c r="AB1808" s="111"/>
      <c r="AC1808" s="160"/>
      <c r="AD1808" s="161"/>
      <c r="AE1808" s="43"/>
      <c r="AF1808" s="212"/>
      <c r="AG1808" s="408"/>
      <c r="AH1808" s="213"/>
      <c r="AI1808" s="31"/>
      <c r="AJ1808" s="48"/>
      <c r="AK1808" s="15"/>
      <c r="AL1808" s="15"/>
    </row>
    <row r="1809" spans="1:38" ht="90" x14ac:dyDescent="0.3">
      <c r="A1809" s="178"/>
      <c r="B1809" s="303" t="s">
        <v>5236</v>
      </c>
      <c r="C1809" s="344"/>
      <c r="D1809" s="304"/>
      <c r="E1809" s="28" t="s">
        <v>5237</v>
      </c>
      <c r="F1809" s="233" t="s">
        <v>5238</v>
      </c>
      <c r="G1809" s="305"/>
      <c r="H1809" s="234"/>
      <c r="I1809" s="110" t="s">
        <v>1369</v>
      </c>
      <c r="J1809" s="111"/>
      <c r="K1809" s="143" t="s">
        <v>5239</v>
      </c>
      <c r="L1809" s="145"/>
      <c r="M1809" s="173" t="s">
        <v>5240</v>
      </c>
      <c r="N1809" s="276"/>
      <c r="O1809" s="174"/>
      <c r="P1809" s="384" t="s">
        <v>5241</v>
      </c>
      <c r="Q1809" s="386"/>
      <c r="R1809" s="88" t="s">
        <v>3478</v>
      </c>
      <c r="S1809" s="89"/>
      <c r="T1809" s="183">
        <v>6</v>
      </c>
      <c r="U1809" s="185"/>
      <c r="V1809" s="173" t="s">
        <v>1496</v>
      </c>
      <c r="W1809" s="174"/>
      <c r="X1809" s="252">
        <v>79</v>
      </c>
      <c r="Y1809" s="253"/>
      <c r="Z1809" s="254"/>
      <c r="AA1809" s="233" t="s">
        <v>1739</v>
      </c>
      <c r="AB1809" s="234"/>
      <c r="AC1809" s="171" t="s">
        <v>3194</v>
      </c>
      <c r="AD1809" s="172"/>
      <c r="AE1809" s="24" t="s">
        <v>5244</v>
      </c>
      <c r="AF1809" s="164"/>
      <c r="AG1809" s="165"/>
      <c r="AH1809" s="166"/>
      <c r="AI1809" s="164"/>
      <c r="AJ1809" s="48"/>
      <c r="AK1809" s="15"/>
      <c r="AL1809" s="15"/>
    </row>
    <row r="1810" spans="1:38" ht="75" x14ac:dyDescent="0.3">
      <c r="A1810" s="179"/>
      <c r="B1810" s="292"/>
      <c r="C1810" s="314"/>
      <c r="D1810" s="293"/>
      <c r="E1810" s="28" t="s">
        <v>5246</v>
      </c>
      <c r="F1810" s="235"/>
      <c r="G1810" s="270"/>
      <c r="H1810" s="236"/>
      <c r="I1810" s="110" t="s">
        <v>1369</v>
      </c>
      <c r="J1810" s="111"/>
      <c r="K1810" s="104" t="s">
        <v>5239</v>
      </c>
      <c r="L1810" s="105"/>
      <c r="M1810" s="173" t="s">
        <v>5240</v>
      </c>
      <c r="N1810" s="276"/>
      <c r="O1810" s="174"/>
      <c r="P1810" s="384" t="s">
        <v>5241</v>
      </c>
      <c r="Q1810" s="386"/>
      <c r="R1810" s="126" t="s">
        <v>3478</v>
      </c>
      <c r="S1810" s="127"/>
      <c r="T1810" s="183">
        <v>6</v>
      </c>
      <c r="U1810" s="185"/>
      <c r="V1810" s="173" t="s">
        <v>1496</v>
      </c>
      <c r="W1810" s="174"/>
      <c r="X1810" s="311"/>
      <c r="Y1810" s="312"/>
      <c r="Z1810" s="313"/>
      <c r="AA1810" s="235"/>
      <c r="AB1810" s="236"/>
      <c r="AC1810" s="162" t="s">
        <v>5242</v>
      </c>
      <c r="AD1810" s="163"/>
      <c r="AE1810" s="31" t="s">
        <v>1356</v>
      </c>
      <c r="AF1810" s="167"/>
      <c r="AG1810" s="168"/>
      <c r="AH1810" s="169"/>
      <c r="AI1810" s="167"/>
      <c r="AJ1810" s="48"/>
      <c r="AK1810" s="15"/>
      <c r="AL1810" s="15"/>
    </row>
    <row r="1811" spans="1:38" ht="90" x14ac:dyDescent="0.3">
      <c r="A1811" s="179"/>
      <c r="B1811" s="292"/>
      <c r="C1811" s="314"/>
      <c r="D1811" s="293"/>
      <c r="E1811" s="28" t="s">
        <v>5247</v>
      </c>
      <c r="F1811" s="235"/>
      <c r="G1811" s="270"/>
      <c r="H1811" s="236"/>
      <c r="I1811" s="110" t="s">
        <v>1369</v>
      </c>
      <c r="J1811" s="111"/>
      <c r="K1811" s="104" t="s">
        <v>5239</v>
      </c>
      <c r="L1811" s="105"/>
      <c r="M1811" s="173" t="s">
        <v>5240</v>
      </c>
      <c r="N1811" s="276"/>
      <c r="O1811" s="174"/>
      <c r="P1811" s="384" t="s">
        <v>5241</v>
      </c>
      <c r="Q1811" s="386"/>
      <c r="R1811" s="126" t="s">
        <v>3478</v>
      </c>
      <c r="S1811" s="127"/>
      <c r="T1811" s="183">
        <v>6</v>
      </c>
      <c r="U1811" s="185"/>
      <c r="V1811" s="173" t="s">
        <v>1496</v>
      </c>
      <c r="W1811" s="174"/>
      <c r="X1811" s="255"/>
      <c r="Y1811" s="256"/>
      <c r="Z1811" s="257"/>
      <c r="AA1811" s="237"/>
      <c r="AB1811" s="238"/>
      <c r="AC1811" s="162" t="s">
        <v>2211</v>
      </c>
      <c r="AD1811" s="163"/>
      <c r="AE1811" s="31" t="s">
        <v>5245</v>
      </c>
      <c r="AF1811" s="167"/>
      <c r="AG1811" s="168"/>
      <c r="AH1811" s="169"/>
      <c r="AI1811" s="167"/>
      <c r="AJ1811" s="48"/>
      <c r="AK1811" s="15"/>
      <c r="AL1811" s="15"/>
    </row>
    <row r="1812" spans="1:38" ht="75" x14ac:dyDescent="0.3">
      <c r="A1812" s="179"/>
      <c r="B1812" s="292"/>
      <c r="C1812" s="314"/>
      <c r="D1812" s="293"/>
      <c r="E1812" s="28" t="s">
        <v>5248</v>
      </c>
      <c r="F1812" s="235"/>
      <c r="G1812" s="270"/>
      <c r="H1812" s="236"/>
      <c r="I1812" s="110" t="s">
        <v>1369</v>
      </c>
      <c r="J1812" s="111"/>
      <c r="K1812" s="104" t="s">
        <v>5239</v>
      </c>
      <c r="L1812" s="105"/>
      <c r="M1812" s="173" t="s">
        <v>5249</v>
      </c>
      <c r="N1812" s="276"/>
      <c r="O1812" s="174"/>
      <c r="P1812" s="384" t="s">
        <v>5241</v>
      </c>
      <c r="Q1812" s="386"/>
      <c r="R1812" s="126" t="s">
        <v>3478</v>
      </c>
      <c r="S1812" s="127"/>
      <c r="T1812" s="183">
        <v>6</v>
      </c>
      <c r="U1812" s="185"/>
      <c r="V1812" s="173" t="s">
        <v>5250</v>
      </c>
      <c r="W1812" s="174"/>
      <c r="X1812" s="252">
        <v>85</v>
      </c>
      <c r="Y1812" s="253"/>
      <c r="Z1812" s="254"/>
      <c r="AA1812" s="233" t="s">
        <v>1338</v>
      </c>
      <c r="AB1812" s="234"/>
      <c r="AC1812" s="162" t="s">
        <v>5243</v>
      </c>
      <c r="AD1812" s="163"/>
      <c r="AE1812" s="31"/>
      <c r="AF1812" s="167"/>
      <c r="AG1812" s="168"/>
      <c r="AH1812" s="169"/>
      <c r="AI1812" s="167"/>
      <c r="AJ1812" s="48"/>
      <c r="AK1812" s="15"/>
      <c r="AL1812" s="15"/>
    </row>
    <row r="1813" spans="1:38" ht="75" x14ac:dyDescent="0.3">
      <c r="A1813" s="179"/>
      <c r="B1813" s="292"/>
      <c r="C1813" s="314"/>
      <c r="D1813" s="293"/>
      <c r="E1813" s="28" t="s">
        <v>5251</v>
      </c>
      <c r="F1813" s="235"/>
      <c r="G1813" s="270"/>
      <c r="H1813" s="236"/>
      <c r="I1813" s="110" t="s">
        <v>1369</v>
      </c>
      <c r="J1813" s="111"/>
      <c r="K1813" s="104" t="s">
        <v>5239</v>
      </c>
      <c r="L1813" s="105"/>
      <c r="M1813" s="173" t="s">
        <v>5249</v>
      </c>
      <c r="N1813" s="276"/>
      <c r="O1813" s="174"/>
      <c r="P1813" s="384" t="s">
        <v>5241</v>
      </c>
      <c r="Q1813" s="386"/>
      <c r="R1813" s="126" t="s">
        <v>3478</v>
      </c>
      <c r="S1813" s="127"/>
      <c r="T1813" s="183">
        <v>6</v>
      </c>
      <c r="U1813" s="185"/>
      <c r="V1813" s="173" t="s">
        <v>5250</v>
      </c>
      <c r="W1813" s="174"/>
      <c r="X1813" s="311"/>
      <c r="Y1813" s="312"/>
      <c r="Z1813" s="313"/>
      <c r="AA1813" s="235"/>
      <c r="AB1813" s="236"/>
      <c r="AC1813" s="162"/>
      <c r="AD1813" s="163"/>
      <c r="AE1813" s="31"/>
      <c r="AF1813" s="167"/>
      <c r="AG1813" s="168"/>
      <c r="AH1813" s="169"/>
      <c r="AI1813" s="167"/>
      <c r="AJ1813" s="48"/>
      <c r="AK1813" s="15"/>
      <c r="AL1813" s="15"/>
    </row>
    <row r="1814" spans="1:38" ht="75" x14ac:dyDescent="0.3">
      <c r="A1814" s="230"/>
      <c r="B1814" s="290"/>
      <c r="C1814" s="345"/>
      <c r="D1814" s="291"/>
      <c r="E1814" s="28" t="s">
        <v>5252</v>
      </c>
      <c r="F1814" s="237"/>
      <c r="G1814" s="306"/>
      <c r="H1814" s="238"/>
      <c r="I1814" s="110" t="s">
        <v>1369</v>
      </c>
      <c r="J1814" s="111"/>
      <c r="K1814" s="146" t="s">
        <v>5239</v>
      </c>
      <c r="L1814" s="148"/>
      <c r="M1814" s="173" t="s">
        <v>5249</v>
      </c>
      <c r="N1814" s="276"/>
      <c r="O1814" s="174"/>
      <c r="P1814" s="384" t="s">
        <v>5241</v>
      </c>
      <c r="Q1814" s="386"/>
      <c r="R1814" s="117" t="s">
        <v>3478</v>
      </c>
      <c r="S1814" s="118"/>
      <c r="T1814" s="183">
        <v>6</v>
      </c>
      <c r="U1814" s="185"/>
      <c r="V1814" s="173" t="s">
        <v>5250</v>
      </c>
      <c r="W1814" s="174"/>
      <c r="X1814" s="255"/>
      <c r="Y1814" s="256"/>
      <c r="Z1814" s="257"/>
      <c r="AA1814" s="237"/>
      <c r="AB1814" s="238"/>
      <c r="AC1814" s="212"/>
      <c r="AD1814" s="213"/>
      <c r="AE1814" s="31"/>
      <c r="AF1814" s="214"/>
      <c r="AG1814" s="215"/>
      <c r="AH1814" s="216"/>
      <c r="AI1814" s="167"/>
      <c r="AJ1814" s="48"/>
      <c r="AK1814" s="15"/>
      <c r="AL1814" s="15"/>
    </row>
    <row r="1815" spans="1:38" ht="90" x14ac:dyDescent="0.3">
      <c r="A1815" s="178"/>
      <c r="B1815" s="303" t="s">
        <v>5253</v>
      </c>
      <c r="C1815" s="344"/>
      <c r="D1815" s="304"/>
      <c r="E1815" s="19" t="s">
        <v>5254</v>
      </c>
      <c r="F1815" s="233" t="s">
        <v>5255</v>
      </c>
      <c r="G1815" s="305"/>
      <c r="H1815" s="234"/>
      <c r="I1815" s="349">
        <v>4</v>
      </c>
      <c r="J1815" s="350"/>
      <c r="K1815" s="143" t="s">
        <v>5256</v>
      </c>
      <c r="L1815" s="145"/>
      <c r="M1815" s="349">
        <v>40</v>
      </c>
      <c r="N1815" s="423"/>
      <c r="O1815" s="350"/>
      <c r="P1815" s="349">
        <v>4</v>
      </c>
      <c r="Q1815" s="350"/>
      <c r="R1815" s="88" t="s">
        <v>3489</v>
      </c>
      <c r="S1815" s="89"/>
      <c r="T1815" s="349">
        <v>6</v>
      </c>
      <c r="U1815" s="350"/>
      <c r="V1815" s="332" t="s">
        <v>2326</v>
      </c>
      <c r="W1815" s="333"/>
      <c r="X1815" s="334">
        <v>65</v>
      </c>
      <c r="Y1815" s="335"/>
      <c r="Z1815" s="336"/>
      <c r="AA1815" s="337" t="s">
        <v>1486</v>
      </c>
      <c r="AB1815" s="338"/>
      <c r="AC1815" s="223" t="s">
        <v>3194</v>
      </c>
      <c r="AD1815" s="224"/>
      <c r="AE1815" s="24" t="s">
        <v>5259</v>
      </c>
      <c r="AF1815" s="164"/>
      <c r="AG1815" s="165"/>
      <c r="AH1815" s="166"/>
      <c r="AI1815" s="167"/>
      <c r="AJ1815" s="48"/>
      <c r="AK1815" s="15"/>
      <c r="AL1815" s="15"/>
    </row>
    <row r="1816" spans="1:38" ht="60" x14ac:dyDescent="0.3">
      <c r="A1816" s="179"/>
      <c r="B1816" s="292"/>
      <c r="C1816" s="314"/>
      <c r="D1816" s="293"/>
      <c r="E1816" s="19" t="s">
        <v>5261</v>
      </c>
      <c r="F1816" s="235"/>
      <c r="G1816" s="270"/>
      <c r="H1816" s="236"/>
      <c r="I1816" s="349">
        <v>4</v>
      </c>
      <c r="J1816" s="350"/>
      <c r="K1816" s="104" t="s">
        <v>5256</v>
      </c>
      <c r="L1816" s="105"/>
      <c r="M1816" s="349">
        <v>36</v>
      </c>
      <c r="N1816" s="423"/>
      <c r="O1816" s="350"/>
      <c r="P1816" s="349">
        <v>4</v>
      </c>
      <c r="Q1816" s="350"/>
      <c r="R1816" s="126" t="s">
        <v>3489</v>
      </c>
      <c r="S1816" s="127"/>
      <c r="T1816" s="349">
        <v>6</v>
      </c>
      <c r="U1816" s="350"/>
      <c r="V1816" s="332" t="s">
        <v>3889</v>
      </c>
      <c r="W1816" s="333"/>
      <c r="X1816" s="252">
        <v>59</v>
      </c>
      <c r="Y1816" s="253"/>
      <c r="Z1816" s="254"/>
      <c r="AA1816" s="233" t="s">
        <v>5262</v>
      </c>
      <c r="AB1816" s="234"/>
      <c r="AC1816" s="239" t="s">
        <v>5257</v>
      </c>
      <c r="AD1816" s="240"/>
      <c r="AE1816" s="31" t="s">
        <v>1356</v>
      </c>
      <c r="AF1816" s="167"/>
      <c r="AG1816" s="168"/>
      <c r="AH1816" s="169"/>
      <c r="AI1816" s="167"/>
      <c r="AJ1816" s="48"/>
      <c r="AK1816" s="15"/>
      <c r="AL1816" s="15"/>
    </row>
    <row r="1817" spans="1:38" ht="60" x14ac:dyDescent="0.3">
      <c r="A1817" s="230"/>
      <c r="B1817" s="290"/>
      <c r="C1817" s="345"/>
      <c r="D1817" s="291"/>
      <c r="E1817" s="19" t="s">
        <v>5263</v>
      </c>
      <c r="F1817" s="237"/>
      <c r="G1817" s="306"/>
      <c r="H1817" s="238"/>
      <c r="I1817" s="349">
        <v>4</v>
      </c>
      <c r="J1817" s="350"/>
      <c r="K1817" s="146" t="s">
        <v>5256</v>
      </c>
      <c r="L1817" s="148"/>
      <c r="M1817" s="349">
        <v>36</v>
      </c>
      <c r="N1817" s="423"/>
      <c r="O1817" s="350"/>
      <c r="P1817" s="349">
        <v>4</v>
      </c>
      <c r="Q1817" s="350"/>
      <c r="R1817" s="117" t="s">
        <v>3489</v>
      </c>
      <c r="S1817" s="118"/>
      <c r="T1817" s="349">
        <v>6</v>
      </c>
      <c r="U1817" s="350"/>
      <c r="V1817" s="332" t="s">
        <v>3889</v>
      </c>
      <c r="W1817" s="333"/>
      <c r="X1817" s="255"/>
      <c r="Y1817" s="256"/>
      <c r="Z1817" s="257"/>
      <c r="AA1817" s="237"/>
      <c r="AB1817" s="238"/>
      <c r="AC1817" s="225" t="s">
        <v>5258</v>
      </c>
      <c r="AD1817" s="226"/>
      <c r="AE1817" s="31" t="s">
        <v>5260</v>
      </c>
      <c r="AF1817" s="214"/>
      <c r="AG1817" s="215"/>
      <c r="AH1817" s="216"/>
      <c r="AI1817" s="167"/>
      <c r="AJ1817" s="48"/>
      <c r="AK1817" s="15"/>
      <c r="AL1817" s="15"/>
    </row>
    <row r="1818" spans="1:38" ht="75" x14ac:dyDescent="0.25">
      <c r="A1818" s="178"/>
      <c r="B1818" s="303" t="s">
        <v>5264</v>
      </c>
      <c r="C1818" s="344"/>
      <c r="D1818" s="304"/>
      <c r="E1818" s="28" t="s">
        <v>5265</v>
      </c>
      <c r="F1818" s="233" t="s">
        <v>5266</v>
      </c>
      <c r="G1818" s="305"/>
      <c r="H1818" s="234"/>
      <c r="I1818" s="110" t="s">
        <v>1062</v>
      </c>
      <c r="J1818" s="111"/>
      <c r="K1818" s="110" t="s">
        <v>5267</v>
      </c>
      <c r="L1818" s="111"/>
      <c r="M1818" s="285">
        <v>64</v>
      </c>
      <c r="N1818" s="400"/>
      <c r="O1818" s="286"/>
      <c r="P1818" s="173" t="s">
        <v>5268</v>
      </c>
      <c r="Q1818" s="174"/>
      <c r="R1818" s="486">
        <v>9</v>
      </c>
      <c r="S1818" s="487"/>
      <c r="T1818" s="183">
        <v>6</v>
      </c>
      <c r="U1818" s="185"/>
      <c r="V1818" s="173" t="s">
        <v>5269</v>
      </c>
      <c r="W1818" s="174"/>
      <c r="X1818" s="252">
        <v>109</v>
      </c>
      <c r="Y1818" s="253"/>
      <c r="Z1818" s="254"/>
      <c r="AA1818" s="233" t="s">
        <v>1038</v>
      </c>
      <c r="AB1818" s="234"/>
      <c r="AC1818" s="223" t="s">
        <v>675</v>
      </c>
      <c r="AD1818" s="224"/>
      <c r="AE1818" s="24" t="s">
        <v>5272</v>
      </c>
      <c r="AF1818" s="303" t="s">
        <v>909</v>
      </c>
      <c r="AG1818" s="344"/>
      <c r="AH1818" s="304"/>
      <c r="AI1818" s="167"/>
      <c r="AJ1818" s="48"/>
      <c r="AK1818" s="15"/>
      <c r="AL1818" s="15"/>
    </row>
    <row r="1819" spans="1:38" ht="60" x14ac:dyDescent="0.25">
      <c r="A1819" s="179"/>
      <c r="B1819" s="292"/>
      <c r="C1819" s="314"/>
      <c r="D1819" s="293"/>
      <c r="E1819" s="28" t="s">
        <v>5274</v>
      </c>
      <c r="F1819" s="235"/>
      <c r="G1819" s="270"/>
      <c r="H1819" s="236"/>
      <c r="I1819" s="110" t="s">
        <v>1062</v>
      </c>
      <c r="J1819" s="111"/>
      <c r="K1819" s="110" t="s">
        <v>5267</v>
      </c>
      <c r="L1819" s="111"/>
      <c r="M1819" s="285">
        <v>64</v>
      </c>
      <c r="N1819" s="400"/>
      <c r="O1819" s="286"/>
      <c r="P1819" s="173" t="s">
        <v>5268</v>
      </c>
      <c r="Q1819" s="174"/>
      <c r="R1819" s="486">
        <v>9</v>
      </c>
      <c r="S1819" s="487"/>
      <c r="T1819" s="183">
        <v>6</v>
      </c>
      <c r="U1819" s="185"/>
      <c r="V1819" s="173" t="s">
        <v>5269</v>
      </c>
      <c r="W1819" s="174"/>
      <c r="X1819" s="311"/>
      <c r="Y1819" s="312"/>
      <c r="Z1819" s="313"/>
      <c r="AA1819" s="235"/>
      <c r="AB1819" s="236"/>
      <c r="AC1819" s="239" t="s">
        <v>5270</v>
      </c>
      <c r="AD1819" s="240"/>
      <c r="AE1819" s="31" t="s">
        <v>1356</v>
      </c>
      <c r="AF1819" s="292" t="s">
        <v>2541</v>
      </c>
      <c r="AG1819" s="314"/>
      <c r="AH1819" s="293"/>
      <c r="AI1819" s="167"/>
      <c r="AJ1819" s="48"/>
      <c r="AK1819" s="15"/>
      <c r="AL1819" s="15"/>
    </row>
    <row r="1820" spans="1:38" ht="60" x14ac:dyDescent="0.25">
      <c r="A1820" s="179"/>
      <c r="B1820" s="292"/>
      <c r="C1820" s="314"/>
      <c r="D1820" s="293"/>
      <c r="E1820" s="28" t="s">
        <v>5275</v>
      </c>
      <c r="F1820" s="235"/>
      <c r="G1820" s="270"/>
      <c r="H1820" s="236"/>
      <c r="I1820" s="110" t="s">
        <v>1062</v>
      </c>
      <c r="J1820" s="111"/>
      <c r="K1820" s="110" t="s">
        <v>5267</v>
      </c>
      <c r="L1820" s="111"/>
      <c r="M1820" s="285">
        <v>64</v>
      </c>
      <c r="N1820" s="400"/>
      <c r="O1820" s="286"/>
      <c r="P1820" s="173" t="s">
        <v>5268</v>
      </c>
      <c r="Q1820" s="174"/>
      <c r="R1820" s="486">
        <v>9</v>
      </c>
      <c r="S1820" s="487"/>
      <c r="T1820" s="183">
        <v>6</v>
      </c>
      <c r="U1820" s="185"/>
      <c r="V1820" s="173" t="s">
        <v>5269</v>
      </c>
      <c r="W1820" s="174"/>
      <c r="X1820" s="311"/>
      <c r="Y1820" s="312"/>
      <c r="Z1820" s="313"/>
      <c r="AA1820" s="235"/>
      <c r="AB1820" s="236"/>
      <c r="AC1820" s="239" t="s">
        <v>677</v>
      </c>
      <c r="AD1820" s="240"/>
      <c r="AE1820" s="31" t="s">
        <v>5273</v>
      </c>
      <c r="AF1820" s="292"/>
      <c r="AG1820" s="314"/>
      <c r="AH1820" s="293"/>
      <c r="AI1820" s="167"/>
      <c r="AJ1820" s="48"/>
      <c r="AK1820" s="15"/>
      <c r="AL1820" s="15"/>
    </row>
    <row r="1821" spans="1:38" ht="60" x14ac:dyDescent="0.25">
      <c r="A1821" s="179"/>
      <c r="B1821" s="292"/>
      <c r="C1821" s="314"/>
      <c r="D1821" s="293"/>
      <c r="E1821" s="28" t="s">
        <v>5276</v>
      </c>
      <c r="F1821" s="235"/>
      <c r="G1821" s="270"/>
      <c r="H1821" s="236"/>
      <c r="I1821" s="110" t="s">
        <v>1062</v>
      </c>
      <c r="J1821" s="111"/>
      <c r="K1821" s="110" t="s">
        <v>5267</v>
      </c>
      <c r="L1821" s="111"/>
      <c r="M1821" s="285">
        <v>64</v>
      </c>
      <c r="N1821" s="400"/>
      <c r="O1821" s="286"/>
      <c r="P1821" s="173" t="s">
        <v>5268</v>
      </c>
      <c r="Q1821" s="174"/>
      <c r="R1821" s="486">
        <v>9</v>
      </c>
      <c r="S1821" s="487"/>
      <c r="T1821" s="183">
        <v>6</v>
      </c>
      <c r="U1821" s="185"/>
      <c r="V1821" s="173" t="s">
        <v>5269</v>
      </c>
      <c r="W1821" s="174"/>
      <c r="X1821" s="311"/>
      <c r="Y1821" s="312"/>
      <c r="Z1821" s="313"/>
      <c r="AA1821" s="235"/>
      <c r="AB1821" s="236"/>
      <c r="AC1821" s="239" t="s">
        <v>678</v>
      </c>
      <c r="AD1821" s="240"/>
      <c r="AE1821" s="31"/>
      <c r="AF1821" s="292"/>
      <c r="AG1821" s="314"/>
      <c r="AH1821" s="293"/>
      <c r="AI1821" s="167"/>
      <c r="AJ1821" s="48"/>
      <c r="AK1821" s="15"/>
      <c r="AL1821" s="15"/>
    </row>
    <row r="1822" spans="1:38" ht="60" x14ac:dyDescent="0.25">
      <c r="A1822" s="179"/>
      <c r="B1822" s="292"/>
      <c r="C1822" s="314"/>
      <c r="D1822" s="293"/>
      <c r="E1822" s="28" t="s">
        <v>5277</v>
      </c>
      <c r="F1822" s="235"/>
      <c r="G1822" s="270"/>
      <c r="H1822" s="236"/>
      <c r="I1822" s="110" t="s">
        <v>1062</v>
      </c>
      <c r="J1822" s="111"/>
      <c r="K1822" s="110" t="s">
        <v>5267</v>
      </c>
      <c r="L1822" s="111"/>
      <c r="M1822" s="285">
        <v>64</v>
      </c>
      <c r="N1822" s="400"/>
      <c r="O1822" s="286"/>
      <c r="P1822" s="173" t="s">
        <v>5268</v>
      </c>
      <c r="Q1822" s="174"/>
      <c r="R1822" s="486">
        <v>9</v>
      </c>
      <c r="S1822" s="487"/>
      <c r="T1822" s="183">
        <v>6</v>
      </c>
      <c r="U1822" s="185"/>
      <c r="V1822" s="173" t="s">
        <v>5269</v>
      </c>
      <c r="W1822" s="174"/>
      <c r="X1822" s="255"/>
      <c r="Y1822" s="256"/>
      <c r="Z1822" s="257"/>
      <c r="AA1822" s="237"/>
      <c r="AB1822" s="238"/>
      <c r="AC1822" s="239" t="s">
        <v>5271</v>
      </c>
      <c r="AD1822" s="240"/>
      <c r="AE1822" s="31"/>
      <c r="AF1822" s="292"/>
      <c r="AG1822" s="314"/>
      <c r="AH1822" s="293"/>
      <c r="AI1822" s="167"/>
      <c r="AJ1822" s="48"/>
      <c r="AK1822" s="15"/>
      <c r="AL1822" s="15"/>
    </row>
    <row r="1823" spans="1:38" ht="105" x14ac:dyDescent="0.25">
      <c r="A1823" s="179"/>
      <c r="B1823" s="292"/>
      <c r="C1823" s="314"/>
      <c r="D1823" s="293"/>
      <c r="E1823" s="28" t="s">
        <v>5278</v>
      </c>
      <c r="F1823" s="235"/>
      <c r="G1823" s="270"/>
      <c r="H1823" s="236"/>
      <c r="I1823" s="110" t="s">
        <v>1985</v>
      </c>
      <c r="J1823" s="111"/>
      <c r="K1823" s="110" t="s">
        <v>5267</v>
      </c>
      <c r="L1823" s="111"/>
      <c r="M1823" s="285">
        <v>79</v>
      </c>
      <c r="N1823" s="400"/>
      <c r="O1823" s="286"/>
      <c r="P1823" s="173" t="s">
        <v>5268</v>
      </c>
      <c r="Q1823" s="174"/>
      <c r="R1823" s="486">
        <v>9</v>
      </c>
      <c r="S1823" s="487"/>
      <c r="T1823" s="183">
        <v>6</v>
      </c>
      <c r="U1823" s="185"/>
      <c r="V1823" s="173" t="s">
        <v>4047</v>
      </c>
      <c r="W1823" s="174"/>
      <c r="X1823" s="252">
        <v>129</v>
      </c>
      <c r="Y1823" s="253"/>
      <c r="Z1823" s="254"/>
      <c r="AA1823" s="192" t="s">
        <v>1038</v>
      </c>
      <c r="AB1823" s="193"/>
      <c r="AC1823" s="239"/>
      <c r="AD1823" s="240"/>
      <c r="AE1823" s="31"/>
      <c r="AF1823" s="292"/>
      <c r="AG1823" s="314"/>
      <c r="AH1823" s="293"/>
      <c r="AI1823" s="167"/>
      <c r="AJ1823" s="48"/>
      <c r="AK1823" s="15"/>
      <c r="AL1823" s="15"/>
    </row>
    <row r="1824" spans="1:38" ht="105" x14ac:dyDescent="0.25">
      <c r="A1824" s="179"/>
      <c r="B1824" s="292"/>
      <c r="C1824" s="314"/>
      <c r="D1824" s="293"/>
      <c r="E1824" s="28" t="s">
        <v>5279</v>
      </c>
      <c r="F1824" s="235"/>
      <c r="G1824" s="270"/>
      <c r="H1824" s="236"/>
      <c r="I1824" s="110" t="s">
        <v>1985</v>
      </c>
      <c r="J1824" s="111"/>
      <c r="K1824" s="110" t="s">
        <v>5267</v>
      </c>
      <c r="L1824" s="111"/>
      <c r="M1824" s="285">
        <v>79</v>
      </c>
      <c r="N1824" s="400"/>
      <c r="O1824" s="286"/>
      <c r="P1824" s="173" t="s">
        <v>5268</v>
      </c>
      <c r="Q1824" s="174"/>
      <c r="R1824" s="486">
        <v>9</v>
      </c>
      <c r="S1824" s="487"/>
      <c r="T1824" s="183">
        <v>6</v>
      </c>
      <c r="U1824" s="185"/>
      <c r="V1824" s="173" t="s">
        <v>4047</v>
      </c>
      <c r="W1824" s="174"/>
      <c r="X1824" s="311"/>
      <c r="Y1824" s="312"/>
      <c r="Z1824" s="313"/>
      <c r="AA1824" s="272"/>
      <c r="AB1824" s="273"/>
      <c r="AC1824" s="239"/>
      <c r="AD1824" s="240"/>
      <c r="AE1824" s="31"/>
      <c r="AF1824" s="292"/>
      <c r="AG1824" s="314"/>
      <c r="AH1824" s="293"/>
      <c r="AI1824" s="167"/>
      <c r="AJ1824" s="48"/>
      <c r="AK1824" s="15"/>
      <c r="AL1824" s="15"/>
    </row>
    <row r="1825" spans="1:38" ht="105" x14ac:dyDescent="0.25">
      <c r="A1825" s="179"/>
      <c r="B1825" s="292"/>
      <c r="C1825" s="314"/>
      <c r="D1825" s="293"/>
      <c r="E1825" s="28" t="s">
        <v>5280</v>
      </c>
      <c r="F1825" s="235"/>
      <c r="G1825" s="270"/>
      <c r="H1825" s="236"/>
      <c r="I1825" s="110" t="s">
        <v>1985</v>
      </c>
      <c r="J1825" s="111"/>
      <c r="K1825" s="110" t="s">
        <v>5267</v>
      </c>
      <c r="L1825" s="111"/>
      <c r="M1825" s="285">
        <v>79</v>
      </c>
      <c r="N1825" s="400"/>
      <c r="O1825" s="286"/>
      <c r="P1825" s="173" t="s">
        <v>5268</v>
      </c>
      <c r="Q1825" s="174"/>
      <c r="R1825" s="486">
        <v>9</v>
      </c>
      <c r="S1825" s="487"/>
      <c r="T1825" s="183">
        <v>6</v>
      </c>
      <c r="U1825" s="185"/>
      <c r="V1825" s="173" t="s">
        <v>4047</v>
      </c>
      <c r="W1825" s="174"/>
      <c r="X1825" s="311"/>
      <c r="Y1825" s="312"/>
      <c r="Z1825" s="313"/>
      <c r="AA1825" s="272"/>
      <c r="AB1825" s="273"/>
      <c r="AC1825" s="239"/>
      <c r="AD1825" s="240"/>
      <c r="AE1825" s="31"/>
      <c r="AF1825" s="292"/>
      <c r="AG1825" s="314"/>
      <c r="AH1825" s="293"/>
      <c r="AI1825" s="167"/>
      <c r="AJ1825" s="48"/>
      <c r="AK1825" s="15"/>
      <c r="AL1825" s="15"/>
    </row>
    <row r="1826" spans="1:38" ht="105" x14ac:dyDescent="0.25">
      <c r="A1826" s="230"/>
      <c r="B1826" s="290"/>
      <c r="C1826" s="345"/>
      <c r="D1826" s="291"/>
      <c r="E1826" s="28" t="s">
        <v>5281</v>
      </c>
      <c r="F1826" s="237"/>
      <c r="G1826" s="306"/>
      <c r="H1826" s="238"/>
      <c r="I1826" s="110" t="s">
        <v>1985</v>
      </c>
      <c r="J1826" s="111"/>
      <c r="K1826" s="110" t="s">
        <v>5267</v>
      </c>
      <c r="L1826" s="111"/>
      <c r="M1826" s="285">
        <v>79</v>
      </c>
      <c r="N1826" s="400"/>
      <c r="O1826" s="286"/>
      <c r="P1826" s="173" t="s">
        <v>5268</v>
      </c>
      <c r="Q1826" s="174"/>
      <c r="R1826" s="486">
        <v>9</v>
      </c>
      <c r="S1826" s="487"/>
      <c r="T1826" s="183">
        <v>6</v>
      </c>
      <c r="U1826" s="185"/>
      <c r="V1826" s="173" t="s">
        <v>4047</v>
      </c>
      <c r="W1826" s="174"/>
      <c r="X1826" s="255"/>
      <c r="Y1826" s="256"/>
      <c r="Z1826" s="257"/>
      <c r="AA1826" s="194"/>
      <c r="AB1826" s="195"/>
      <c r="AC1826" s="225"/>
      <c r="AD1826" s="226"/>
      <c r="AE1826" s="31"/>
      <c r="AF1826" s="290"/>
      <c r="AG1826" s="345"/>
      <c r="AH1826" s="291"/>
      <c r="AI1826" s="167"/>
      <c r="AJ1826" s="48"/>
      <c r="AK1826" s="15"/>
      <c r="AL1826" s="15"/>
    </row>
    <row r="1827" spans="1:38" ht="45" x14ac:dyDescent="0.25">
      <c r="A1827" s="55"/>
      <c r="B1827" s="375" t="s">
        <v>5282</v>
      </c>
      <c r="C1827" s="429"/>
      <c r="D1827" s="376"/>
      <c r="E1827" s="49" t="s">
        <v>5283</v>
      </c>
      <c r="F1827" s="366" t="s">
        <v>5284</v>
      </c>
      <c r="G1827" s="367"/>
      <c r="H1827" s="368"/>
      <c r="I1827" s="366" t="s">
        <v>3828</v>
      </c>
      <c r="J1827" s="368"/>
      <c r="K1827" s="366" t="s">
        <v>3828</v>
      </c>
      <c r="L1827" s="368"/>
      <c r="M1827" s="358">
        <v>13</v>
      </c>
      <c r="N1827" s="485"/>
      <c r="O1827" s="359"/>
      <c r="P1827" s="479"/>
      <c r="Q1827" s="481"/>
      <c r="R1827" s="358">
        <v>3</v>
      </c>
      <c r="S1827" s="359"/>
      <c r="T1827" s="479"/>
      <c r="U1827" s="481"/>
      <c r="V1827" s="360" t="s">
        <v>3519</v>
      </c>
      <c r="W1827" s="361"/>
      <c r="X1827" s="482">
        <v>28</v>
      </c>
      <c r="Y1827" s="483"/>
      <c r="Z1827" s="484"/>
      <c r="AA1827" s="362" t="s">
        <v>722</v>
      </c>
      <c r="AB1827" s="363"/>
      <c r="AC1827" s="479"/>
      <c r="AD1827" s="481"/>
      <c r="AE1827" s="55"/>
      <c r="AF1827" s="479"/>
      <c r="AG1827" s="480"/>
      <c r="AH1827" s="481"/>
      <c r="AI1827" s="167"/>
      <c r="AJ1827" s="48"/>
      <c r="AK1827" s="15"/>
      <c r="AL1827" s="15"/>
    </row>
    <row r="1828" spans="1:38" ht="90" x14ac:dyDescent="0.3">
      <c r="A1828" s="178"/>
      <c r="B1828" s="303" t="s">
        <v>5285</v>
      </c>
      <c r="C1828" s="344"/>
      <c r="D1828" s="304"/>
      <c r="E1828" s="28" t="s">
        <v>5286</v>
      </c>
      <c r="F1828" s="233" t="s">
        <v>5287</v>
      </c>
      <c r="G1828" s="305"/>
      <c r="H1828" s="234"/>
      <c r="I1828" s="183">
        <v>4</v>
      </c>
      <c r="J1828" s="185"/>
      <c r="K1828" s="143" t="s">
        <v>5288</v>
      </c>
      <c r="L1828" s="145"/>
      <c r="M1828" s="183">
        <v>29</v>
      </c>
      <c r="N1828" s="184"/>
      <c r="O1828" s="185"/>
      <c r="P1828" s="183">
        <v>3</v>
      </c>
      <c r="Q1828" s="185"/>
      <c r="R1828" s="112">
        <v>7</v>
      </c>
      <c r="S1828" s="113"/>
      <c r="T1828" s="183">
        <v>4</v>
      </c>
      <c r="U1828" s="185"/>
      <c r="V1828" s="114" t="s">
        <v>5289</v>
      </c>
      <c r="W1828" s="116"/>
      <c r="X1828" s="252">
        <v>59</v>
      </c>
      <c r="Y1828" s="253"/>
      <c r="Z1828" s="254"/>
      <c r="AA1828" s="192" t="s">
        <v>1338</v>
      </c>
      <c r="AB1828" s="193"/>
      <c r="AC1828" s="171" t="s">
        <v>3194</v>
      </c>
      <c r="AD1828" s="172"/>
      <c r="AE1828" s="16" t="s">
        <v>5292</v>
      </c>
      <c r="AF1828" s="164"/>
      <c r="AG1828" s="165"/>
      <c r="AH1828" s="166"/>
      <c r="AI1828" s="167"/>
      <c r="AJ1828" s="48"/>
      <c r="AK1828" s="15"/>
      <c r="AL1828" s="15"/>
    </row>
    <row r="1829" spans="1:38" ht="90" x14ac:dyDescent="0.3">
      <c r="A1829" s="179"/>
      <c r="B1829" s="292"/>
      <c r="C1829" s="314"/>
      <c r="D1829" s="293"/>
      <c r="E1829" s="28" t="s">
        <v>5294</v>
      </c>
      <c r="F1829" s="235"/>
      <c r="G1829" s="270"/>
      <c r="H1829" s="236"/>
      <c r="I1829" s="183">
        <v>4</v>
      </c>
      <c r="J1829" s="185"/>
      <c r="K1829" s="104" t="s">
        <v>5288</v>
      </c>
      <c r="L1829" s="105"/>
      <c r="M1829" s="183">
        <v>29</v>
      </c>
      <c r="N1829" s="184"/>
      <c r="O1829" s="185"/>
      <c r="P1829" s="183">
        <v>3</v>
      </c>
      <c r="Q1829" s="185"/>
      <c r="R1829" s="155">
        <v>7</v>
      </c>
      <c r="S1829" s="157"/>
      <c r="T1829" s="183">
        <v>4</v>
      </c>
      <c r="U1829" s="185"/>
      <c r="V1829" s="114" t="s">
        <v>5289</v>
      </c>
      <c r="W1829" s="116"/>
      <c r="X1829" s="255"/>
      <c r="Y1829" s="256"/>
      <c r="Z1829" s="257"/>
      <c r="AA1829" s="194"/>
      <c r="AB1829" s="195"/>
      <c r="AC1829" s="162" t="s">
        <v>5290</v>
      </c>
      <c r="AD1829" s="163"/>
      <c r="AE1829" s="43" t="s">
        <v>1356</v>
      </c>
      <c r="AF1829" s="167"/>
      <c r="AG1829" s="168"/>
      <c r="AH1829" s="169"/>
      <c r="AI1829" s="167"/>
      <c r="AJ1829" s="48"/>
      <c r="AK1829" s="15"/>
      <c r="AL1829" s="15"/>
    </row>
    <row r="1830" spans="1:38" ht="90" x14ac:dyDescent="0.3">
      <c r="A1830" s="179"/>
      <c r="B1830" s="292"/>
      <c r="C1830" s="314"/>
      <c r="D1830" s="293"/>
      <c r="E1830" s="28" t="s">
        <v>5295</v>
      </c>
      <c r="F1830" s="237"/>
      <c r="G1830" s="306"/>
      <c r="H1830" s="238"/>
      <c r="I1830" s="183">
        <v>4</v>
      </c>
      <c r="J1830" s="185"/>
      <c r="K1830" s="146" t="s">
        <v>5288</v>
      </c>
      <c r="L1830" s="148"/>
      <c r="M1830" s="183">
        <v>32</v>
      </c>
      <c r="N1830" s="184"/>
      <c r="O1830" s="185"/>
      <c r="P1830" s="183">
        <v>3</v>
      </c>
      <c r="Q1830" s="185"/>
      <c r="R1830" s="160">
        <v>7</v>
      </c>
      <c r="S1830" s="161"/>
      <c r="T1830" s="183">
        <v>4</v>
      </c>
      <c r="U1830" s="185"/>
      <c r="V1830" s="114" t="s">
        <v>2686</v>
      </c>
      <c r="W1830" s="116"/>
      <c r="X1830" s="227">
        <v>69</v>
      </c>
      <c r="Y1830" s="228"/>
      <c r="Z1830" s="229"/>
      <c r="AA1830" s="110" t="s">
        <v>1452</v>
      </c>
      <c r="AB1830" s="111"/>
      <c r="AC1830" s="162" t="s">
        <v>5291</v>
      </c>
      <c r="AD1830" s="163"/>
      <c r="AE1830" s="43" t="s">
        <v>5293</v>
      </c>
      <c r="AF1830" s="167"/>
      <c r="AG1830" s="168"/>
      <c r="AH1830" s="169"/>
      <c r="AI1830" s="167"/>
      <c r="AJ1830" s="48"/>
      <c r="AK1830" s="15"/>
      <c r="AL1830" s="15"/>
    </row>
    <row r="1831" spans="1:38" ht="90" x14ac:dyDescent="0.3">
      <c r="A1831" s="179"/>
      <c r="B1831" s="292"/>
      <c r="C1831" s="314"/>
      <c r="D1831" s="293"/>
      <c r="E1831" s="28" t="s">
        <v>5296</v>
      </c>
      <c r="F1831" s="192" t="s">
        <v>5297</v>
      </c>
      <c r="G1831" s="196"/>
      <c r="H1831" s="193"/>
      <c r="I1831" s="183">
        <v>5</v>
      </c>
      <c r="J1831" s="185"/>
      <c r="K1831" s="143" t="s">
        <v>5298</v>
      </c>
      <c r="L1831" s="145"/>
      <c r="M1831" s="180" t="s">
        <v>5299</v>
      </c>
      <c r="N1831" s="450"/>
      <c r="O1831" s="181"/>
      <c r="P1831" s="180" t="s">
        <v>1127</v>
      </c>
      <c r="Q1831" s="181"/>
      <c r="R1831" s="114" t="s">
        <v>3519</v>
      </c>
      <c r="S1831" s="116"/>
      <c r="T1831" s="183">
        <v>4</v>
      </c>
      <c r="U1831" s="185"/>
      <c r="V1831" s="180" t="s">
        <v>4704</v>
      </c>
      <c r="W1831" s="181"/>
      <c r="X1831" s="252">
        <v>79</v>
      </c>
      <c r="Y1831" s="253"/>
      <c r="Z1831" s="254"/>
      <c r="AA1831" s="223" t="s">
        <v>5300</v>
      </c>
      <c r="AB1831" s="224"/>
      <c r="AC1831" s="162"/>
      <c r="AD1831" s="163"/>
      <c r="AE1831" s="43"/>
      <c r="AF1831" s="167"/>
      <c r="AG1831" s="168"/>
      <c r="AH1831" s="169"/>
      <c r="AI1831" s="167"/>
      <c r="AJ1831" s="48"/>
      <c r="AK1831" s="15"/>
      <c r="AL1831" s="15"/>
    </row>
    <row r="1832" spans="1:38" ht="75" x14ac:dyDescent="0.3">
      <c r="A1832" s="179"/>
      <c r="B1832" s="292"/>
      <c r="C1832" s="314"/>
      <c r="D1832" s="293"/>
      <c r="E1832" s="28" t="s">
        <v>5301</v>
      </c>
      <c r="F1832" s="272"/>
      <c r="G1832" s="282"/>
      <c r="H1832" s="273"/>
      <c r="I1832" s="183">
        <v>5</v>
      </c>
      <c r="J1832" s="185"/>
      <c r="K1832" s="104" t="s">
        <v>5298</v>
      </c>
      <c r="L1832" s="105"/>
      <c r="M1832" s="180" t="s">
        <v>5299</v>
      </c>
      <c r="N1832" s="450"/>
      <c r="O1832" s="181"/>
      <c r="P1832" s="180" t="s">
        <v>1127</v>
      </c>
      <c r="Q1832" s="181"/>
      <c r="R1832" s="114" t="s">
        <v>3519</v>
      </c>
      <c r="S1832" s="116"/>
      <c r="T1832" s="183">
        <v>4</v>
      </c>
      <c r="U1832" s="185"/>
      <c r="V1832" s="180" t="s">
        <v>4704</v>
      </c>
      <c r="W1832" s="181"/>
      <c r="X1832" s="255"/>
      <c r="Y1832" s="256"/>
      <c r="Z1832" s="257"/>
      <c r="AA1832" s="225"/>
      <c r="AB1832" s="226"/>
      <c r="AC1832" s="162"/>
      <c r="AD1832" s="163"/>
      <c r="AE1832" s="43"/>
      <c r="AF1832" s="167"/>
      <c r="AG1832" s="168"/>
      <c r="AH1832" s="169"/>
      <c r="AI1832" s="167"/>
      <c r="AJ1832" s="48"/>
      <c r="AK1832" s="15"/>
      <c r="AL1832" s="15"/>
    </row>
    <row r="1833" spans="1:38" ht="90" x14ac:dyDescent="0.3">
      <c r="A1833" s="230"/>
      <c r="B1833" s="290"/>
      <c r="C1833" s="345"/>
      <c r="D1833" s="291"/>
      <c r="E1833" s="28" t="s">
        <v>5302</v>
      </c>
      <c r="F1833" s="194"/>
      <c r="G1833" s="197"/>
      <c r="H1833" s="195"/>
      <c r="I1833" s="183">
        <v>5</v>
      </c>
      <c r="J1833" s="185"/>
      <c r="K1833" s="146" t="s">
        <v>5298</v>
      </c>
      <c r="L1833" s="148"/>
      <c r="M1833" s="180" t="s">
        <v>4377</v>
      </c>
      <c r="N1833" s="450"/>
      <c r="O1833" s="181"/>
      <c r="P1833" s="180" t="s">
        <v>1127</v>
      </c>
      <c r="Q1833" s="181"/>
      <c r="R1833" s="114" t="s">
        <v>3519</v>
      </c>
      <c r="S1833" s="116"/>
      <c r="T1833" s="183">
        <v>4</v>
      </c>
      <c r="U1833" s="185"/>
      <c r="V1833" s="180" t="s">
        <v>5303</v>
      </c>
      <c r="W1833" s="181"/>
      <c r="X1833" s="227">
        <v>89</v>
      </c>
      <c r="Y1833" s="228"/>
      <c r="Z1833" s="229"/>
      <c r="AA1833" s="110" t="s">
        <v>3763</v>
      </c>
      <c r="AB1833" s="111"/>
      <c r="AC1833" s="212"/>
      <c r="AD1833" s="213"/>
      <c r="AE1833" s="43"/>
      <c r="AF1833" s="214"/>
      <c r="AG1833" s="215"/>
      <c r="AH1833" s="216"/>
      <c r="AI1833" s="214"/>
      <c r="AJ1833" s="48"/>
      <c r="AK1833" s="15"/>
      <c r="AL1833" s="15"/>
    </row>
    <row r="1834" spans="1:38" ht="90" x14ac:dyDescent="0.25">
      <c r="A1834" s="178"/>
      <c r="B1834" s="303" t="s">
        <v>5304</v>
      </c>
      <c r="C1834" s="344"/>
      <c r="D1834" s="304"/>
      <c r="E1834" s="28" t="s">
        <v>5305</v>
      </c>
      <c r="F1834" s="192" t="s">
        <v>5064</v>
      </c>
      <c r="G1834" s="196"/>
      <c r="H1834" s="193"/>
      <c r="I1834" s="110" t="s">
        <v>722</v>
      </c>
      <c r="J1834" s="111"/>
      <c r="K1834" s="110" t="s">
        <v>5065</v>
      </c>
      <c r="L1834" s="111"/>
      <c r="M1834" s="285">
        <v>19</v>
      </c>
      <c r="N1834" s="400"/>
      <c r="O1834" s="286"/>
      <c r="P1834" s="173" t="s">
        <v>5066</v>
      </c>
      <c r="Q1834" s="174"/>
      <c r="R1834" s="112">
        <v>5</v>
      </c>
      <c r="S1834" s="113"/>
      <c r="T1834" s="183">
        <v>4</v>
      </c>
      <c r="U1834" s="185"/>
      <c r="V1834" s="173" t="s">
        <v>5067</v>
      </c>
      <c r="W1834" s="174"/>
      <c r="X1834" s="186" t="s">
        <v>5068</v>
      </c>
      <c r="Y1834" s="187"/>
      <c r="Z1834" s="188"/>
      <c r="AA1834" s="192" t="s">
        <v>1261</v>
      </c>
      <c r="AB1834" s="193"/>
      <c r="AC1834" s="303" t="s">
        <v>3194</v>
      </c>
      <c r="AD1834" s="304"/>
      <c r="AE1834" s="35" t="s">
        <v>5307</v>
      </c>
      <c r="AF1834" s="303" t="s">
        <v>2811</v>
      </c>
      <c r="AG1834" s="344"/>
      <c r="AH1834" s="304"/>
      <c r="AI1834" s="35" t="s">
        <v>5072</v>
      </c>
      <c r="AJ1834" s="48"/>
      <c r="AK1834" s="15"/>
      <c r="AL1834" s="15"/>
    </row>
    <row r="1835" spans="1:38" ht="60" x14ac:dyDescent="0.25">
      <c r="A1835" s="179"/>
      <c r="B1835" s="292"/>
      <c r="C1835" s="314"/>
      <c r="D1835" s="293"/>
      <c r="E1835" s="28" t="s">
        <v>5310</v>
      </c>
      <c r="F1835" s="194"/>
      <c r="G1835" s="197"/>
      <c r="H1835" s="195"/>
      <c r="I1835" s="110" t="s">
        <v>722</v>
      </c>
      <c r="J1835" s="111"/>
      <c r="K1835" s="110" t="s">
        <v>5065</v>
      </c>
      <c r="L1835" s="111"/>
      <c r="M1835" s="285">
        <v>19</v>
      </c>
      <c r="N1835" s="400"/>
      <c r="O1835" s="286"/>
      <c r="P1835" s="173" t="s">
        <v>5066</v>
      </c>
      <c r="Q1835" s="174"/>
      <c r="R1835" s="155">
        <v>5</v>
      </c>
      <c r="S1835" s="157"/>
      <c r="T1835" s="183">
        <v>4</v>
      </c>
      <c r="U1835" s="185"/>
      <c r="V1835" s="173" t="s">
        <v>5067</v>
      </c>
      <c r="W1835" s="174"/>
      <c r="X1835" s="189"/>
      <c r="Y1835" s="190"/>
      <c r="Z1835" s="191"/>
      <c r="AA1835" s="194"/>
      <c r="AB1835" s="195"/>
      <c r="AC1835" s="292" t="s">
        <v>5306</v>
      </c>
      <c r="AD1835" s="293"/>
      <c r="AE1835" s="36" t="s">
        <v>1356</v>
      </c>
      <c r="AF1835" s="292" t="s">
        <v>3401</v>
      </c>
      <c r="AG1835" s="314"/>
      <c r="AH1835" s="293"/>
      <c r="AI1835" s="36" t="s">
        <v>681</v>
      </c>
      <c r="AJ1835" s="48"/>
      <c r="AK1835" s="15"/>
      <c r="AL1835" s="15"/>
    </row>
    <row r="1836" spans="1:38" ht="75" x14ac:dyDescent="0.25">
      <c r="A1836" s="179"/>
      <c r="B1836" s="292"/>
      <c r="C1836" s="314"/>
      <c r="D1836" s="293"/>
      <c r="E1836" s="28" t="s">
        <v>5311</v>
      </c>
      <c r="F1836" s="192" t="s">
        <v>5076</v>
      </c>
      <c r="G1836" s="196"/>
      <c r="H1836" s="193"/>
      <c r="I1836" s="110" t="s">
        <v>879</v>
      </c>
      <c r="J1836" s="111"/>
      <c r="K1836" s="110" t="s">
        <v>5077</v>
      </c>
      <c r="L1836" s="111"/>
      <c r="M1836" s="285">
        <v>23</v>
      </c>
      <c r="N1836" s="400"/>
      <c r="O1836" s="286"/>
      <c r="P1836" s="173" t="s">
        <v>924</v>
      </c>
      <c r="Q1836" s="174"/>
      <c r="R1836" s="155">
        <v>5</v>
      </c>
      <c r="S1836" s="157"/>
      <c r="T1836" s="183">
        <v>4</v>
      </c>
      <c r="U1836" s="185"/>
      <c r="V1836" s="173" t="s">
        <v>5078</v>
      </c>
      <c r="W1836" s="174"/>
      <c r="X1836" s="186" t="s">
        <v>5079</v>
      </c>
      <c r="Y1836" s="187"/>
      <c r="Z1836" s="188"/>
      <c r="AA1836" s="192" t="s">
        <v>826</v>
      </c>
      <c r="AB1836" s="193"/>
      <c r="AC1836" s="292"/>
      <c r="AD1836" s="293"/>
      <c r="AE1836" s="36" t="s">
        <v>5308</v>
      </c>
      <c r="AF1836" s="292"/>
      <c r="AG1836" s="314"/>
      <c r="AH1836" s="293"/>
      <c r="AI1836" s="36" t="s">
        <v>5309</v>
      </c>
      <c r="AJ1836" s="48"/>
      <c r="AK1836" s="15"/>
      <c r="AL1836" s="15"/>
    </row>
    <row r="1837" spans="1:38" ht="60" x14ac:dyDescent="0.25">
      <c r="A1837" s="179"/>
      <c r="B1837" s="292"/>
      <c r="C1837" s="314"/>
      <c r="D1837" s="293"/>
      <c r="E1837" s="28" t="s">
        <v>5312</v>
      </c>
      <c r="F1837" s="194"/>
      <c r="G1837" s="197"/>
      <c r="H1837" s="195"/>
      <c r="I1837" s="110" t="s">
        <v>879</v>
      </c>
      <c r="J1837" s="111"/>
      <c r="K1837" s="110" t="s">
        <v>5077</v>
      </c>
      <c r="L1837" s="111"/>
      <c r="M1837" s="285">
        <v>23</v>
      </c>
      <c r="N1837" s="400"/>
      <c r="O1837" s="286"/>
      <c r="P1837" s="173" t="s">
        <v>924</v>
      </c>
      <c r="Q1837" s="174"/>
      <c r="R1837" s="160">
        <v>5</v>
      </c>
      <c r="S1837" s="161"/>
      <c r="T1837" s="183">
        <v>4</v>
      </c>
      <c r="U1837" s="185"/>
      <c r="V1837" s="173" t="s">
        <v>5078</v>
      </c>
      <c r="W1837" s="174"/>
      <c r="X1837" s="189"/>
      <c r="Y1837" s="190"/>
      <c r="Z1837" s="191"/>
      <c r="AA1837" s="194"/>
      <c r="AB1837" s="195"/>
      <c r="AC1837" s="292"/>
      <c r="AD1837" s="293"/>
      <c r="AE1837" s="36"/>
      <c r="AF1837" s="292"/>
      <c r="AG1837" s="314"/>
      <c r="AH1837" s="293"/>
      <c r="AI1837" s="36"/>
      <c r="AJ1837" s="48"/>
      <c r="AK1837" s="15"/>
      <c r="AL1837" s="15"/>
    </row>
    <row r="1838" spans="1:38" ht="60" x14ac:dyDescent="0.25">
      <c r="A1838" s="179"/>
      <c r="B1838" s="292"/>
      <c r="C1838" s="314"/>
      <c r="D1838" s="293"/>
      <c r="E1838" s="28" t="s">
        <v>5313</v>
      </c>
      <c r="F1838" s="192" t="s">
        <v>5082</v>
      </c>
      <c r="G1838" s="196"/>
      <c r="H1838" s="193"/>
      <c r="I1838" s="110" t="s">
        <v>826</v>
      </c>
      <c r="J1838" s="111"/>
      <c r="K1838" s="110" t="s">
        <v>5083</v>
      </c>
      <c r="L1838" s="111"/>
      <c r="M1838" s="285">
        <v>27</v>
      </c>
      <c r="N1838" s="400"/>
      <c r="O1838" s="286"/>
      <c r="P1838" s="173" t="s">
        <v>889</v>
      </c>
      <c r="Q1838" s="174"/>
      <c r="R1838" s="88">
        <v>7</v>
      </c>
      <c r="S1838" s="89"/>
      <c r="T1838" s="183">
        <v>4</v>
      </c>
      <c r="U1838" s="185"/>
      <c r="V1838" s="173" t="s">
        <v>3578</v>
      </c>
      <c r="W1838" s="174"/>
      <c r="X1838" s="186" t="s">
        <v>5084</v>
      </c>
      <c r="Y1838" s="187"/>
      <c r="Z1838" s="188"/>
      <c r="AA1838" s="192" t="s">
        <v>1452</v>
      </c>
      <c r="AB1838" s="193"/>
      <c r="AC1838" s="292"/>
      <c r="AD1838" s="293"/>
      <c r="AE1838" s="36"/>
      <c r="AF1838" s="292"/>
      <c r="AG1838" s="314"/>
      <c r="AH1838" s="293"/>
      <c r="AI1838" s="36"/>
      <c r="AJ1838" s="48"/>
      <c r="AK1838" s="15"/>
      <c r="AL1838" s="15"/>
    </row>
    <row r="1839" spans="1:38" ht="60" x14ac:dyDescent="0.25">
      <c r="A1839" s="179"/>
      <c r="B1839" s="292"/>
      <c r="C1839" s="314"/>
      <c r="D1839" s="293"/>
      <c r="E1839" s="28" t="s">
        <v>5314</v>
      </c>
      <c r="F1839" s="194"/>
      <c r="G1839" s="197"/>
      <c r="H1839" s="195"/>
      <c r="I1839" s="110" t="s">
        <v>826</v>
      </c>
      <c r="J1839" s="111"/>
      <c r="K1839" s="110" t="s">
        <v>5083</v>
      </c>
      <c r="L1839" s="111"/>
      <c r="M1839" s="285">
        <v>27</v>
      </c>
      <c r="N1839" s="400"/>
      <c r="O1839" s="286"/>
      <c r="P1839" s="173" t="s">
        <v>889</v>
      </c>
      <c r="Q1839" s="174"/>
      <c r="R1839" s="126">
        <v>7</v>
      </c>
      <c r="S1839" s="127"/>
      <c r="T1839" s="183">
        <v>4</v>
      </c>
      <c r="U1839" s="185"/>
      <c r="V1839" s="173" t="s">
        <v>3578</v>
      </c>
      <c r="W1839" s="174"/>
      <c r="X1839" s="189"/>
      <c r="Y1839" s="190"/>
      <c r="Z1839" s="191"/>
      <c r="AA1839" s="194"/>
      <c r="AB1839" s="195"/>
      <c r="AC1839" s="292"/>
      <c r="AD1839" s="293"/>
      <c r="AE1839" s="36"/>
      <c r="AF1839" s="292"/>
      <c r="AG1839" s="314"/>
      <c r="AH1839" s="293"/>
      <c r="AI1839" s="36"/>
      <c r="AJ1839" s="48"/>
      <c r="AK1839" s="15"/>
      <c r="AL1839" s="15"/>
    </row>
    <row r="1840" spans="1:38" ht="60" x14ac:dyDescent="0.25">
      <c r="A1840" s="179"/>
      <c r="B1840" s="292"/>
      <c r="C1840" s="314"/>
      <c r="D1840" s="293"/>
      <c r="E1840" s="28" t="s">
        <v>5315</v>
      </c>
      <c r="F1840" s="192" t="s">
        <v>5087</v>
      </c>
      <c r="G1840" s="196"/>
      <c r="H1840" s="193"/>
      <c r="I1840" s="110" t="s">
        <v>1342</v>
      </c>
      <c r="J1840" s="111"/>
      <c r="K1840" s="110" t="s">
        <v>5088</v>
      </c>
      <c r="L1840" s="111"/>
      <c r="M1840" s="285">
        <v>31</v>
      </c>
      <c r="N1840" s="400"/>
      <c r="O1840" s="286"/>
      <c r="P1840" s="173" t="s">
        <v>768</v>
      </c>
      <c r="Q1840" s="174"/>
      <c r="R1840" s="126" t="s">
        <v>1152</v>
      </c>
      <c r="S1840" s="127"/>
      <c r="T1840" s="183">
        <v>4</v>
      </c>
      <c r="U1840" s="185"/>
      <c r="V1840" s="173" t="s">
        <v>5089</v>
      </c>
      <c r="W1840" s="174"/>
      <c r="X1840" s="186" t="s">
        <v>3366</v>
      </c>
      <c r="Y1840" s="187"/>
      <c r="Z1840" s="188"/>
      <c r="AA1840" s="192" t="s">
        <v>717</v>
      </c>
      <c r="AB1840" s="193"/>
      <c r="AC1840" s="292"/>
      <c r="AD1840" s="293"/>
      <c r="AE1840" s="36"/>
      <c r="AF1840" s="292"/>
      <c r="AG1840" s="314"/>
      <c r="AH1840" s="293"/>
      <c r="AI1840" s="36"/>
      <c r="AJ1840" s="48"/>
      <c r="AK1840" s="15"/>
      <c r="AL1840" s="15"/>
    </row>
    <row r="1841" spans="1:38" ht="60" x14ac:dyDescent="0.25">
      <c r="A1841" s="179"/>
      <c r="B1841" s="292"/>
      <c r="C1841" s="314"/>
      <c r="D1841" s="293"/>
      <c r="E1841" s="28" t="s">
        <v>5316</v>
      </c>
      <c r="F1841" s="194"/>
      <c r="G1841" s="197"/>
      <c r="H1841" s="195"/>
      <c r="I1841" s="110" t="s">
        <v>1342</v>
      </c>
      <c r="J1841" s="111"/>
      <c r="K1841" s="110" t="s">
        <v>5088</v>
      </c>
      <c r="L1841" s="111"/>
      <c r="M1841" s="285">
        <v>31</v>
      </c>
      <c r="N1841" s="400"/>
      <c r="O1841" s="286"/>
      <c r="P1841" s="173" t="s">
        <v>768</v>
      </c>
      <c r="Q1841" s="174"/>
      <c r="R1841" s="117" t="s">
        <v>1152</v>
      </c>
      <c r="S1841" s="118"/>
      <c r="T1841" s="183">
        <v>4</v>
      </c>
      <c r="U1841" s="185"/>
      <c r="V1841" s="173" t="s">
        <v>5089</v>
      </c>
      <c r="W1841" s="174"/>
      <c r="X1841" s="189"/>
      <c r="Y1841" s="190"/>
      <c r="Z1841" s="191"/>
      <c r="AA1841" s="194"/>
      <c r="AB1841" s="195"/>
      <c r="AC1841" s="292"/>
      <c r="AD1841" s="293"/>
      <c r="AE1841" s="36"/>
      <c r="AF1841" s="292"/>
      <c r="AG1841" s="314"/>
      <c r="AH1841" s="293"/>
      <c r="AI1841" s="36"/>
      <c r="AJ1841" s="48"/>
      <c r="AK1841" s="15"/>
      <c r="AL1841" s="15"/>
    </row>
    <row r="1842" spans="1:38" ht="60" x14ac:dyDescent="0.25">
      <c r="A1842" s="179"/>
      <c r="B1842" s="292"/>
      <c r="C1842" s="314"/>
      <c r="D1842" s="293"/>
      <c r="E1842" s="28" t="s">
        <v>5317</v>
      </c>
      <c r="F1842" s="192" t="s">
        <v>5092</v>
      </c>
      <c r="G1842" s="196"/>
      <c r="H1842" s="193"/>
      <c r="I1842" s="110" t="s">
        <v>1739</v>
      </c>
      <c r="J1842" s="111"/>
      <c r="K1842" s="110" t="s">
        <v>5093</v>
      </c>
      <c r="L1842" s="111"/>
      <c r="M1842" s="285">
        <v>35</v>
      </c>
      <c r="N1842" s="400"/>
      <c r="O1842" s="286"/>
      <c r="P1842" s="173" t="s">
        <v>5094</v>
      </c>
      <c r="Q1842" s="174"/>
      <c r="R1842" s="114" t="s">
        <v>4862</v>
      </c>
      <c r="S1842" s="116"/>
      <c r="T1842" s="183">
        <v>4</v>
      </c>
      <c r="U1842" s="185"/>
      <c r="V1842" s="173" t="s">
        <v>990</v>
      </c>
      <c r="W1842" s="174"/>
      <c r="X1842" s="186" t="s">
        <v>1335</v>
      </c>
      <c r="Y1842" s="187"/>
      <c r="Z1842" s="188"/>
      <c r="AA1842" s="192" t="s">
        <v>879</v>
      </c>
      <c r="AB1842" s="193"/>
      <c r="AC1842" s="292"/>
      <c r="AD1842" s="293"/>
      <c r="AE1842" s="36"/>
      <c r="AF1842" s="292"/>
      <c r="AG1842" s="314"/>
      <c r="AH1842" s="293"/>
      <c r="AI1842" s="36"/>
      <c r="AJ1842" s="48"/>
      <c r="AK1842" s="15"/>
      <c r="AL1842" s="15"/>
    </row>
    <row r="1843" spans="1:38" ht="60" x14ac:dyDescent="0.25">
      <c r="A1843" s="179"/>
      <c r="B1843" s="292"/>
      <c r="C1843" s="314"/>
      <c r="D1843" s="293"/>
      <c r="E1843" s="28" t="s">
        <v>5318</v>
      </c>
      <c r="F1843" s="194"/>
      <c r="G1843" s="197"/>
      <c r="H1843" s="195"/>
      <c r="I1843" s="110" t="s">
        <v>1739</v>
      </c>
      <c r="J1843" s="111"/>
      <c r="K1843" s="110" t="s">
        <v>5093</v>
      </c>
      <c r="L1843" s="111"/>
      <c r="M1843" s="285">
        <v>35</v>
      </c>
      <c r="N1843" s="400"/>
      <c r="O1843" s="286"/>
      <c r="P1843" s="173" t="s">
        <v>5094</v>
      </c>
      <c r="Q1843" s="174"/>
      <c r="R1843" s="114" t="s">
        <v>4862</v>
      </c>
      <c r="S1843" s="116"/>
      <c r="T1843" s="183">
        <v>4</v>
      </c>
      <c r="U1843" s="185"/>
      <c r="V1843" s="173" t="s">
        <v>990</v>
      </c>
      <c r="W1843" s="174"/>
      <c r="X1843" s="189"/>
      <c r="Y1843" s="190"/>
      <c r="Z1843" s="191"/>
      <c r="AA1843" s="194"/>
      <c r="AB1843" s="195"/>
      <c r="AC1843" s="292"/>
      <c r="AD1843" s="293"/>
      <c r="AE1843" s="36"/>
      <c r="AF1843" s="292"/>
      <c r="AG1843" s="314"/>
      <c r="AH1843" s="293"/>
      <c r="AI1843" s="36"/>
      <c r="AJ1843" s="48"/>
      <c r="AK1843" s="15"/>
      <c r="AL1843" s="15"/>
    </row>
    <row r="1844" spans="1:38" ht="60" x14ac:dyDescent="0.25">
      <c r="A1844" s="179"/>
      <c r="B1844" s="292"/>
      <c r="C1844" s="314"/>
      <c r="D1844" s="293"/>
      <c r="E1844" s="28" t="s">
        <v>5319</v>
      </c>
      <c r="F1844" s="192" t="s">
        <v>5097</v>
      </c>
      <c r="G1844" s="196"/>
      <c r="H1844" s="193"/>
      <c r="I1844" s="110" t="s">
        <v>1045</v>
      </c>
      <c r="J1844" s="111"/>
      <c r="K1844" s="110" t="s">
        <v>5098</v>
      </c>
      <c r="L1844" s="111"/>
      <c r="M1844" s="285">
        <v>39</v>
      </c>
      <c r="N1844" s="400"/>
      <c r="O1844" s="286"/>
      <c r="P1844" s="173" t="s">
        <v>5099</v>
      </c>
      <c r="Q1844" s="174"/>
      <c r="R1844" s="114" t="s">
        <v>4862</v>
      </c>
      <c r="S1844" s="116"/>
      <c r="T1844" s="183">
        <v>4</v>
      </c>
      <c r="U1844" s="185"/>
      <c r="V1844" s="173" t="s">
        <v>3628</v>
      </c>
      <c r="W1844" s="174"/>
      <c r="X1844" s="186" t="s">
        <v>3515</v>
      </c>
      <c r="Y1844" s="187"/>
      <c r="Z1844" s="188"/>
      <c r="AA1844" s="192" t="s">
        <v>674</v>
      </c>
      <c r="AB1844" s="193"/>
      <c r="AC1844" s="292"/>
      <c r="AD1844" s="293"/>
      <c r="AE1844" s="36"/>
      <c r="AF1844" s="292"/>
      <c r="AG1844" s="314"/>
      <c r="AH1844" s="293"/>
      <c r="AI1844" s="36"/>
      <c r="AJ1844" s="48"/>
      <c r="AK1844" s="15"/>
      <c r="AL1844" s="15"/>
    </row>
    <row r="1845" spans="1:38" ht="60" x14ac:dyDescent="0.25">
      <c r="A1845" s="179"/>
      <c r="B1845" s="292"/>
      <c r="C1845" s="314"/>
      <c r="D1845" s="293"/>
      <c r="E1845" s="28" t="s">
        <v>5320</v>
      </c>
      <c r="F1845" s="194"/>
      <c r="G1845" s="197"/>
      <c r="H1845" s="195"/>
      <c r="I1845" s="110" t="s">
        <v>1045</v>
      </c>
      <c r="J1845" s="111"/>
      <c r="K1845" s="110" t="s">
        <v>5098</v>
      </c>
      <c r="L1845" s="111"/>
      <c r="M1845" s="285">
        <v>39</v>
      </c>
      <c r="N1845" s="400"/>
      <c r="O1845" s="286"/>
      <c r="P1845" s="173" t="s">
        <v>5099</v>
      </c>
      <c r="Q1845" s="174"/>
      <c r="R1845" s="114" t="s">
        <v>4862</v>
      </c>
      <c r="S1845" s="116"/>
      <c r="T1845" s="183">
        <v>4</v>
      </c>
      <c r="U1845" s="185"/>
      <c r="V1845" s="173" t="s">
        <v>3628</v>
      </c>
      <c r="W1845" s="174"/>
      <c r="X1845" s="189"/>
      <c r="Y1845" s="190"/>
      <c r="Z1845" s="191"/>
      <c r="AA1845" s="194"/>
      <c r="AB1845" s="195"/>
      <c r="AC1845" s="292"/>
      <c r="AD1845" s="293"/>
      <c r="AE1845" s="36"/>
      <c r="AF1845" s="292"/>
      <c r="AG1845" s="314"/>
      <c r="AH1845" s="293"/>
      <c r="AI1845" s="36"/>
      <c r="AJ1845" s="48"/>
      <c r="AK1845" s="15"/>
      <c r="AL1845" s="15"/>
    </row>
    <row r="1846" spans="1:38" ht="60" x14ac:dyDescent="0.25">
      <c r="A1846" s="179"/>
      <c r="B1846" s="292"/>
      <c r="C1846" s="314"/>
      <c r="D1846" s="293"/>
      <c r="E1846" s="28" t="s">
        <v>5321</v>
      </c>
      <c r="F1846" s="192" t="s">
        <v>5102</v>
      </c>
      <c r="G1846" s="196"/>
      <c r="H1846" s="193"/>
      <c r="I1846" s="110" t="s">
        <v>2755</v>
      </c>
      <c r="J1846" s="111"/>
      <c r="K1846" s="110" t="s">
        <v>5103</v>
      </c>
      <c r="L1846" s="111"/>
      <c r="M1846" s="285">
        <v>43</v>
      </c>
      <c r="N1846" s="400"/>
      <c r="O1846" s="286"/>
      <c r="P1846" s="173" t="s">
        <v>5104</v>
      </c>
      <c r="Q1846" s="174"/>
      <c r="R1846" s="384" t="s">
        <v>3558</v>
      </c>
      <c r="S1846" s="386"/>
      <c r="T1846" s="183">
        <v>4</v>
      </c>
      <c r="U1846" s="185"/>
      <c r="V1846" s="173" t="s">
        <v>3500</v>
      </c>
      <c r="W1846" s="174"/>
      <c r="X1846" s="186" t="s">
        <v>4051</v>
      </c>
      <c r="Y1846" s="187"/>
      <c r="Z1846" s="188"/>
      <c r="AA1846" s="192" t="s">
        <v>717</v>
      </c>
      <c r="AB1846" s="193"/>
      <c r="AC1846" s="292"/>
      <c r="AD1846" s="293"/>
      <c r="AE1846" s="36"/>
      <c r="AF1846" s="292"/>
      <c r="AG1846" s="314"/>
      <c r="AH1846" s="293"/>
      <c r="AI1846" s="36"/>
      <c r="AJ1846" s="48"/>
      <c r="AK1846" s="15"/>
      <c r="AL1846" s="15"/>
    </row>
    <row r="1847" spans="1:38" ht="60" x14ac:dyDescent="0.25">
      <c r="A1847" s="179"/>
      <c r="B1847" s="292"/>
      <c r="C1847" s="314"/>
      <c r="D1847" s="293"/>
      <c r="E1847" s="28" t="s">
        <v>5322</v>
      </c>
      <c r="F1847" s="194"/>
      <c r="G1847" s="197"/>
      <c r="H1847" s="195"/>
      <c r="I1847" s="110" t="s">
        <v>2755</v>
      </c>
      <c r="J1847" s="111"/>
      <c r="K1847" s="110" t="s">
        <v>5103</v>
      </c>
      <c r="L1847" s="111"/>
      <c r="M1847" s="285">
        <v>43</v>
      </c>
      <c r="N1847" s="400"/>
      <c r="O1847" s="286"/>
      <c r="P1847" s="173" t="s">
        <v>5104</v>
      </c>
      <c r="Q1847" s="174"/>
      <c r="R1847" s="384" t="s">
        <v>3558</v>
      </c>
      <c r="S1847" s="386"/>
      <c r="T1847" s="183">
        <v>4</v>
      </c>
      <c r="U1847" s="185"/>
      <c r="V1847" s="173" t="s">
        <v>3500</v>
      </c>
      <c r="W1847" s="174"/>
      <c r="X1847" s="189"/>
      <c r="Y1847" s="190"/>
      <c r="Z1847" s="191"/>
      <c r="AA1847" s="194"/>
      <c r="AB1847" s="195"/>
      <c r="AC1847" s="292"/>
      <c r="AD1847" s="293"/>
      <c r="AE1847" s="36"/>
      <c r="AF1847" s="292"/>
      <c r="AG1847" s="314"/>
      <c r="AH1847" s="293"/>
      <c r="AI1847" s="36"/>
      <c r="AJ1847" s="48"/>
      <c r="AK1847" s="15"/>
      <c r="AL1847" s="15"/>
    </row>
    <row r="1848" spans="1:38" ht="60" x14ac:dyDescent="0.25">
      <c r="A1848" s="179"/>
      <c r="B1848" s="292"/>
      <c r="C1848" s="314"/>
      <c r="D1848" s="293"/>
      <c r="E1848" s="28" t="s">
        <v>5323</v>
      </c>
      <c r="F1848" s="124" t="s">
        <v>5064</v>
      </c>
      <c r="G1848" s="182"/>
      <c r="H1848" s="125"/>
      <c r="I1848" s="110" t="s">
        <v>722</v>
      </c>
      <c r="J1848" s="111"/>
      <c r="K1848" s="110" t="s">
        <v>5065</v>
      </c>
      <c r="L1848" s="111"/>
      <c r="M1848" s="285">
        <v>22</v>
      </c>
      <c r="N1848" s="400"/>
      <c r="O1848" s="286"/>
      <c r="P1848" s="173" t="s">
        <v>5066</v>
      </c>
      <c r="Q1848" s="174"/>
      <c r="R1848" s="112">
        <v>5</v>
      </c>
      <c r="S1848" s="113"/>
      <c r="T1848" s="183">
        <v>4</v>
      </c>
      <c r="U1848" s="185"/>
      <c r="V1848" s="173" t="s">
        <v>5107</v>
      </c>
      <c r="W1848" s="174"/>
      <c r="X1848" s="175" t="s">
        <v>5079</v>
      </c>
      <c r="Y1848" s="176"/>
      <c r="Z1848" s="177"/>
      <c r="AA1848" s="110" t="s">
        <v>758</v>
      </c>
      <c r="AB1848" s="111"/>
      <c r="AC1848" s="292"/>
      <c r="AD1848" s="293"/>
      <c r="AE1848" s="36"/>
      <c r="AF1848" s="292"/>
      <c r="AG1848" s="314"/>
      <c r="AH1848" s="293"/>
      <c r="AI1848" s="36"/>
      <c r="AJ1848" s="48"/>
      <c r="AK1848" s="15"/>
      <c r="AL1848" s="15"/>
    </row>
    <row r="1849" spans="1:38" ht="60" x14ac:dyDescent="0.25">
      <c r="A1849" s="179"/>
      <c r="B1849" s="292"/>
      <c r="C1849" s="314"/>
      <c r="D1849" s="293"/>
      <c r="E1849" s="28" t="s">
        <v>5324</v>
      </c>
      <c r="F1849" s="124" t="s">
        <v>5076</v>
      </c>
      <c r="G1849" s="182"/>
      <c r="H1849" s="125"/>
      <c r="I1849" s="110" t="s">
        <v>879</v>
      </c>
      <c r="J1849" s="111"/>
      <c r="K1849" s="110" t="s">
        <v>5077</v>
      </c>
      <c r="L1849" s="111"/>
      <c r="M1849" s="285">
        <v>27</v>
      </c>
      <c r="N1849" s="400"/>
      <c r="O1849" s="286"/>
      <c r="P1849" s="173" t="s">
        <v>924</v>
      </c>
      <c r="Q1849" s="174"/>
      <c r="R1849" s="160">
        <v>5</v>
      </c>
      <c r="S1849" s="161"/>
      <c r="T1849" s="183">
        <v>4</v>
      </c>
      <c r="U1849" s="185"/>
      <c r="V1849" s="173" t="s">
        <v>5109</v>
      </c>
      <c r="W1849" s="174"/>
      <c r="X1849" s="175" t="s">
        <v>5084</v>
      </c>
      <c r="Y1849" s="176"/>
      <c r="Z1849" s="177"/>
      <c r="AA1849" s="110" t="s">
        <v>879</v>
      </c>
      <c r="AB1849" s="111"/>
      <c r="AC1849" s="292"/>
      <c r="AD1849" s="293"/>
      <c r="AE1849" s="36"/>
      <c r="AF1849" s="292"/>
      <c r="AG1849" s="314"/>
      <c r="AH1849" s="293"/>
      <c r="AI1849" s="36"/>
      <c r="AJ1849" s="48"/>
      <c r="AK1849" s="15"/>
      <c r="AL1849" s="15"/>
    </row>
    <row r="1850" spans="1:38" ht="60" x14ac:dyDescent="0.25">
      <c r="A1850" s="179"/>
      <c r="B1850" s="292"/>
      <c r="C1850" s="314"/>
      <c r="D1850" s="293"/>
      <c r="E1850" s="28" t="s">
        <v>5325</v>
      </c>
      <c r="F1850" s="124" t="s">
        <v>5082</v>
      </c>
      <c r="G1850" s="182"/>
      <c r="H1850" s="125"/>
      <c r="I1850" s="110" t="s">
        <v>826</v>
      </c>
      <c r="J1850" s="111"/>
      <c r="K1850" s="110" t="s">
        <v>5083</v>
      </c>
      <c r="L1850" s="111"/>
      <c r="M1850" s="285">
        <v>32</v>
      </c>
      <c r="N1850" s="400"/>
      <c r="O1850" s="286"/>
      <c r="P1850" s="173" t="s">
        <v>889</v>
      </c>
      <c r="Q1850" s="174"/>
      <c r="R1850" s="88">
        <v>7</v>
      </c>
      <c r="S1850" s="89"/>
      <c r="T1850" s="183">
        <v>4</v>
      </c>
      <c r="U1850" s="185"/>
      <c r="V1850" s="173" t="s">
        <v>5089</v>
      </c>
      <c r="W1850" s="174"/>
      <c r="X1850" s="175" t="s">
        <v>3366</v>
      </c>
      <c r="Y1850" s="176"/>
      <c r="Z1850" s="177"/>
      <c r="AA1850" s="110" t="s">
        <v>717</v>
      </c>
      <c r="AB1850" s="111"/>
      <c r="AC1850" s="292"/>
      <c r="AD1850" s="293"/>
      <c r="AE1850" s="36"/>
      <c r="AF1850" s="292"/>
      <c r="AG1850" s="314"/>
      <c r="AH1850" s="293"/>
      <c r="AI1850" s="36"/>
      <c r="AJ1850" s="48"/>
      <c r="AK1850" s="15"/>
      <c r="AL1850" s="15"/>
    </row>
    <row r="1851" spans="1:38" ht="60" x14ac:dyDescent="0.25">
      <c r="A1851" s="179"/>
      <c r="B1851" s="292"/>
      <c r="C1851" s="314"/>
      <c r="D1851" s="293"/>
      <c r="E1851" s="28" t="s">
        <v>5326</v>
      </c>
      <c r="F1851" s="124" t="s">
        <v>5087</v>
      </c>
      <c r="G1851" s="182"/>
      <c r="H1851" s="125"/>
      <c r="I1851" s="110" t="s">
        <v>1342</v>
      </c>
      <c r="J1851" s="111"/>
      <c r="K1851" s="110" t="s">
        <v>5088</v>
      </c>
      <c r="L1851" s="111"/>
      <c r="M1851" s="285">
        <v>37</v>
      </c>
      <c r="N1851" s="400"/>
      <c r="O1851" s="286"/>
      <c r="P1851" s="173" t="s">
        <v>768</v>
      </c>
      <c r="Q1851" s="174"/>
      <c r="R1851" s="117" t="s">
        <v>1152</v>
      </c>
      <c r="S1851" s="118"/>
      <c r="T1851" s="183">
        <v>4</v>
      </c>
      <c r="U1851" s="185"/>
      <c r="V1851" s="173" t="s">
        <v>5112</v>
      </c>
      <c r="W1851" s="174"/>
      <c r="X1851" s="175" t="s">
        <v>1335</v>
      </c>
      <c r="Y1851" s="176"/>
      <c r="Z1851" s="177"/>
      <c r="AA1851" s="110" t="s">
        <v>717</v>
      </c>
      <c r="AB1851" s="111"/>
      <c r="AC1851" s="292"/>
      <c r="AD1851" s="293"/>
      <c r="AE1851" s="36"/>
      <c r="AF1851" s="292"/>
      <c r="AG1851" s="314"/>
      <c r="AH1851" s="293"/>
      <c r="AI1851" s="36"/>
      <c r="AJ1851" s="48"/>
      <c r="AK1851" s="15"/>
      <c r="AL1851" s="15"/>
    </row>
    <row r="1852" spans="1:38" ht="60" x14ac:dyDescent="0.25">
      <c r="A1852" s="179"/>
      <c r="B1852" s="292"/>
      <c r="C1852" s="314"/>
      <c r="D1852" s="293"/>
      <c r="E1852" s="28" t="s">
        <v>5327</v>
      </c>
      <c r="F1852" s="124" t="s">
        <v>5092</v>
      </c>
      <c r="G1852" s="182"/>
      <c r="H1852" s="125"/>
      <c r="I1852" s="110" t="s">
        <v>1739</v>
      </c>
      <c r="J1852" s="111"/>
      <c r="K1852" s="110" t="s">
        <v>5093</v>
      </c>
      <c r="L1852" s="111"/>
      <c r="M1852" s="285">
        <v>42</v>
      </c>
      <c r="N1852" s="400"/>
      <c r="O1852" s="286"/>
      <c r="P1852" s="173" t="s">
        <v>5094</v>
      </c>
      <c r="Q1852" s="174"/>
      <c r="R1852" s="88" t="s">
        <v>4862</v>
      </c>
      <c r="S1852" s="89"/>
      <c r="T1852" s="183">
        <v>4</v>
      </c>
      <c r="U1852" s="185"/>
      <c r="V1852" s="173" t="s">
        <v>3889</v>
      </c>
      <c r="W1852" s="174"/>
      <c r="X1852" s="175" t="s">
        <v>3515</v>
      </c>
      <c r="Y1852" s="176"/>
      <c r="Z1852" s="177"/>
      <c r="AA1852" s="110" t="s">
        <v>717</v>
      </c>
      <c r="AB1852" s="111"/>
      <c r="AC1852" s="292"/>
      <c r="AD1852" s="293"/>
      <c r="AE1852" s="36"/>
      <c r="AF1852" s="292"/>
      <c r="AG1852" s="314"/>
      <c r="AH1852" s="293"/>
      <c r="AI1852" s="36"/>
      <c r="AJ1852" s="48"/>
      <c r="AK1852" s="15"/>
      <c r="AL1852" s="15"/>
    </row>
    <row r="1853" spans="1:38" ht="60" x14ac:dyDescent="0.25">
      <c r="A1853" s="179"/>
      <c r="B1853" s="292"/>
      <c r="C1853" s="314"/>
      <c r="D1853" s="293"/>
      <c r="E1853" s="28" t="s">
        <v>5328</v>
      </c>
      <c r="F1853" s="124" t="s">
        <v>5097</v>
      </c>
      <c r="G1853" s="182"/>
      <c r="H1853" s="125"/>
      <c r="I1853" s="110" t="s">
        <v>1045</v>
      </c>
      <c r="J1853" s="111"/>
      <c r="K1853" s="110" t="s">
        <v>5098</v>
      </c>
      <c r="L1853" s="111"/>
      <c r="M1853" s="285">
        <v>47</v>
      </c>
      <c r="N1853" s="400"/>
      <c r="O1853" s="286"/>
      <c r="P1853" s="173" t="s">
        <v>5099</v>
      </c>
      <c r="Q1853" s="174"/>
      <c r="R1853" s="117" t="s">
        <v>4862</v>
      </c>
      <c r="S1853" s="118"/>
      <c r="T1853" s="183">
        <v>4</v>
      </c>
      <c r="U1853" s="185"/>
      <c r="V1853" s="173" t="s">
        <v>1500</v>
      </c>
      <c r="W1853" s="174"/>
      <c r="X1853" s="175" t="s">
        <v>4051</v>
      </c>
      <c r="Y1853" s="176"/>
      <c r="Z1853" s="177"/>
      <c r="AA1853" s="110" t="s">
        <v>879</v>
      </c>
      <c r="AB1853" s="111"/>
      <c r="AC1853" s="292"/>
      <c r="AD1853" s="293"/>
      <c r="AE1853" s="36"/>
      <c r="AF1853" s="292"/>
      <c r="AG1853" s="314"/>
      <c r="AH1853" s="293"/>
      <c r="AI1853" s="36"/>
      <c r="AJ1853" s="48"/>
      <c r="AK1853" s="15"/>
      <c r="AL1853" s="15"/>
    </row>
    <row r="1854" spans="1:38" ht="60" x14ac:dyDescent="0.25">
      <c r="A1854" s="230"/>
      <c r="B1854" s="290"/>
      <c r="C1854" s="345"/>
      <c r="D1854" s="291"/>
      <c r="E1854" s="28" t="s">
        <v>5329</v>
      </c>
      <c r="F1854" s="124" t="s">
        <v>5102</v>
      </c>
      <c r="G1854" s="182"/>
      <c r="H1854" s="125"/>
      <c r="I1854" s="110" t="s">
        <v>2755</v>
      </c>
      <c r="J1854" s="111"/>
      <c r="K1854" s="110" t="s">
        <v>5103</v>
      </c>
      <c r="L1854" s="111"/>
      <c r="M1854" s="285">
        <v>52</v>
      </c>
      <c r="N1854" s="400"/>
      <c r="O1854" s="286"/>
      <c r="P1854" s="173" t="s">
        <v>5104</v>
      </c>
      <c r="Q1854" s="174"/>
      <c r="R1854" s="384" t="s">
        <v>3558</v>
      </c>
      <c r="S1854" s="386"/>
      <c r="T1854" s="183">
        <v>4</v>
      </c>
      <c r="U1854" s="185"/>
      <c r="V1854" s="173" t="s">
        <v>5116</v>
      </c>
      <c r="W1854" s="174"/>
      <c r="X1854" s="175" t="s">
        <v>5117</v>
      </c>
      <c r="Y1854" s="176"/>
      <c r="Z1854" s="177"/>
      <c r="AA1854" s="110" t="s">
        <v>1452</v>
      </c>
      <c r="AB1854" s="111"/>
      <c r="AC1854" s="290"/>
      <c r="AD1854" s="291"/>
      <c r="AE1854" s="36"/>
      <c r="AF1854" s="290"/>
      <c r="AG1854" s="345"/>
      <c r="AH1854" s="291"/>
      <c r="AI1854" s="36"/>
      <c r="AJ1854" s="48"/>
      <c r="AK1854" s="15"/>
      <c r="AL1854" s="15"/>
    </row>
    <row r="1855" spans="1:38" ht="105" x14ac:dyDescent="0.25">
      <c r="A1855" s="178"/>
      <c r="B1855" s="303" t="s">
        <v>5330</v>
      </c>
      <c r="C1855" s="344"/>
      <c r="D1855" s="304"/>
      <c r="E1855" s="28" t="s">
        <v>5331</v>
      </c>
      <c r="F1855" s="233" t="s">
        <v>5332</v>
      </c>
      <c r="G1855" s="305"/>
      <c r="H1855" s="234"/>
      <c r="I1855" s="183">
        <v>4</v>
      </c>
      <c r="J1855" s="185"/>
      <c r="K1855" s="143" t="s">
        <v>4796</v>
      </c>
      <c r="L1855" s="145"/>
      <c r="M1855" s="173" t="s">
        <v>5333</v>
      </c>
      <c r="N1855" s="276"/>
      <c r="O1855" s="174"/>
      <c r="P1855" s="173" t="s">
        <v>688</v>
      </c>
      <c r="Q1855" s="174"/>
      <c r="R1855" s="112">
        <v>7</v>
      </c>
      <c r="S1855" s="113"/>
      <c r="T1855" s="183">
        <v>5</v>
      </c>
      <c r="U1855" s="185"/>
      <c r="V1855" s="173" t="s">
        <v>5334</v>
      </c>
      <c r="W1855" s="174"/>
      <c r="X1855" s="294">
        <v>69</v>
      </c>
      <c r="Y1855" s="295"/>
      <c r="Z1855" s="296"/>
      <c r="AA1855" s="233" t="s">
        <v>768</v>
      </c>
      <c r="AB1855" s="234"/>
      <c r="AC1855" s="223" t="s">
        <v>3194</v>
      </c>
      <c r="AD1855" s="224"/>
      <c r="AE1855" s="24" t="s">
        <v>5337</v>
      </c>
      <c r="AF1855" s="303" t="s">
        <v>734</v>
      </c>
      <c r="AG1855" s="344"/>
      <c r="AH1855" s="304"/>
      <c r="AI1855" s="24" t="s">
        <v>5339</v>
      </c>
      <c r="AJ1855" s="48"/>
      <c r="AK1855" s="15"/>
      <c r="AL1855" s="15"/>
    </row>
    <row r="1856" spans="1:38" ht="120" x14ac:dyDescent="0.25">
      <c r="A1856" s="179"/>
      <c r="B1856" s="292"/>
      <c r="C1856" s="314"/>
      <c r="D1856" s="293"/>
      <c r="E1856" s="28" t="s">
        <v>5341</v>
      </c>
      <c r="F1856" s="235"/>
      <c r="G1856" s="270"/>
      <c r="H1856" s="236"/>
      <c r="I1856" s="183">
        <v>4</v>
      </c>
      <c r="J1856" s="185"/>
      <c r="K1856" s="104" t="s">
        <v>4796</v>
      </c>
      <c r="L1856" s="105"/>
      <c r="M1856" s="173" t="s">
        <v>5333</v>
      </c>
      <c r="N1856" s="276"/>
      <c r="O1856" s="174"/>
      <c r="P1856" s="173" t="s">
        <v>688</v>
      </c>
      <c r="Q1856" s="174"/>
      <c r="R1856" s="155">
        <v>7</v>
      </c>
      <c r="S1856" s="157"/>
      <c r="T1856" s="183">
        <v>5</v>
      </c>
      <c r="U1856" s="185"/>
      <c r="V1856" s="173" t="s">
        <v>5334</v>
      </c>
      <c r="W1856" s="174"/>
      <c r="X1856" s="297"/>
      <c r="Y1856" s="298"/>
      <c r="Z1856" s="299"/>
      <c r="AA1856" s="235"/>
      <c r="AB1856" s="236"/>
      <c r="AC1856" s="239" t="s">
        <v>5335</v>
      </c>
      <c r="AD1856" s="240"/>
      <c r="AE1856" s="31" t="s">
        <v>1356</v>
      </c>
      <c r="AF1856" s="292" t="s">
        <v>3401</v>
      </c>
      <c r="AG1856" s="314"/>
      <c r="AH1856" s="293"/>
      <c r="AI1856" s="31" t="s">
        <v>5340</v>
      </c>
      <c r="AJ1856" s="48"/>
      <c r="AK1856" s="15"/>
      <c r="AL1856" s="15"/>
    </row>
    <row r="1857" spans="1:38" ht="75" x14ac:dyDescent="0.25">
      <c r="A1857" s="179"/>
      <c r="B1857" s="292"/>
      <c r="C1857" s="314"/>
      <c r="D1857" s="293"/>
      <c r="E1857" s="28" t="s">
        <v>5342</v>
      </c>
      <c r="F1857" s="235"/>
      <c r="G1857" s="270"/>
      <c r="H1857" s="236"/>
      <c r="I1857" s="183">
        <v>4</v>
      </c>
      <c r="J1857" s="185"/>
      <c r="K1857" s="104" t="s">
        <v>4796</v>
      </c>
      <c r="L1857" s="105"/>
      <c r="M1857" s="173" t="s">
        <v>5333</v>
      </c>
      <c r="N1857" s="276"/>
      <c r="O1857" s="174"/>
      <c r="P1857" s="173" t="s">
        <v>688</v>
      </c>
      <c r="Q1857" s="174"/>
      <c r="R1857" s="155">
        <v>7</v>
      </c>
      <c r="S1857" s="157"/>
      <c r="T1857" s="183">
        <v>5</v>
      </c>
      <c r="U1857" s="185"/>
      <c r="V1857" s="173" t="s">
        <v>5334</v>
      </c>
      <c r="W1857" s="174"/>
      <c r="X1857" s="297"/>
      <c r="Y1857" s="298"/>
      <c r="Z1857" s="299"/>
      <c r="AA1857" s="235"/>
      <c r="AB1857" s="236"/>
      <c r="AC1857" s="239" t="s">
        <v>2211</v>
      </c>
      <c r="AD1857" s="240"/>
      <c r="AE1857" s="31" t="s">
        <v>5338</v>
      </c>
      <c r="AF1857" s="292"/>
      <c r="AG1857" s="314"/>
      <c r="AH1857" s="293"/>
      <c r="AI1857" s="31"/>
      <c r="AJ1857" s="48"/>
      <c r="AK1857" s="15"/>
      <c r="AL1857" s="15"/>
    </row>
    <row r="1858" spans="1:38" ht="105" x14ac:dyDescent="0.25">
      <c r="A1858" s="179"/>
      <c r="B1858" s="292"/>
      <c r="C1858" s="314"/>
      <c r="D1858" s="293"/>
      <c r="E1858" s="28" t="s">
        <v>5343</v>
      </c>
      <c r="F1858" s="235"/>
      <c r="G1858" s="270"/>
      <c r="H1858" s="236"/>
      <c r="I1858" s="183">
        <v>4</v>
      </c>
      <c r="J1858" s="185"/>
      <c r="K1858" s="104" t="s">
        <v>4796</v>
      </c>
      <c r="L1858" s="105"/>
      <c r="M1858" s="173" t="s">
        <v>5333</v>
      </c>
      <c r="N1858" s="276"/>
      <c r="O1858" s="174"/>
      <c r="P1858" s="173" t="s">
        <v>688</v>
      </c>
      <c r="Q1858" s="174"/>
      <c r="R1858" s="155">
        <v>7</v>
      </c>
      <c r="S1858" s="157"/>
      <c r="T1858" s="183">
        <v>5</v>
      </c>
      <c r="U1858" s="185"/>
      <c r="V1858" s="173" t="s">
        <v>5334</v>
      </c>
      <c r="W1858" s="174"/>
      <c r="X1858" s="297"/>
      <c r="Y1858" s="298"/>
      <c r="Z1858" s="299"/>
      <c r="AA1858" s="235"/>
      <c r="AB1858" s="236"/>
      <c r="AC1858" s="239" t="s">
        <v>5336</v>
      </c>
      <c r="AD1858" s="240"/>
      <c r="AE1858" s="31"/>
      <c r="AF1858" s="292"/>
      <c r="AG1858" s="314"/>
      <c r="AH1858" s="293"/>
      <c r="AI1858" s="31"/>
      <c r="AJ1858" s="48"/>
      <c r="AK1858" s="15"/>
      <c r="AL1858" s="15"/>
    </row>
    <row r="1859" spans="1:38" ht="75" x14ac:dyDescent="0.25">
      <c r="A1859" s="179"/>
      <c r="B1859" s="292"/>
      <c r="C1859" s="314"/>
      <c r="D1859" s="293"/>
      <c r="E1859" s="28" t="s">
        <v>5344</v>
      </c>
      <c r="F1859" s="235"/>
      <c r="G1859" s="270"/>
      <c r="H1859" s="236"/>
      <c r="I1859" s="183">
        <v>4</v>
      </c>
      <c r="J1859" s="185"/>
      <c r="K1859" s="104" t="s">
        <v>4796</v>
      </c>
      <c r="L1859" s="105"/>
      <c r="M1859" s="173" t="s">
        <v>5333</v>
      </c>
      <c r="N1859" s="276"/>
      <c r="O1859" s="174"/>
      <c r="P1859" s="173" t="s">
        <v>688</v>
      </c>
      <c r="Q1859" s="174"/>
      <c r="R1859" s="155">
        <v>7</v>
      </c>
      <c r="S1859" s="157"/>
      <c r="T1859" s="183">
        <v>5</v>
      </c>
      <c r="U1859" s="185"/>
      <c r="V1859" s="173" t="s">
        <v>5334</v>
      </c>
      <c r="W1859" s="174"/>
      <c r="X1859" s="297"/>
      <c r="Y1859" s="298"/>
      <c r="Z1859" s="299"/>
      <c r="AA1859" s="235"/>
      <c r="AB1859" s="236"/>
      <c r="AC1859" s="239"/>
      <c r="AD1859" s="240"/>
      <c r="AE1859" s="31"/>
      <c r="AF1859" s="292"/>
      <c r="AG1859" s="314"/>
      <c r="AH1859" s="293"/>
      <c r="AI1859" s="31"/>
      <c r="AJ1859" s="48"/>
      <c r="AK1859" s="15"/>
      <c r="AL1859" s="15"/>
    </row>
    <row r="1860" spans="1:38" ht="90" x14ac:dyDescent="0.25">
      <c r="A1860" s="179"/>
      <c r="B1860" s="292"/>
      <c r="C1860" s="314"/>
      <c r="D1860" s="293"/>
      <c r="E1860" s="28" t="s">
        <v>5345</v>
      </c>
      <c r="F1860" s="235"/>
      <c r="G1860" s="270"/>
      <c r="H1860" s="236"/>
      <c r="I1860" s="183">
        <v>4</v>
      </c>
      <c r="J1860" s="185"/>
      <c r="K1860" s="104" t="s">
        <v>4796</v>
      </c>
      <c r="L1860" s="105"/>
      <c r="M1860" s="173" t="s">
        <v>5333</v>
      </c>
      <c r="N1860" s="276"/>
      <c r="O1860" s="174"/>
      <c r="P1860" s="173" t="s">
        <v>688</v>
      </c>
      <c r="Q1860" s="174"/>
      <c r="R1860" s="155">
        <v>7</v>
      </c>
      <c r="S1860" s="157"/>
      <c r="T1860" s="183">
        <v>5</v>
      </c>
      <c r="U1860" s="185"/>
      <c r="V1860" s="173" t="s">
        <v>5334</v>
      </c>
      <c r="W1860" s="174"/>
      <c r="X1860" s="300"/>
      <c r="Y1860" s="301"/>
      <c r="Z1860" s="302"/>
      <c r="AA1860" s="237"/>
      <c r="AB1860" s="238"/>
      <c r="AC1860" s="239"/>
      <c r="AD1860" s="240"/>
      <c r="AE1860" s="31"/>
      <c r="AF1860" s="292"/>
      <c r="AG1860" s="314"/>
      <c r="AH1860" s="293"/>
      <c r="AI1860" s="31"/>
      <c r="AJ1860" s="48"/>
      <c r="AK1860" s="15"/>
      <c r="AL1860" s="15"/>
    </row>
    <row r="1861" spans="1:38" ht="90" x14ac:dyDescent="0.25">
      <c r="A1861" s="179"/>
      <c r="B1861" s="292"/>
      <c r="C1861" s="314"/>
      <c r="D1861" s="293"/>
      <c r="E1861" s="28" t="s">
        <v>5346</v>
      </c>
      <c r="F1861" s="235"/>
      <c r="G1861" s="270"/>
      <c r="H1861" s="236"/>
      <c r="I1861" s="183">
        <v>4</v>
      </c>
      <c r="J1861" s="185"/>
      <c r="K1861" s="104" t="s">
        <v>4796</v>
      </c>
      <c r="L1861" s="105"/>
      <c r="M1861" s="173" t="s">
        <v>5347</v>
      </c>
      <c r="N1861" s="276"/>
      <c r="O1861" s="174"/>
      <c r="P1861" s="173" t="s">
        <v>688</v>
      </c>
      <c r="Q1861" s="174"/>
      <c r="R1861" s="155">
        <v>7</v>
      </c>
      <c r="S1861" s="157"/>
      <c r="T1861" s="183">
        <v>5</v>
      </c>
      <c r="U1861" s="185"/>
      <c r="V1861" s="173" t="s">
        <v>5348</v>
      </c>
      <c r="W1861" s="174"/>
      <c r="X1861" s="252">
        <v>79</v>
      </c>
      <c r="Y1861" s="253"/>
      <c r="Z1861" s="254"/>
      <c r="AA1861" s="192" t="s">
        <v>889</v>
      </c>
      <c r="AB1861" s="193"/>
      <c r="AC1861" s="239"/>
      <c r="AD1861" s="240"/>
      <c r="AE1861" s="31"/>
      <c r="AF1861" s="292"/>
      <c r="AG1861" s="314"/>
      <c r="AH1861" s="293"/>
      <c r="AI1861" s="31"/>
      <c r="AJ1861" s="48"/>
      <c r="AK1861" s="15"/>
      <c r="AL1861" s="15"/>
    </row>
    <row r="1862" spans="1:38" ht="90" x14ac:dyDescent="0.25">
      <c r="A1862" s="179"/>
      <c r="B1862" s="292"/>
      <c r="C1862" s="314"/>
      <c r="D1862" s="293"/>
      <c r="E1862" s="28" t="s">
        <v>5349</v>
      </c>
      <c r="F1862" s="235"/>
      <c r="G1862" s="270"/>
      <c r="H1862" s="236"/>
      <c r="I1862" s="183">
        <v>4</v>
      </c>
      <c r="J1862" s="185"/>
      <c r="K1862" s="104" t="s">
        <v>4796</v>
      </c>
      <c r="L1862" s="105"/>
      <c r="M1862" s="173" t="s">
        <v>5347</v>
      </c>
      <c r="N1862" s="276"/>
      <c r="O1862" s="174"/>
      <c r="P1862" s="173" t="s">
        <v>688</v>
      </c>
      <c r="Q1862" s="174"/>
      <c r="R1862" s="155">
        <v>7</v>
      </c>
      <c r="S1862" s="157"/>
      <c r="T1862" s="183">
        <v>5</v>
      </c>
      <c r="U1862" s="185"/>
      <c r="V1862" s="173" t="s">
        <v>5348</v>
      </c>
      <c r="W1862" s="174"/>
      <c r="X1862" s="311"/>
      <c r="Y1862" s="312"/>
      <c r="Z1862" s="313"/>
      <c r="AA1862" s="272"/>
      <c r="AB1862" s="273"/>
      <c r="AC1862" s="239"/>
      <c r="AD1862" s="240"/>
      <c r="AE1862" s="31"/>
      <c r="AF1862" s="292"/>
      <c r="AG1862" s="314"/>
      <c r="AH1862" s="293"/>
      <c r="AI1862" s="31"/>
      <c r="AJ1862" s="48"/>
      <c r="AK1862" s="15"/>
      <c r="AL1862" s="15"/>
    </row>
    <row r="1863" spans="1:38" ht="75" x14ac:dyDescent="0.25">
      <c r="A1863" s="230"/>
      <c r="B1863" s="290"/>
      <c r="C1863" s="345"/>
      <c r="D1863" s="291"/>
      <c r="E1863" s="28" t="s">
        <v>5350</v>
      </c>
      <c r="F1863" s="237"/>
      <c r="G1863" s="306"/>
      <c r="H1863" s="238"/>
      <c r="I1863" s="183">
        <v>4</v>
      </c>
      <c r="J1863" s="185"/>
      <c r="K1863" s="146" t="s">
        <v>4796</v>
      </c>
      <c r="L1863" s="148"/>
      <c r="M1863" s="173" t="s">
        <v>5347</v>
      </c>
      <c r="N1863" s="276"/>
      <c r="O1863" s="174"/>
      <c r="P1863" s="173" t="s">
        <v>688</v>
      </c>
      <c r="Q1863" s="174"/>
      <c r="R1863" s="160">
        <v>7</v>
      </c>
      <c r="S1863" s="161"/>
      <c r="T1863" s="183">
        <v>5</v>
      </c>
      <c r="U1863" s="185"/>
      <c r="V1863" s="173" t="s">
        <v>5348</v>
      </c>
      <c r="W1863" s="174"/>
      <c r="X1863" s="255"/>
      <c r="Y1863" s="256"/>
      <c r="Z1863" s="257"/>
      <c r="AA1863" s="194"/>
      <c r="AB1863" s="195"/>
      <c r="AC1863" s="225"/>
      <c r="AD1863" s="226"/>
      <c r="AE1863" s="31"/>
      <c r="AF1863" s="290"/>
      <c r="AG1863" s="345"/>
      <c r="AH1863" s="291"/>
      <c r="AI1863" s="31"/>
      <c r="AJ1863" s="48"/>
      <c r="AK1863" s="15"/>
      <c r="AL1863" s="15"/>
    </row>
    <row r="1864" spans="1:38" ht="105" x14ac:dyDescent="0.25">
      <c r="A1864" s="178"/>
      <c r="B1864" s="303" t="s">
        <v>5351</v>
      </c>
      <c r="C1864" s="344"/>
      <c r="D1864" s="304"/>
      <c r="E1864" s="28" t="s">
        <v>5352</v>
      </c>
      <c r="F1864" s="303" t="s">
        <v>5353</v>
      </c>
      <c r="G1864" s="344"/>
      <c r="H1864" s="304"/>
      <c r="I1864" s="110" t="s">
        <v>4174</v>
      </c>
      <c r="J1864" s="111"/>
      <c r="K1864" s="143" t="s">
        <v>4796</v>
      </c>
      <c r="L1864" s="145"/>
      <c r="M1864" s="180" t="s">
        <v>5354</v>
      </c>
      <c r="N1864" s="450"/>
      <c r="O1864" s="181"/>
      <c r="P1864" s="173" t="s">
        <v>688</v>
      </c>
      <c r="Q1864" s="174"/>
      <c r="R1864" s="477">
        <v>7</v>
      </c>
      <c r="S1864" s="478"/>
      <c r="T1864" s="183">
        <v>5</v>
      </c>
      <c r="U1864" s="185"/>
      <c r="V1864" s="173" t="s">
        <v>1495</v>
      </c>
      <c r="W1864" s="174"/>
      <c r="X1864" s="294">
        <v>49</v>
      </c>
      <c r="Y1864" s="295"/>
      <c r="Z1864" s="296"/>
      <c r="AA1864" s="233" t="s">
        <v>826</v>
      </c>
      <c r="AB1864" s="234"/>
      <c r="AC1864" s="171" t="s">
        <v>3194</v>
      </c>
      <c r="AD1864" s="172"/>
      <c r="AE1864" s="24" t="s">
        <v>5357</v>
      </c>
      <c r="AF1864" s="171" t="s">
        <v>1794</v>
      </c>
      <c r="AG1864" s="407"/>
      <c r="AH1864" s="172"/>
      <c r="AI1864" s="164"/>
      <c r="AJ1864" s="48"/>
      <c r="AK1864" s="15"/>
      <c r="AL1864" s="15"/>
    </row>
    <row r="1865" spans="1:38" ht="90" x14ac:dyDescent="0.25">
      <c r="A1865" s="179"/>
      <c r="B1865" s="292" t="s">
        <v>2406</v>
      </c>
      <c r="C1865" s="314"/>
      <c r="D1865" s="293"/>
      <c r="E1865" s="28" t="s">
        <v>5360</v>
      </c>
      <c r="F1865" s="292"/>
      <c r="G1865" s="314"/>
      <c r="H1865" s="293"/>
      <c r="I1865" s="110" t="s">
        <v>4174</v>
      </c>
      <c r="J1865" s="111"/>
      <c r="K1865" s="104" t="s">
        <v>4796</v>
      </c>
      <c r="L1865" s="105"/>
      <c r="M1865" s="180" t="s">
        <v>5354</v>
      </c>
      <c r="N1865" s="450"/>
      <c r="O1865" s="181"/>
      <c r="P1865" s="173" t="s">
        <v>688</v>
      </c>
      <c r="Q1865" s="174"/>
      <c r="R1865" s="477">
        <v>7</v>
      </c>
      <c r="S1865" s="478"/>
      <c r="T1865" s="183">
        <v>5</v>
      </c>
      <c r="U1865" s="185"/>
      <c r="V1865" s="173" t="s">
        <v>1495</v>
      </c>
      <c r="W1865" s="174"/>
      <c r="X1865" s="297"/>
      <c r="Y1865" s="298"/>
      <c r="Z1865" s="299"/>
      <c r="AA1865" s="235"/>
      <c r="AB1865" s="236"/>
      <c r="AC1865" s="162" t="s">
        <v>5355</v>
      </c>
      <c r="AD1865" s="163"/>
      <c r="AE1865" s="31" t="s">
        <v>1356</v>
      </c>
      <c r="AF1865" s="162" t="s">
        <v>5359</v>
      </c>
      <c r="AG1865" s="170"/>
      <c r="AH1865" s="163"/>
      <c r="AI1865" s="167"/>
      <c r="AJ1865" s="48"/>
      <c r="AK1865" s="15"/>
      <c r="AL1865" s="15"/>
    </row>
    <row r="1866" spans="1:38" ht="90" x14ac:dyDescent="0.25">
      <c r="A1866" s="179"/>
      <c r="B1866" s="292"/>
      <c r="C1866" s="314"/>
      <c r="D1866" s="293"/>
      <c r="E1866" s="28" t="s">
        <v>5361</v>
      </c>
      <c r="F1866" s="292"/>
      <c r="G1866" s="314"/>
      <c r="H1866" s="293"/>
      <c r="I1866" s="110" t="s">
        <v>4174</v>
      </c>
      <c r="J1866" s="111"/>
      <c r="K1866" s="104" t="s">
        <v>4796</v>
      </c>
      <c r="L1866" s="105"/>
      <c r="M1866" s="180" t="s">
        <v>5354</v>
      </c>
      <c r="N1866" s="450"/>
      <c r="O1866" s="181"/>
      <c r="P1866" s="173" t="s">
        <v>688</v>
      </c>
      <c r="Q1866" s="174"/>
      <c r="R1866" s="477">
        <v>7</v>
      </c>
      <c r="S1866" s="478"/>
      <c r="T1866" s="183">
        <v>5</v>
      </c>
      <c r="U1866" s="185"/>
      <c r="V1866" s="173" t="s">
        <v>1495</v>
      </c>
      <c r="W1866" s="174"/>
      <c r="X1866" s="297"/>
      <c r="Y1866" s="298"/>
      <c r="Z1866" s="299"/>
      <c r="AA1866" s="235"/>
      <c r="AB1866" s="236"/>
      <c r="AC1866" s="162" t="s">
        <v>5356</v>
      </c>
      <c r="AD1866" s="163"/>
      <c r="AE1866" s="31" t="s">
        <v>5358</v>
      </c>
      <c r="AF1866" s="162"/>
      <c r="AG1866" s="170"/>
      <c r="AH1866" s="163"/>
      <c r="AI1866" s="167"/>
      <c r="AJ1866" s="48"/>
      <c r="AK1866" s="15"/>
      <c r="AL1866" s="15"/>
    </row>
    <row r="1867" spans="1:38" ht="105" x14ac:dyDescent="0.25">
      <c r="A1867" s="179"/>
      <c r="B1867" s="292"/>
      <c r="C1867" s="314"/>
      <c r="D1867" s="293"/>
      <c r="E1867" s="28" t="s">
        <v>5362</v>
      </c>
      <c r="F1867" s="292"/>
      <c r="G1867" s="314"/>
      <c r="H1867" s="293"/>
      <c r="I1867" s="110" t="s">
        <v>4174</v>
      </c>
      <c r="J1867" s="111"/>
      <c r="K1867" s="104" t="s">
        <v>4796</v>
      </c>
      <c r="L1867" s="105"/>
      <c r="M1867" s="180" t="s">
        <v>5354</v>
      </c>
      <c r="N1867" s="450"/>
      <c r="O1867" s="181"/>
      <c r="P1867" s="173" t="s">
        <v>688</v>
      </c>
      <c r="Q1867" s="174"/>
      <c r="R1867" s="477">
        <v>7</v>
      </c>
      <c r="S1867" s="478"/>
      <c r="T1867" s="183">
        <v>5</v>
      </c>
      <c r="U1867" s="185"/>
      <c r="V1867" s="173" t="s">
        <v>1495</v>
      </c>
      <c r="W1867" s="174"/>
      <c r="X1867" s="297"/>
      <c r="Y1867" s="298"/>
      <c r="Z1867" s="299"/>
      <c r="AA1867" s="235"/>
      <c r="AB1867" s="236"/>
      <c r="AC1867" s="162"/>
      <c r="AD1867" s="163"/>
      <c r="AE1867" s="31"/>
      <c r="AF1867" s="162"/>
      <c r="AG1867" s="170"/>
      <c r="AH1867" s="163"/>
      <c r="AI1867" s="167"/>
      <c r="AJ1867" s="48"/>
      <c r="AK1867" s="15"/>
      <c r="AL1867" s="15"/>
    </row>
    <row r="1868" spans="1:38" ht="90" x14ac:dyDescent="0.25">
      <c r="A1868" s="179"/>
      <c r="B1868" s="292"/>
      <c r="C1868" s="314"/>
      <c r="D1868" s="293"/>
      <c r="E1868" s="28" t="s">
        <v>5363</v>
      </c>
      <c r="F1868" s="292"/>
      <c r="G1868" s="314"/>
      <c r="H1868" s="293"/>
      <c r="I1868" s="110" t="s">
        <v>4174</v>
      </c>
      <c r="J1868" s="111"/>
      <c r="K1868" s="104" t="s">
        <v>4796</v>
      </c>
      <c r="L1868" s="105"/>
      <c r="M1868" s="180" t="s">
        <v>5354</v>
      </c>
      <c r="N1868" s="450"/>
      <c r="O1868" s="181"/>
      <c r="P1868" s="173" t="s">
        <v>688</v>
      </c>
      <c r="Q1868" s="174"/>
      <c r="R1868" s="477">
        <v>7</v>
      </c>
      <c r="S1868" s="478"/>
      <c r="T1868" s="183">
        <v>5</v>
      </c>
      <c r="U1868" s="185"/>
      <c r="V1868" s="173" t="s">
        <v>1495</v>
      </c>
      <c r="W1868" s="174"/>
      <c r="X1868" s="297"/>
      <c r="Y1868" s="298"/>
      <c r="Z1868" s="299"/>
      <c r="AA1868" s="235"/>
      <c r="AB1868" s="236"/>
      <c r="AC1868" s="162"/>
      <c r="AD1868" s="163"/>
      <c r="AE1868" s="31"/>
      <c r="AF1868" s="162"/>
      <c r="AG1868" s="170"/>
      <c r="AH1868" s="163"/>
      <c r="AI1868" s="167"/>
      <c r="AJ1868" s="48"/>
      <c r="AK1868" s="15"/>
      <c r="AL1868" s="15"/>
    </row>
    <row r="1869" spans="1:38" ht="90" x14ac:dyDescent="0.25">
      <c r="A1869" s="179"/>
      <c r="B1869" s="292"/>
      <c r="C1869" s="314"/>
      <c r="D1869" s="293"/>
      <c r="E1869" s="28" t="s">
        <v>5364</v>
      </c>
      <c r="F1869" s="292"/>
      <c r="G1869" s="314"/>
      <c r="H1869" s="293"/>
      <c r="I1869" s="110" t="s">
        <v>4174</v>
      </c>
      <c r="J1869" s="111"/>
      <c r="K1869" s="104" t="s">
        <v>4796</v>
      </c>
      <c r="L1869" s="105"/>
      <c r="M1869" s="180" t="s">
        <v>5354</v>
      </c>
      <c r="N1869" s="450"/>
      <c r="O1869" s="181"/>
      <c r="P1869" s="173" t="s">
        <v>688</v>
      </c>
      <c r="Q1869" s="174"/>
      <c r="R1869" s="477">
        <v>7</v>
      </c>
      <c r="S1869" s="478"/>
      <c r="T1869" s="183">
        <v>5</v>
      </c>
      <c r="U1869" s="185"/>
      <c r="V1869" s="173" t="s">
        <v>1495</v>
      </c>
      <c r="W1869" s="174"/>
      <c r="X1869" s="300"/>
      <c r="Y1869" s="301"/>
      <c r="Z1869" s="302"/>
      <c r="AA1869" s="237"/>
      <c r="AB1869" s="238"/>
      <c r="AC1869" s="162"/>
      <c r="AD1869" s="163"/>
      <c r="AE1869" s="31"/>
      <c r="AF1869" s="162"/>
      <c r="AG1869" s="170"/>
      <c r="AH1869" s="163"/>
      <c r="AI1869" s="167"/>
      <c r="AJ1869" s="48"/>
      <c r="AK1869" s="15"/>
      <c r="AL1869" s="15"/>
    </row>
    <row r="1870" spans="1:38" ht="105" x14ac:dyDescent="0.25">
      <c r="A1870" s="179"/>
      <c r="B1870" s="292"/>
      <c r="C1870" s="314"/>
      <c r="D1870" s="293"/>
      <c r="E1870" s="28" t="s">
        <v>5365</v>
      </c>
      <c r="F1870" s="292"/>
      <c r="G1870" s="314"/>
      <c r="H1870" s="293"/>
      <c r="I1870" s="110" t="s">
        <v>4174</v>
      </c>
      <c r="J1870" s="111"/>
      <c r="K1870" s="104" t="s">
        <v>4796</v>
      </c>
      <c r="L1870" s="105"/>
      <c r="M1870" s="180" t="s">
        <v>5366</v>
      </c>
      <c r="N1870" s="450"/>
      <c r="O1870" s="181"/>
      <c r="P1870" s="173" t="s">
        <v>688</v>
      </c>
      <c r="Q1870" s="174"/>
      <c r="R1870" s="477">
        <v>7</v>
      </c>
      <c r="S1870" s="478"/>
      <c r="T1870" s="183">
        <v>5</v>
      </c>
      <c r="U1870" s="185"/>
      <c r="V1870" s="173" t="s">
        <v>2556</v>
      </c>
      <c r="W1870" s="174"/>
      <c r="X1870" s="252">
        <v>52</v>
      </c>
      <c r="Y1870" s="253"/>
      <c r="Z1870" s="254"/>
      <c r="AA1870" s="192" t="s">
        <v>758</v>
      </c>
      <c r="AB1870" s="193"/>
      <c r="AC1870" s="162"/>
      <c r="AD1870" s="163"/>
      <c r="AE1870" s="31"/>
      <c r="AF1870" s="162"/>
      <c r="AG1870" s="170"/>
      <c r="AH1870" s="163"/>
      <c r="AI1870" s="167"/>
      <c r="AJ1870" s="48"/>
      <c r="AK1870" s="15"/>
      <c r="AL1870" s="15"/>
    </row>
    <row r="1871" spans="1:38" ht="90" x14ac:dyDescent="0.25">
      <c r="A1871" s="179"/>
      <c r="B1871" s="292"/>
      <c r="C1871" s="314"/>
      <c r="D1871" s="293"/>
      <c r="E1871" s="28" t="s">
        <v>5367</v>
      </c>
      <c r="F1871" s="292"/>
      <c r="G1871" s="314"/>
      <c r="H1871" s="293"/>
      <c r="I1871" s="110" t="s">
        <v>4174</v>
      </c>
      <c r="J1871" s="111"/>
      <c r="K1871" s="104" t="s">
        <v>4796</v>
      </c>
      <c r="L1871" s="105"/>
      <c r="M1871" s="180" t="s">
        <v>5366</v>
      </c>
      <c r="N1871" s="450"/>
      <c r="O1871" s="181"/>
      <c r="P1871" s="173" t="s">
        <v>688</v>
      </c>
      <c r="Q1871" s="174"/>
      <c r="R1871" s="477">
        <v>7</v>
      </c>
      <c r="S1871" s="478"/>
      <c r="T1871" s="183">
        <v>5</v>
      </c>
      <c r="U1871" s="185"/>
      <c r="V1871" s="173" t="s">
        <v>2556</v>
      </c>
      <c r="W1871" s="174"/>
      <c r="X1871" s="311"/>
      <c r="Y1871" s="312"/>
      <c r="Z1871" s="313"/>
      <c r="AA1871" s="272"/>
      <c r="AB1871" s="273"/>
      <c r="AC1871" s="162"/>
      <c r="AD1871" s="163"/>
      <c r="AE1871" s="31"/>
      <c r="AF1871" s="162"/>
      <c r="AG1871" s="170"/>
      <c r="AH1871" s="163"/>
      <c r="AI1871" s="167"/>
      <c r="AJ1871" s="48"/>
      <c r="AK1871" s="15"/>
      <c r="AL1871" s="15"/>
    </row>
    <row r="1872" spans="1:38" ht="90" x14ac:dyDescent="0.25">
      <c r="A1872" s="230"/>
      <c r="B1872" s="290"/>
      <c r="C1872" s="345"/>
      <c r="D1872" s="291"/>
      <c r="E1872" s="28" t="s">
        <v>5368</v>
      </c>
      <c r="F1872" s="290"/>
      <c r="G1872" s="345"/>
      <c r="H1872" s="291"/>
      <c r="I1872" s="110" t="s">
        <v>4174</v>
      </c>
      <c r="J1872" s="111"/>
      <c r="K1872" s="146" t="s">
        <v>4796</v>
      </c>
      <c r="L1872" s="148"/>
      <c r="M1872" s="180" t="s">
        <v>5366</v>
      </c>
      <c r="N1872" s="450"/>
      <c r="O1872" s="181"/>
      <c r="P1872" s="173" t="s">
        <v>688</v>
      </c>
      <c r="Q1872" s="174"/>
      <c r="R1872" s="477">
        <v>7</v>
      </c>
      <c r="S1872" s="478"/>
      <c r="T1872" s="183">
        <v>5</v>
      </c>
      <c r="U1872" s="185"/>
      <c r="V1872" s="173" t="s">
        <v>2556</v>
      </c>
      <c r="W1872" s="174"/>
      <c r="X1872" s="255"/>
      <c r="Y1872" s="256"/>
      <c r="Z1872" s="257"/>
      <c r="AA1872" s="194"/>
      <c r="AB1872" s="195"/>
      <c r="AC1872" s="212"/>
      <c r="AD1872" s="213"/>
      <c r="AE1872" s="31"/>
      <c r="AF1872" s="212"/>
      <c r="AG1872" s="408"/>
      <c r="AH1872" s="213"/>
      <c r="AI1872" s="167"/>
      <c r="AJ1872" s="48"/>
      <c r="AK1872" s="15"/>
      <c r="AL1872" s="15"/>
    </row>
    <row r="1873" spans="1:38" ht="105" x14ac:dyDescent="0.25">
      <c r="A1873" s="178"/>
      <c r="B1873" s="303" t="s">
        <v>5369</v>
      </c>
      <c r="C1873" s="344"/>
      <c r="D1873" s="304"/>
      <c r="E1873" s="28" t="s">
        <v>5370</v>
      </c>
      <c r="F1873" s="124" t="s">
        <v>5371</v>
      </c>
      <c r="G1873" s="182"/>
      <c r="H1873" s="125"/>
      <c r="I1873" s="183">
        <v>13</v>
      </c>
      <c r="J1873" s="185"/>
      <c r="K1873" s="110" t="s">
        <v>5372</v>
      </c>
      <c r="L1873" s="111"/>
      <c r="M1873" s="183">
        <v>62</v>
      </c>
      <c r="N1873" s="184"/>
      <c r="O1873" s="185"/>
      <c r="P1873" s="183">
        <v>10</v>
      </c>
      <c r="Q1873" s="185"/>
      <c r="R1873" s="114" t="s">
        <v>977</v>
      </c>
      <c r="S1873" s="116"/>
      <c r="T1873" s="183">
        <v>12</v>
      </c>
      <c r="U1873" s="185"/>
      <c r="V1873" s="173" t="s">
        <v>2744</v>
      </c>
      <c r="W1873" s="174"/>
      <c r="X1873" s="227">
        <v>158</v>
      </c>
      <c r="Y1873" s="228"/>
      <c r="Z1873" s="229"/>
      <c r="AA1873" s="110" t="s">
        <v>826</v>
      </c>
      <c r="AB1873" s="111"/>
      <c r="AC1873" s="171" t="s">
        <v>3194</v>
      </c>
      <c r="AD1873" s="172"/>
      <c r="AE1873" s="24" t="s">
        <v>5374</v>
      </c>
      <c r="AF1873" s="164"/>
      <c r="AG1873" s="165"/>
      <c r="AH1873" s="166"/>
      <c r="AI1873" s="167"/>
      <c r="AJ1873" s="48"/>
      <c r="AK1873" s="15"/>
      <c r="AL1873" s="15"/>
    </row>
    <row r="1874" spans="1:38" ht="135" x14ac:dyDescent="0.25">
      <c r="A1874" s="179"/>
      <c r="B1874" s="292" t="s">
        <v>2406</v>
      </c>
      <c r="C1874" s="314"/>
      <c r="D1874" s="293"/>
      <c r="E1874" s="28" t="s">
        <v>5376</v>
      </c>
      <c r="F1874" s="233" t="s">
        <v>5377</v>
      </c>
      <c r="G1874" s="305"/>
      <c r="H1874" s="234"/>
      <c r="I1874" s="183">
        <v>29</v>
      </c>
      <c r="J1874" s="185"/>
      <c r="K1874" s="88" t="s">
        <v>5378</v>
      </c>
      <c r="L1874" s="89"/>
      <c r="M1874" s="173" t="s">
        <v>5379</v>
      </c>
      <c r="N1874" s="276"/>
      <c r="O1874" s="174"/>
      <c r="P1874" s="180" t="s">
        <v>5380</v>
      </c>
      <c r="Q1874" s="181"/>
      <c r="R1874" s="112">
        <v>39</v>
      </c>
      <c r="S1874" s="113"/>
      <c r="T1874" s="183">
        <v>15</v>
      </c>
      <c r="U1874" s="185"/>
      <c r="V1874" s="173" t="s">
        <v>5381</v>
      </c>
      <c r="W1874" s="174"/>
      <c r="X1874" s="294">
        <v>259</v>
      </c>
      <c r="Y1874" s="295"/>
      <c r="Z1874" s="296"/>
      <c r="AA1874" s="233" t="s">
        <v>1739</v>
      </c>
      <c r="AB1874" s="234"/>
      <c r="AC1874" s="162" t="s">
        <v>5373</v>
      </c>
      <c r="AD1874" s="163"/>
      <c r="AE1874" s="31" t="s">
        <v>1356</v>
      </c>
      <c r="AF1874" s="167"/>
      <c r="AG1874" s="168"/>
      <c r="AH1874" s="169"/>
      <c r="AI1874" s="167"/>
      <c r="AJ1874" s="48"/>
      <c r="AK1874" s="15"/>
      <c r="AL1874" s="15"/>
    </row>
    <row r="1875" spans="1:38" ht="135" x14ac:dyDescent="0.25">
      <c r="A1875" s="179"/>
      <c r="B1875" s="292"/>
      <c r="C1875" s="314"/>
      <c r="D1875" s="293"/>
      <c r="E1875" s="28" t="s">
        <v>5382</v>
      </c>
      <c r="F1875" s="235"/>
      <c r="G1875" s="270"/>
      <c r="H1875" s="236"/>
      <c r="I1875" s="183">
        <v>29</v>
      </c>
      <c r="J1875" s="185"/>
      <c r="K1875" s="126" t="s">
        <v>5378</v>
      </c>
      <c r="L1875" s="127"/>
      <c r="M1875" s="173" t="s">
        <v>5379</v>
      </c>
      <c r="N1875" s="276"/>
      <c r="O1875" s="174"/>
      <c r="P1875" s="180" t="s">
        <v>5380</v>
      </c>
      <c r="Q1875" s="181"/>
      <c r="R1875" s="155">
        <v>39</v>
      </c>
      <c r="S1875" s="157"/>
      <c r="T1875" s="183">
        <v>15</v>
      </c>
      <c r="U1875" s="185"/>
      <c r="V1875" s="173" t="s">
        <v>5381</v>
      </c>
      <c r="W1875" s="174"/>
      <c r="X1875" s="297"/>
      <c r="Y1875" s="298"/>
      <c r="Z1875" s="299"/>
      <c r="AA1875" s="235"/>
      <c r="AB1875" s="236"/>
      <c r="AC1875" s="162"/>
      <c r="AD1875" s="163"/>
      <c r="AE1875" s="31" t="s">
        <v>5375</v>
      </c>
      <c r="AF1875" s="167"/>
      <c r="AG1875" s="168"/>
      <c r="AH1875" s="169"/>
      <c r="AI1875" s="167"/>
      <c r="AJ1875" s="48"/>
      <c r="AK1875" s="15"/>
      <c r="AL1875" s="15"/>
    </row>
    <row r="1876" spans="1:38" ht="135" x14ac:dyDescent="0.25">
      <c r="A1876" s="179"/>
      <c r="B1876" s="292"/>
      <c r="C1876" s="314"/>
      <c r="D1876" s="293"/>
      <c r="E1876" s="28" t="s">
        <v>5383</v>
      </c>
      <c r="F1876" s="235"/>
      <c r="G1876" s="270"/>
      <c r="H1876" s="236"/>
      <c r="I1876" s="183">
        <v>29</v>
      </c>
      <c r="J1876" s="185"/>
      <c r="K1876" s="126" t="s">
        <v>5378</v>
      </c>
      <c r="L1876" s="127"/>
      <c r="M1876" s="173" t="s">
        <v>5379</v>
      </c>
      <c r="N1876" s="276"/>
      <c r="O1876" s="174"/>
      <c r="P1876" s="180" t="s">
        <v>5380</v>
      </c>
      <c r="Q1876" s="181"/>
      <c r="R1876" s="155">
        <v>39</v>
      </c>
      <c r="S1876" s="157"/>
      <c r="T1876" s="183">
        <v>15</v>
      </c>
      <c r="U1876" s="185"/>
      <c r="V1876" s="173" t="s">
        <v>5381</v>
      </c>
      <c r="W1876" s="174"/>
      <c r="X1876" s="297"/>
      <c r="Y1876" s="298"/>
      <c r="Z1876" s="299"/>
      <c r="AA1876" s="235"/>
      <c r="AB1876" s="236"/>
      <c r="AC1876" s="162"/>
      <c r="AD1876" s="163"/>
      <c r="AE1876" s="31"/>
      <c r="AF1876" s="167"/>
      <c r="AG1876" s="168"/>
      <c r="AH1876" s="169"/>
      <c r="AI1876" s="167"/>
      <c r="AJ1876" s="48"/>
      <c r="AK1876" s="15"/>
      <c r="AL1876" s="15"/>
    </row>
    <row r="1877" spans="1:38" ht="135" x14ac:dyDescent="0.25">
      <c r="A1877" s="179"/>
      <c r="B1877" s="292"/>
      <c r="C1877" s="314"/>
      <c r="D1877" s="293"/>
      <c r="E1877" s="28" t="s">
        <v>5384</v>
      </c>
      <c r="F1877" s="235"/>
      <c r="G1877" s="270"/>
      <c r="H1877" s="236"/>
      <c r="I1877" s="183">
        <v>29</v>
      </c>
      <c r="J1877" s="185"/>
      <c r="K1877" s="126" t="s">
        <v>5378</v>
      </c>
      <c r="L1877" s="127"/>
      <c r="M1877" s="173" t="s">
        <v>5379</v>
      </c>
      <c r="N1877" s="276"/>
      <c r="O1877" s="174"/>
      <c r="P1877" s="180" t="s">
        <v>5380</v>
      </c>
      <c r="Q1877" s="181"/>
      <c r="R1877" s="155">
        <v>39</v>
      </c>
      <c r="S1877" s="157"/>
      <c r="T1877" s="183">
        <v>15</v>
      </c>
      <c r="U1877" s="185"/>
      <c r="V1877" s="173" t="s">
        <v>5381</v>
      </c>
      <c r="W1877" s="174"/>
      <c r="X1877" s="297"/>
      <c r="Y1877" s="298"/>
      <c r="Z1877" s="299"/>
      <c r="AA1877" s="235"/>
      <c r="AB1877" s="236"/>
      <c r="AC1877" s="162"/>
      <c r="AD1877" s="163"/>
      <c r="AE1877" s="31"/>
      <c r="AF1877" s="167"/>
      <c r="AG1877" s="168"/>
      <c r="AH1877" s="169"/>
      <c r="AI1877" s="167"/>
      <c r="AJ1877" s="48"/>
      <c r="AK1877" s="15"/>
      <c r="AL1877" s="15"/>
    </row>
    <row r="1878" spans="1:38" ht="135" x14ac:dyDescent="0.25">
      <c r="A1878" s="179"/>
      <c r="B1878" s="292"/>
      <c r="C1878" s="314"/>
      <c r="D1878" s="293"/>
      <c r="E1878" s="28" t="s">
        <v>5385</v>
      </c>
      <c r="F1878" s="235"/>
      <c r="G1878" s="270"/>
      <c r="H1878" s="236"/>
      <c r="I1878" s="183">
        <v>29</v>
      </c>
      <c r="J1878" s="185"/>
      <c r="K1878" s="126" t="s">
        <v>5378</v>
      </c>
      <c r="L1878" s="127"/>
      <c r="M1878" s="173" t="s">
        <v>5379</v>
      </c>
      <c r="N1878" s="276"/>
      <c r="O1878" s="174"/>
      <c r="P1878" s="180" t="s">
        <v>5380</v>
      </c>
      <c r="Q1878" s="181"/>
      <c r="R1878" s="155">
        <v>39</v>
      </c>
      <c r="S1878" s="157"/>
      <c r="T1878" s="183">
        <v>15</v>
      </c>
      <c r="U1878" s="185"/>
      <c r="V1878" s="173" t="s">
        <v>5381</v>
      </c>
      <c r="W1878" s="174"/>
      <c r="X1878" s="300"/>
      <c r="Y1878" s="301"/>
      <c r="Z1878" s="302"/>
      <c r="AA1878" s="237"/>
      <c r="AB1878" s="238"/>
      <c r="AC1878" s="162"/>
      <c r="AD1878" s="163"/>
      <c r="AE1878" s="31"/>
      <c r="AF1878" s="167"/>
      <c r="AG1878" s="168"/>
      <c r="AH1878" s="169"/>
      <c r="AI1878" s="167"/>
      <c r="AJ1878" s="48"/>
      <c r="AK1878" s="15"/>
      <c r="AL1878" s="15"/>
    </row>
    <row r="1879" spans="1:38" ht="135" x14ac:dyDescent="0.25">
      <c r="A1879" s="179"/>
      <c r="B1879" s="292"/>
      <c r="C1879" s="314"/>
      <c r="D1879" s="293"/>
      <c r="E1879" s="28" t="s">
        <v>5386</v>
      </c>
      <c r="F1879" s="235"/>
      <c r="G1879" s="270"/>
      <c r="H1879" s="236"/>
      <c r="I1879" s="183">
        <v>29</v>
      </c>
      <c r="J1879" s="185"/>
      <c r="K1879" s="126" t="s">
        <v>5378</v>
      </c>
      <c r="L1879" s="127"/>
      <c r="M1879" s="173" t="s">
        <v>5387</v>
      </c>
      <c r="N1879" s="276"/>
      <c r="O1879" s="174"/>
      <c r="P1879" s="180" t="s">
        <v>5380</v>
      </c>
      <c r="Q1879" s="181"/>
      <c r="R1879" s="155">
        <v>39</v>
      </c>
      <c r="S1879" s="157"/>
      <c r="T1879" s="183">
        <v>15</v>
      </c>
      <c r="U1879" s="185"/>
      <c r="V1879" s="173" t="s">
        <v>5388</v>
      </c>
      <c r="W1879" s="174"/>
      <c r="X1879" s="294">
        <v>269</v>
      </c>
      <c r="Y1879" s="295"/>
      <c r="Z1879" s="296"/>
      <c r="AA1879" s="192" t="s">
        <v>1038</v>
      </c>
      <c r="AB1879" s="193"/>
      <c r="AC1879" s="162"/>
      <c r="AD1879" s="163"/>
      <c r="AE1879" s="31"/>
      <c r="AF1879" s="167"/>
      <c r="AG1879" s="168"/>
      <c r="AH1879" s="169"/>
      <c r="AI1879" s="167"/>
      <c r="AJ1879" s="48"/>
      <c r="AK1879" s="15"/>
      <c r="AL1879" s="15"/>
    </row>
    <row r="1880" spans="1:38" ht="135" x14ac:dyDescent="0.25">
      <c r="A1880" s="179"/>
      <c r="B1880" s="292"/>
      <c r="C1880" s="314"/>
      <c r="D1880" s="293"/>
      <c r="E1880" s="28" t="s">
        <v>5389</v>
      </c>
      <c r="F1880" s="235"/>
      <c r="G1880" s="270"/>
      <c r="H1880" s="236"/>
      <c r="I1880" s="183">
        <v>29</v>
      </c>
      <c r="J1880" s="185"/>
      <c r="K1880" s="126" t="s">
        <v>5378</v>
      </c>
      <c r="L1880" s="127"/>
      <c r="M1880" s="173" t="s">
        <v>5387</v>
      </c>
      <c r="N1880" s="276"/>
      <c r="O1880" s="174"/>
      <c r="P1880" s="180" t="s">
        <v>5380</v>
      </c>
      <c r="Q1880" s="181"/>
      <c r="R1880" s="155">
        <v>39</v>
      </c>
      <c r="S1880" s="157"/>
      <c r="T1880" s="183">
        <v>15</v>
      </c>
      <c r="U1880" s="185"/>
      <c r="V1880" s="173" t="s">
        <v>5388</v>
      </c>
      <c r="W1880" s="174"/>
      <c r="X1880" s="297"/>
      <c r="Y1880" s="298"/>
      <c r="Z1880" s="299"/>
      <c r="AA1880" s="272"/>
      <c r="AB1880" s="273"/>
      <c r="AC1880" s="162"/>
      <c r="AD1880" s="163"/>
      <c r="AE1880" s="31"/>
      <c r="AF1880" s="167"/>
      <c r="AG1880" s="168"/>
      <c r="AH1880" s="169"/>
      <c r="AI1880" s="167"/>
      <c r="AJ1880" s="48"/>
      <c r="AK1880" s="15"/>
      <c r="AL1880" s="15"/>
    </row>
    <row r="1881" spans="1:38" ht="135" x14ac:dyDescent="0.25">
      <c r="A1881" s="179"/>
      <c r="B1881" s="292"/>
      <c r="C1881" s="314"/>
      <c r="D1881" s="293"/>
      <c r="E1881" s="28" t="s">
        <v>5390</v>
      </c>
      <c r="F1881" s="235"/>
      <c r="G1881" s="270"/>
      <c r="H1881" s="236"/>
      <c r="I1881" s="183">
        <v>29</v>
      </c>
      <c r="J1881" s="185"/>
      <c r="K1881" s="126" t="s">
        <v>5378</v>
      </c>
      <c r="L1881" s="127"/>
      <c r="M1881" s="173" t="s">
        <v>5387</v>
      </c>
      <c r="N1881" s="276"/>
      <c r="O1881" s="174"/>
      <c r="P1881" s="180" t="s">
        <v>5380</v>
      </c>
      <c r="Q1881" s="181"/>
      <c r="R1881" s="155">
        <v>39</v>
      </c>
      <c r="S1881" s="157"/>
      <c r="T1881" s="183">
        <v>15</v>
      </c>
      <c r="U1881" s="185"/>
      <c r="V1881" s="173" t="s">
        <v>5388</v>
      </c>
      <c r="W1881" s="174"/>
      <c r="X1881" s="297"/>
      <c r="Y1881" s="298"/>
      <c r="Z1881" s="299"/>
      <c r="AA1881" s="272"/>
      <c r="AB1881" s="273"/>
      <c r="AC1881" s="162"/>
      <c r="AD1881" s="163"/>
      <c r="AE1881" s="31"/>
      <c r="AF1881" s="167"/>
      <c r="AG1881" s="168"/>
      <c r="AH1881" s="169"/>
      <c r="AI1881" s="167"/>
      <c r="AJ1881" s="48"/>
      <c r="AK1881" s="15"/>
      <c r="AL1881" s="15"/>
    </row>
    <row r="1882" spans="1:38" ht="135" x14ac:dyDescent="0.25">
      <c r="A1882" s="179"/>
      <c r="B1882" s="292"/>
      <c r="C1882" s="314"/>
      <c r="D1882" s="293"/>
      <c r="E1882" s="28" t="s">
        <v>5391</v>
      </c>
      <c r="F1882" s="235"/>
      <c r="G1882" s="270"/>
      <c r="H1882" s="236"/>
      <c r="I1882" s="183">
        <v>29</v>
      </c>
      <c r="J1882" s="185"/>
      <c r="K1882" s="126" t="s">
        <v>5378</v>
      </c>
      <c r="L1882" s="127"/>
      <c r="M1882" s="173" t="s">
        <v>5387</v>
      </c>
      <c r="N1882" s="276"/>
      <c r="O1882" s="174"/>
      <c r="P1882" s="180" t="s">
        <v>5380</v>
      </c>
      <c r="Q1882" s="181"/>
      <c r="R1882" s="155">
        <v>39</v>
      </c>
      <c r="S1882" s="157"/>
      <c r="T1882" s="183">
        <v>15</v>
      </c>
      <c r="U1882" s="185"/>
      <c r="V1882" s="173" t="s">
        <v>5388</v>
      </c>
      <c r="W1882" s="174"/>
      <c r="X1882" s="297"/>
      <c r="Y1882" s="298"/>
      <c r="Z1882" s="299"/>
      <c r="AA1882" s="272"/>
      <c r="AB1882" s="273"/>
      <c r="AC1882" s="162"/>
      <c r="AD1882" s="163"/>
      <c r="AE1882" s="31"/>
      <c r="AF1882" s="167"/>
      <c r="AG1882" s="168"/>
      <c r="AH1882" s="169"/>
      <c r="AI1882" s="167"/>
      <c r="AJ1882" s="48"/>
      <c r="AK1882" s="15"/>
      <c r="AL1882" s="15"/>
    </row>
    <row r="1883" spans="1:38" ht="135" x14ac:dyDescent="0.25">
      <c r="A1883" s="230"/>
      <c r="B1883" s="290"/>
      <c r="C1883" s="345"/>
      <c r="D1883" s="291"/>
      <c r="E1883" s="28" t="s">
        <v>5392</v>
      </c>
      <c r="F1883" s="237"/>
      <c r="G1883" s="306"/>
      <c r="H1883" s="238"/>
      <c r="I1883" s="183">
        <v>29</v>
      </c>
      <c r="J1883" s="185"/>
      <c r="K1883" s="117" t="s">
        <v>5378</v>
      </c>
      <c r="L1883" s="118"/>
      <c r="M1883" s="173" t="s">
        <v>5387</v>
      </c>
      <c r="N1883" s="276"/>
      <c r="O1883" s="174"/>
      <c r="P1883" s="180" t="s">
        <v>5380</v>
      </c>
      <c r="Q1883" s="181"/>
      <c r="R1883" s="160">
        <v>39</v>
      </c>
      <c r="S1883" s="161"/>
      <c r="T1883" s="183">
        <v>15</v>
      </c>
      <c r="U1883" s="185"/>
      <c r="V1883" s="173" t="s">
        <v>5388</v>
      </c>
      <c r="W1883" s="174"/>
      <c r="X1883" s="300"/>
      <c r="Y1883" s="301"/>
      <c r="Z1883" s="302"/>
      <c r="AA1883" s="194"/>
      <c r="AB1883" s="195"/>
      <c r="AC1883" s="212"/>
      <c r="AD1883" s="213"/>
      <c r="AE1883" s="31"/>
      <c r="AF1883" s="214"/>
      <c r="AG1883" s="215"/>
      <c r="AH1883" s="216"/>
      <c r="AI1883" s="167"/>
      <c r="AJ1883" s="48"/>
      <c r="AK1883" s="15"/>
      <c r="AL1883" s="15"/>
    </row>
    <row r="1884" spans="1:38" ht="75" x14ac:dyDescent="0.3">
      <c r="A1884" s="178"/>
      <c r="B1884" s="303" t="s">
        <v>5393</v>
      </c>
      <c r="C1884" s="344"/>
      <c r="D1884" s="304"/>
      <c r="E1884" s="28" t="s">
        <v>5394</v>
      </c>
      <c r="F1884" s="233" t="s">
        <v>5395</v>
      </c>
      <c r="G1884" s="305"/>
      <c r="H1884" s="234"/>
      <c r="I1884" s="110" t="s">
        <v>1127</v>
      </c>
      <c r="J1884" s="111"/>
      <c r="K1884" s="143" t="s">
        <v>4309</v>
      </c>
      <c r="L1884" s="145"/>
      <c r="M1884" s="180" t="s">
        <v>5396</v>
      </c>
      <c r="N1884" s="450"/>
      <c r="O1884" s="181"/>
      <c r="P1884" s="173" t="s">
        <v>5397</v>
      </c>
      <c r="Q1884" s="174"/>
      <c r="R1884" s="112">
        <v>8</v>
      </c>
      <c r="S1884" s="113"/>
      <c r="T1884" s="183">
        <v>6</v>
      </c>
      <c r="U1884" s="185"/>
      <c r="V1884" s="180" t="s">
        <v>3600</v>
      </c>
      <c r="W1884" s="181"/>
      <c r="X1884" s="294">
        <v>59</v>
      </c>
      <c r="Y1884" s="295"/>
      <c r="Z1884" s="296"/>
      <c r="AA1884" s="192" t="s">
        <v>1023</v>
      </c>
      <c r="AB1884" s="193"/>
      <c r="AC1884" s="171" t="s">
        <v>3194</v>
      </c>
      <c r="AD1884" s="172"/>
      <c r="AE1884" s="24" t="s">
        <v>5400</v>
      </c>
      <c r="AF1884" s="171" t="s">
        <v>2540</v>
      </c>
      <c r="AG1884" s="407"/>
      <c r="AH1884" s="172"/>
      <c r="AI1884" s="167"/>
      <c r="AJ1884" s="48"/>
      <c r="AK1884" s="15"/>
      <c r="AL1884" s="15"/>
    </row>
    <row r="1885" spans="1:38" ht="75" x14ac:dyDescent="0.3">
      <c r="A1885" s="179"/>
      <c r="B1885" s="292"/>
      <c r="C1885" s="314"/>
      <c r="D1885" s="293"/>
      <c r="E1885" s="28" t="s">
        <v>5402</v>
      </c>
      <c r="F1885" s="235"/>
      <c r="G1885" s="270"/>
      <c r="H1885" s="236"/>
      <c r="I1885" s="110" t="s">
        <v>1127</v>
      </c>
      <c r="J1885" s="111"/>
      <c r="K1885" s="104" t="s">
        <v>4309</v>
      </c>
      <c r="L1885" s="105"/>
      <c r="M1885" s="180" t="s">
        <v>5396</v>
      </c>
      <c r="N1885" s="450"/>
      <c r="O1885" s="181"/>
      <c r="P1885" s="173" t="s">
        <v>5397</v>
      </c>
      <c r="Q1885" s="174"/>
      <c r="R1885" s="155">
        <v>8</v>
      </c>
      <c r="S1885" s="157"/>
      <c r="T1885" s="183">
        <v>6</v>
      </c>
      <c r="U1885" s="185"/>
      <c r="V1885" s="180" t="s">
        <v>3600</v>
      </c>
      <c r="W1885" s="181"/>
      <c r="X1885" s="297"/>
      <c r="Y1885" s="298"/>
      <c r="Z1885" s="299"/>
      <c r="AA1885" s="272"/>
      <c r="AB1885" s="273"/>
      <c r="AC1885" s="162" t="s">
        <v>5398</v>
      </c>
      <c r="AD1885" s="163"/>
      <c r="AE1885" s="31" t="s">
        <v>848</v>
      </c>
      <c r="AF1885" s="162" t="s">
        <v>3401</v>
      </c>
      <c r="AG1885" s="170"/>
      <c r="AH1885" s="163"/>
      <c r="AI1885" s="167"/>
      <c r="AJ1885" s="48"/>
      <c r="AK1885" s="15"/>
      <c r="AL1885" s="15"/>
    </row>
    <row r="1886" spans="1:38" ht="75" x14ac:dyDescent="0.3">
      <c r="A1886" s="179"/>
      <c r="B1886" s="292"/>
      <c r="C1886" s="314"/>
      <c r="D1886" s="293"/>
      <c r="E1886" s="28" t="s">
        <v>5403</v>
      </c>
      <c r="F1886" s="235"/>
      <c r="G1886" s="270"/>
      <c r="H1886" s="236"/>
      <c r="I1886" s="110" t="s">
        <v>1127</v>
      </c>
      <c r="J1886" s="111"/>
      <c r="K1886" s="104" t="s">
        <v>4309</v>
      </c>
      <c r="L1886" s="105"/>
      <c r="M1886" s="180" t="s">
        <v>5396</v>
      </c>
      <c r="N1886" s="450"/>
      <c r="O1886" s="181"/>
      <c r="P1886" s="173" t="s">
        <v>5397</v>
      </c>
      <c r="Q1886" s="174"/>
      <c r="R1886" s="155">
        <v>8</v>
      </c>
      <c r="S1886" s="157"/>
      <c r="T1886" s="183">
        <v>6</v>
      </c>
      <c r="U1886" s="185"/>
      <c r="V1886" s="180" t="s">
        <v>3600</v>
      </c>
      <c r="W1886" s="181"/>
      <c r="X1886" s="300"/>
      <c r="Y1886" s="301"/>
      <c r="Z1886" s="302"/>
      <c r="AA1886" s="194"/>
      <c r="AB1886" s="195"/>
      <c r="AC1886" s="162" t="s">
        <v>2211</v>
      </c>
      <c r="AD1886" s="163"/>
      <c r="AE1886" s="31" t="s">
        <v>1356</v>
      </c>
      <c r="AF1886" s="162"/>
      <c r="AG1886" s="170"/>
      <c r="AH1886" s="163"/>
      <c r="AI1886" s="167"/>
      <c r="AJ1886" s="48"/>
      <c r="AK1886" s="15"/>
      <c r="AL1886" s="15"/>
    </row>
    <row r="1887" spans="1:38" ht="90" x14ac:dyDescent="0.3">
      <c r="A1887" s="179"/>
      <c r="B1887" s="292"/>
      <c r="C1887" s="314"/>
      <c r="D1887" s="293"/>
      <c r="E1887" s="28" t="s">
        <v>5404</v>
      </c>
      <c r="F1887" s="235"/>
      <c r="G1887" s="270"/>
      <c r="H1887" s="236"/>
      <c r="I1887" s="110" t="s">
        <v>1127</v>
      </c>
      <c r="J1887" s="111"/>
      <c r="K1887" s="104" t="s">
        <v>4309</v>
      </c>
      <c r="L1887" s="105"/>
      <c r="M1887" s="180" t="s">
        <v>5396</v>
      </c>
      <c r="N1887" s="450"/>
      <c r="O1887" s="181"/>
      <c r="P1887" s="173" t="s">
        <v>5397</v>
      </c>
      <c r="Q1887" s="174"/>
      <c r="R1887" s="155">
        <v>8</v>
      </c>
      <c r="S1887" s="157"/>
      <c r="T1887" s="183">
        <v>6</v>
      </c>
      <c r="U1887" s="185"/>
      <c r="V1887" s="180" t="s">
        <v>3600</v>
      </c>
      <c r="W1887" s="181"/>
      <c r="X1887" s="294">
        <v>69</v>
      </c>
      <c r="Y1887" s="295"/>
      <c r="Z1887" s="296"/>
      <c r="AA1887" s="192" t="s">
        <v>688</v>
      </c>
      <c r="AB1887" s="193"/>
      <c r="AC1887" s="162" t="s">
        <v>5399</v>
      </c>
      <c r="AD1887" s="163"/>
      <c r="AE1887" s="31" t="s">
        <v>5401</v>
      </c>
      <c r="AF1887" s="162"/>
      <c r="AG1887" s="170"/>
      <c r="AH1887" s="163"/>
      <c r="AI1887" s="167"/>
      <c r="AJ1887" s="48"/>
      <c r="AK1887" s="15"/>
      <c r="AL1887" s="15"/>
    </row>
    <row r="1888" spans="1:38" ht="90" x14ac:dyDescent="0.3">
      <c r="A1888" s="179"/>
      <c r="B1888" s="292"/>
      <c r="C1888" s="314"/>
      <c r="D1888" s="293"/>
      <c r="E1888" s="28" t="s">
        <v>5405</v>
      </c>
      <c r="F1888" s="235"/>
      <c r="G1888" s="270"/>
      <c r="H1888" s="236"/>
      <c r="I1888" s="110" t="s">
        <v>1127</v>
      </c>
      <c r="J1888" s="111"/>
      <c r="K1888" s="104" t="s">
        <v>4309</v>
      </c>
      <c r="L1888" s="105"/>
      <c r="M1888" s="180" t="s">
        <v>5396</v>
      </c>
      <c r="N1888" s="450"/>
      <c r="O1888" s="181"/>
      <c r="P1888" s="173" t="s">
        <v>5397</v>
      </c>
      <c r="Q1888" s="174"/>
      <c r="R1888" s="155">
        <v>8</v>
      </c>
      <c r="S1888" s="157"/>
      <c r="T1888" s="183">
        <v>6</v>
      </c>
      <c r="U1888" s="185"/>
      <c r="V1888" s="180" t="s">
        <v>3600</v>
      </c>
      <c r="W1888" s="181"/>
      <c r="X1888" s="297"/>
      <c r="Y1888" s="298"/>
      <c r="Z1888" s="299"/>
      <c r="AA1888" s="272"/>
      <c r="AB1888" s="273"/>
      <c r="AC1888" s="162"/>
      <c r="AD1888" s="163"/>
      <c r="AE1888" s="31"/>
      <c r="AF1888" s="162"/>
      <c r="AG1888" s="170"/>
      <c r="AH1888" s="163"/>
      <c r="AI1888" s="167"/>
      <c r="AJ1888" s="48"/>
      <c r="AK1888" s="15"/>
      <c r="AL1888" s="15"/>
    </row>
    <row r="1889" spans="1:38" ht="75" x14ac:dyDescent="0.3">
      <c r="A1889" s="230"/>
      <c r="B1889" s="290"/>
      <c r="C1889" s="345"/>
      <c r="D1889" s="291"/>
      <c r="E1889" s="28" t="s">
        <v>5406</v>
      </c>
      <c r="F1889" s="237"/>
      <c r="G1889" s="306"/>
      <c r="H1889" s="238"/>
      <c r="I1889" s="110" t="s">
        <v>1127</v>
      </c>
      <c r="J1889" s="111"/>
      <c r="K1889" s="146" t="s">
        <v>4309</v>
      </c>
      <c r="L1889" s="148"/>
      <c r="M1889" s="180" t="s">
        <v>5396</v>
      </c>
      <c r="N1889" s="450"/>
      <c r="O1889" s="181"/>
      <c r="P1889" s="173" t="s">
        <v>5397</v>
      </c>
      <c r="Q1889" s="174"/>
      <c r="R1889" s="160">
        <v>8</v>
      </c>
      <c r="S1889" s="161"/>
      <c r="T1889" s="183">
        <v>6</v>
      </c>
      <c r="U1889" s="185"/>
      <c r="V1889" s="180" t="s">
        <v>3600</v>
      </c>
      <c r="W1889" s="181"/>
      <c r="X1889" s="300"/>
      <c r="Y1889" s="301"/>
      <c r="Z1889" s="302"/>
      <c r="AA1889" s="194"/>
      <c r="AB1889" s="195"/>
      <c r="AC1889" s="212"/>
      <c r="AD1889" s="213"/>
      <c r="AE1889" s="31"/>
      <c r="AF1889" s="212"/>
      <c r="AG1889" s="408"/>
      <c r="AH1889" s="213"/>
      <c r="AI1889" s="167"/>
      <c r="AJ1889" s="48"/>
      <c r="AK1889" s="15"/>
      <c r="AL1889" s="15"/>
    </row>
    <row r="1890" spans="1:38" ht="75" x14ac:dyDescent="0.3">
      <c r="A1890" s="178"/>
      <c r="B1890" s="171" t="s">
        <v>5407</v>
      </c>
      <c r="C1890" s="407"/>
      <c r="D1890" s="172"/>
      <c r="E1890" s="68" t="s">
        <v>5408</v>
      </c>
      <c r="F1890" s="233" t="s">
        <v>5409</v>
      </c>
      <c r="G1890" s="305"/>
      <c r="H1890" s="234"/>
      <c r="I1890" s="183">
        <v>12</v>
      </c>
      <c r="J1890" s="185"/>
      <c r="K1890" s="88" t="s">
        <v>5410</v>
      </c>
      <c r="L1890" s="89"/>
      <c r="M1890" s="180" t="s">
        <v>5411</v>
      </c>
      <c r="N1890" s="450"/>
      <c r="O1890" s="181"/>
      <c r="P1890" s="173" t="s">
        <v>5192</v>
      </c>
      <c r="Q1890" s="174"/>
      <c r="R1890" s="112">
        <v>23</v>
      </c>
      <c r="S1890" s="113"/>
      <c r="T1890" s="183">
        <v>10</v>
      </c>
      <c r="U1890" s="185"/>
      <c r="V1890" s="180" t="s">
        <v>5412</v>
      </c>
      <c r="W1890" s="181"/>
      <c r="X1890" s="252">
        <v>149</v>
      </c>
      <c r="Y1890" s="253"/>
      <c r="Z1890" s="254"/>
      <c r="AA1890" s="192" t="s">
        <v>5413</v>
      </c>
      <c r="AB1890" s="193"/>
      <c r="AC1890" s="171" t="s">
        <v>3194</v>
      </c>
      <c r="AD1890" s="172"/>
      <c r="AE1890" s="24" t="s">
        <v>5416</v>
      </c>
      <c r="AF1890" s="164"/>
      <c r="AG1890" s="165"/>
      <c r="AH1890" s="166"/>
      <c r="AI1890" s="167"/>
      <c r="AJ1890" s="48"/>
      <c r="AK1890" s="15"/>
      <c r="AL1890" s="15"/>
    </row>
    <row r="1891" spans="1:38" ht="45" x14ac:dyDescent="0.3">
      <c r="A1891" s="179"/>
      <c r="B1891" s="162" t="s">
        <v>2406</v>
      </c>
      <c r="C1891" s="170"/>
      <c r="D1891" s="163"/>
      <c r="E1891" s="69"/>
      <c r="F1891" s="235"/>
      <c r="G1891" s="270"/>
      <c r="H1891" s="236"/>
      <c r="I1891" s="183">
        <v>12</v>
      </c>
      <c r="J1891" s="185"/>
      <c r="K1891" s="126" t="s">
        <v>5410</v>
      </c>
      <c r="L1891" s="127"/>
      <c r="M1891" s="180" t="s">
        <v>5411</v>
      </c>
      <c r="N1891" s="450"/>
      <c r="O1891" s="181"/>
      <c r="P1891" s="173" t="s">
        <v>5192</v>
      </c>
      <c r="Q1891" s="174"/>
      <c r="R1891" s="155">
        <v>23</v>
      </c>
      <c r="S1891" s="157"/>
      <c r="T1891" s="183">
        <v>10</v>
      </c>
      <c r="U1891" s="185"/>
      <c r="V1891" s="180" t="s">
        <v>5412</v>
      </c>
      <c r="W1891" s="181"/>
      <c r="X1891" s="311"/>
      <c r="Y1891" s="312"/>
      <c r="Z1891" s="313"/>
      <c r="AA1891" s="272"/>
      <c r="AB1891" s="273"/>
      <c r="AC1891" s="162" t="s">
        <v>5414</v>
      </c>
      <c r="AD1891" s="163"/>
      <c r="AE1891" s="31" t="s">
        <v>1356</v>
      </c>
      <c r="AF1891" s="167"/>
      <c r="AG1891" s="168"/>
      <c r="AH1891" s="169"/>
      <c r="AI1891" s="167"/>
      <c r="AJ1891" s="48"/>
      <c r="AK1891" s="15"/>
      <c r="AL1891" s="15"/>
    </row>
    <row r="1892" spans="1:38" ht="60" x14ac:dyDescent="0.3">
      <c r="A1892" s="179"/>
      <c r="B1892" s="162"/>
      <c r="C1892" s="170"/>
      <c r="D1892" s="163"/>
      <c r="E1892" s="70"/>
      <c r="F1892" s="235"/>
      <c r="G1892" s="270"/>
      <c r="H1892" s="236"/>
      <c r="I1892" s="183">
        <v>12</v>
      </c>
      <c r="J1892" s="185"/>
      <c r="K1892" s="126" t="s">
        <v>5410</v>
      </c>
      <c r="L1892" s="127"/>
      <c r="M1892" s="180" t="s">
        <v>5411</v>
      </c>
      <c r="N1892" s="450"/>
      <c r="O1892" s="181"/>
      <c r="P1892" s="173" t="s">
        <v>5192</v>
      </c>
      <c r="Q1892" s="174"/>
      <c r="R1892" s="155">
        <v>23</v>
      </c>
      <c r="S1892" s="157"/>
      <c r="T1892" s="183">
        <v>10</v>
      </c>
      <c r="U1892" s="185"/>
      <c r="V1892" s="180" t="s">
        <v>5412</v>
      </c>
      <c r="W1892" s="181"/>
      <c r="X1892" s="255"/>
      <c r="Y1892" s="256"/>
      <c r="Z1892" s="257"/>
      <c r="AA1892" s="194"/>
      <c r="AB1892" s="195"/>
      <c r="AC1892" s="162" t="s">
        <v>5415</v>
      </c>
      <c r="AD1892" s="163"/>
      <c r="AE1892" s="31" t="s">
        <v>5417</v>
      </c>
      <c r="AF1892" s="167"/>
      <c r="AG1892" s="168"/>
      <c r="AH1892" s="169"/>
      <c r="AI1892" s="167"/>
      <c r="AJ1892" s="48"/>
      <c r="AK1892" s="15"/>
      <c r="AL1892" s="15"/>
    </row>
    <row r="1893" spans="1:38" ht="15.5" x14ac:dyDescent="0.3">
      <c r="A1893" s="179"/>
      <c r="B1893" s="162"/>
      <c r="C1893" s="170"/>
      <c r="D1893" s="163"/>
      <c r="E1893" s="68" t="s">
        <v>5418</v>
      </c>
      <c r="F1893" s="235"/>
      <c r="G1893" s="270"/>
      <c r="H1893" s="236"/>
      <c r="I1893" s="183">
        <v>12</v>
      </c>
      <c r="J1893" s="185"/>
      <c r="K1893" s="126" t="s">
        <v>5410</v>
      </c>
      <c r="L1893" s="127"/>
      <c r="M1893" s="180" t="s">
        <v>5419</v>
      </c>
      <c r="N1893" s="450"/>
      <c r="O1893" s="181"/>
      <c r="P1893" s="173" t="s">
        <v>5192</v>
      </c>
      <c r="Q1893" s="174"/>
      <c r="R1893" s="155">
        <v>23</v>
      </c>
      <c r="S1893" s="157"/>
      <c r="T1893" s="183">
        <v>10</v>
      </c>
      <c r="U1893" s="185"/>
      <c r="V1893" s="180" t="s">
        <v>5420</v>
      </c>
      <c r="W1893" s="181"/>
      <c r="X1893" s="252">
        <v>159</v>
      </c>
      <c r="Y1893" s="253"/>
      <c r="Z1893" s="254"/>
      <c r="AA1893" s="192" t="s">
        <v>4629</v>
      </c>
      <c r="AB1893" s="193"/>
      <c r="AC1893" s="162"/>
      <c r="AD1893" s="163"/>
      <c r="AE1893" s="31"/>
      <c r="AF1893" s="167"/>
      <c r="AG1893" s="168"/>
      <c r="AH1893" s="169"/>
      <c r="AI1893" s="167"/>
      <c r="AJ1893" s="48"/>
      <c r="AK1893" s="15"/>
      <c r="AL1893" s="15"/>
    </row>
    <row r="1894" spans="1:38" ht="15.5" x14ac:dyDescent="0.3">
      <c r="A1894" s="179"/>
      <c r="B1894" s="162"/>
      <c r="C1894" s="170"/>
      <c r="D1894" s="163"/>
      <c r="E1894" s="69"/>
      <c r="F1894" s="235"/>
      <c r="G1894" s="270"/>
      <c r="H1894" s="236"/>
      <c r="I1894" s="183">
        <v>12</v>
      </c>
      <c r="J1894" s="185"/>
      <c r="K1894" s="126" t="s">
        <v>5410</v>
      </c>
      <c r="L1894" s="127"/>
      <c r="M1894" s="180" t="s">
        <v>5419</v>
      </c>
      <c r="N1894" s="450"/>
      <c r="O1894" s="181"/>
      <c r="P1894" s="173" t="s">
        <v>5192</v>
      </c>
      <c r="Q1894" s="174"/>
      <c r="R1894" s="155">
        <v>23</v>
      </c>
      <c r="S1894" s="157"/>
      <c r="T1894" s="183">
        <v>10</v>
      </c>
      <c r="U1894" s="185"/>
      <c r="V1894" s="180" t="s">
        <v>5420</v>
      </c>
      <c r="W1894" s="181"/>
      <c r="X1894" s="311"/>
      <c r="Y1894" s="312"/>
      <c r="Z1894" s="313"/>
      <c r="AA1894" s="272"/>
      <c r="AB1894" s="273"/>
      <c r="AC1894" s="162"/>
      <c r="AD1894" s="163"/>
      <c r="AE1894" s="31"/>
      <c r="AF1894" s="167"/>
      <c r="AG1894" s="168"/>
      <c r="AH1894" s="169"/>
      <c r="AI1894" s="167"/>
      <c r="AJ1894" s="48"/>
      <c r="AK1894" s="15"/>
      <c r="AL1894" s="15"/>
    </row>
    <row r="1895" spans="1:38" ht="15.5" x14ac:dyDescent="0.3">
      <c r="A1895" s="179"/>
      <c r="B1895" s="162"/>
      <c r="C1895" s="170"/>
      <c r="D1895" s="163"/>
      <c r="E1895" s="70"/>
      <c r="F1895" s="235"/>
      <c r="G1895" s="270"/>
      <c r="H1895" s="236"/>
      <c r="I1895" s="183">
        <v>12</v>
      </c>
      <c r="J1895" s="185"/>
      <c r="K1895" s="126" t="s">
        <v>5410</v>
      </c>
      <c r="L1895" s="127"/>
      <c r="M1895" s="180" t="s">
        <v>5419</v>
      </c>
      <c r="N1895" s="450"/>
      <c r="O1895" s="181"/>
      <c r="P1895" s="173" t="s">
        <v>5192</v>
      </c>
      <c r="Q1895" s="174"/>
      <c r="R1895" s="160">
        <v>23</v>
      </c>
      <c r="S1895" s="161"/>
      <c r="T1895" s="183">
        <v>10</v>
      </c>
      <c r="U1895" s="185"/>
      <c r="V1895" s="180" t="s">
        <v>5420</v>
      </c>
      <c r="W1895" s="181"/>
      <c r="X1895" s="255"/>
      <c r="Y1895" s="256"/>
      <c r="Z1895" s="257"/>
      <c r="AA1895" s="194"/>
      <c r="AB1895" s="195"/>
      <c r="AC1895" s="162"/>
      <c r="AD1895" s="163"/>
      <c r="AE1895" s="31"/>
      <c r="AF1895" s="167"/>
      <c r="AG1895" s="168"/>
      <c r="AH1895" s="169"/>
      <c r="AI1895" s="167"/>
      <c r="AJ1895" s="48"/>
      <c r="AK1895" s="15"/>
      <c r="AL1895" s="15"/>
    </row>
    <row r="1896" spans="1:38" ht="15.5" x14ac:dyDescent="0.3">
      <c r="A1896" s="179"/>
      <c r="B1896" s="162"/>
      <c r="C1896" s="170"/>
      <c r="D1896" s="163"/>
      <c r="E1896" s="68" t="s">
        <v>5421</v>
      </c>
      <c r="F1896" s="235"/>
      <c r="G1896" s="270"/>
      <c r="H1896" s="236"/>
      <c r="I1896" s="110" t="s">
        <v>1482</v>
      </c>
      <c r="J1896" s="111"/>
      <c r="K1896" s="126" t="s">
        <v>5410</v>
      </c>
      <c r="L1896" s="127"/>
      <c r="M1896" s="180" t="s">
        <v>5422</v>
      </c>
      <c r="N1896" s="450"/>
      <c r="O1896" s="181"/>
      <c r="P1896" s="173" t="s">
        <v>5192</v>
      </c>
      <c r="Q1896" s="174"/>
      <c r="R1896" s="112">
        <v>25</v>
      </c>
      <c r="S1896" s="113"/>
      <c r="T1896" s="183">
        <v>10</v>
      </c>
      <c r="U1896" s="185"/>
      <c r="V1896" s="173" t="s">
        <v>5423</v>
      </c>
      <c r="W1896" s="174"/>
      <c r="X1896" s="252">
        <v>179</v>
      </c>
      <c r="Y1896" s="253"/>
      <c r="Z1896" s="254"/>
      <c r="AA1896" s="192" t="s">
        <v>1303</v>
      </c>
      <c r="AB1896" s="193"/>
      <c r="AC1896" s="162"/>
      <c r="AD1896" s="163"/>
      <c r="AE1896" s="31"/>
      <c r="AF1896" s="167"/>
      <c r="AG1896" s="168"/>
      <c r="AH1896" s="169"/>
      <c r="AI1896" s="167"/>
      <c r="AJ1896" s="48"/>
      <c r="AK1896" s="15"/>
      <c r="AL1896" s="15"/>
    </row>
    <row r="1897" spans="1:38" ht="15.5" x14ac:dyDescent="0.3">
      <c r="A1897" s="179"/>
      <c r="B1897" s="162"/>
      <c r="C1897" s="170"/>
      <c r="D1897" s="163"/>
      <c r="E1897" s="69"/>
      <c r="F1897" s="235"/>
      <c r="G1897" s="270"/>
      <c r="H1897" s="236"/>
      <c r="I1897" s="110" t="s">
        <v>1482</v>
      </c>
      <c r="J1897" s="111"/>
      <c r="K1897" s="126" t="s">
        <v>5410</v>
      </c>
      <c r="L1897" s="127"/>
      <c r="M1897" s="180" t="s">
        <v>5422</v>
      </c>
      <c r="N1897" s="450"/>
      <c r="O1897" s="181"/>
      <c r="P1897" s="173" t="s">
        <v>5192</v>
      </c>
      <c r="Q1897" s="174"/>
      <c r="R1897" s="155">
        <v>25</v>
      </c>
      <c r="S1897" s="157"/>
      <c r="T1897" s="183">
        <v>10</v>
      </c>
      <c r="U1897" s="185"/>
      <c r="V1897" s="173" t="s">
        <v>5423</v>
      </c>
      <c r="W1897" s="174"/>
      <c r="X1897" s="311"/>
      <c r="Y1897" s="312"/>
      <c r="Z1897" s="313"/>
      <c r="AA1897" s="272"/>
      <c r="AB1897" s="273"/>
      <c r="AC1897" s="162"/>
      <c r="AD1897" s="163"/>
      <c r="AE1897" s="31"/>
      <c r="AF1897" s="167"/>
      <c r="AG1897" s="168"/>
      <c r="AH1897" s="169"/>
      <c r="AI1897" s="167"/>
      <c r="AJ1897" s="48"/>
      <c r="AK1897" s="15"/>
      <c r="AL1897" s="15"/>
    </row>
    <row r="1898" spans="1:38" ht="15.5" x14ac:dyDescent="0.3">
      <c r="A1898" s="179"/>
      <c r="B1898" s="162"/>
      <c r="C1898" s="170"/>
      <c r="D1898" s="163"/>
      <c r="E1898" s="70"/>
      <c r="F1898" s="235"/>
      <c r="G1898" s="270"/>
      <c r="H1898" s="236"/>
      <c r="I1898" s="110" t="s">
        <v>1482</v>
      </c>
      <c r="J1898" s="111"/>
      <c r="K1898" s="126" t="s">
        <v>5410</v>
      </c>
      <c r="L1898" s="127"/>
      <c r="M1898" s="180" t="s">
        <v>5422</v>
      </c>
      <c r="N1898" s="450"/>
      <c r="O1898" s="181"/>
      <c r="P1898" s="173" t="s">
        <v>5192</v>
      </c>
      <c r="Q1898" s="174"/>
      <c r="R1898" s="155">
        <v>25</v>
      </c>
      <c r="S1898" s="157"/>
      <c r="T1898" s="183">
        <v>10</v>
      </c>
      <c r="U1898" s="185"/>
      <c r="V1898" s="173" t="s">
        <v>5423</v>
      </c>
      <c r="W1898" s="174"/>
      <c r="X1898" s="255"/>
      <c r="Y1898" s="256"/>
      <c r="Z1898" s="257"/>
      <c r="AA1898" s="194"/>
      <c r="AB1898" s="195"/>
      <c r="AC1898" s="162"/>
      <c r="AD1898" s="163"/>
      <c r="AE1898" s="31"/>
      <c r="AF1898" s="167"/>
      <c r="AG1898" s="168"/>
      <c r="AH1898" s="169"/>
      <c r="AI1898" s="167"/>
      <c r="AJ1898" s="48"/>
      <c r="AK1898" s="15"/>
      <c r="AL1898" s="15"/>
    </row>
    <row r="1899" spans="1:38" ht="15.5" x14ac:dyDescent="0.3">
      <c r="A1899" s="179"/>
      <c r="B1899" s="162"/>
      <c r="C1899" s="170"/>
      <c r="D1899" s="163"/>
      <c r="E1899" s="68" t="s">
        <v>5424</v>
      </c>
      <c r="F1899" s="235"/>
      <c r="G1899" s="270"/>
      <c r="H1899" s="236"/>
      <c r="I1899" s="110" t="s">
        <v>1482</v>
      </c>
      <c r="J1899" s="111"/>
      <c r="K1899" s="126" t="s">
        <v>5410</v>
      </c>
      <c r="L1899" s="127"/>
      <c r="M1899" s="180" t="s">
        <v>5425</v>
      </c>
      <c r="N1899" s="450"/>
      <c r="O1899" s="181"/>
      <c r="P1899" s="173" t="s">
        <v>5192</v>
      </c>
      <c r="Q1899" s="174"/>
      <c r="R1899" s="155">
        <v>25</v>
      </c>
      <c r="S1899" s="157"/>
      <c r="T1899" s="183">
        <v>10</v>
      </c>
      <c r="U1899" s="185"/>
      <c r="V1899" s="173" t="s">
        <v>5426</v>
      </c>
      <c r="W1899" s="174"/>
      <c r="X1899" s="252">
        <v>189</v>
      </c>
      <c r="Y1899" s="253"/>
      <c r="Z1899" s="254"/>
      <c r="AA1899" s="192" t="s">
        <v>3850</v>
      </c>
      <c r="AB1899" s="193"/>
      <c r="AC1899" s="162"/>
      <c r="AD1899" s="163"/>
      <c r="AE1899" s="31"/>
      <c r="AF1899" s="167"/>
      <c r="AG1899" s="168"/>
      <c r="AH1899" s="169"/>
      <c r="AI1899" s="167"/>
      <c r="AJ1899" s="48"/>
      <c r="AK1899" s="15"/>
      <c r="AL1899" s="15"/>
    </row>
    <row r="1900" spans="1:38" ht="15.5" x14ac:dyDescent="0.3">
      <c r="A1900" s="179"/>
      <c r="B1900" s="162"/>
      <c r="C1900" s="170"/>
      <c r="D1900" s="163"/>
      <c r="E1900" s="69"/>
      <c r="F1900" s="235"/>
      <c r="G1900" s="270"/>
      <c r="H1900" s="236"/>
      <c r="I1900" s="110" t="s">
        <v>1482</v>
      </c>
      <c r="J1900" s="111"/>
      <c r="K1900" s="126" t="s">
        <v>5410</v>
      </c>
      <c r="L1900" s="127"/>
      <c r="M1900" s="180" t="s">
        <v>5425</v>
      </c>
      <c r="N1900" s="450"/>
      <c r="O1900" s="181"/>
      <c r="P1900" s="173" t="s">
        <v>5192</v>
      </c>
      <c r="Q1900" s="174"/>
      <c r="R1900" s="155">
        <v>25</v>
      </c>
      <c r="S1900" s="157"/>
      <c r="T1900" s="183">
        <v>10</v>
      </c>
      <c r="U1900" s="185"/>
      <c r="V1900" s="173" t="s">
        <v>5426</v>
      </c>
      <c r="W1900" s="174"/>
      <c r="X1900" s="311"/>
      <c r="Y1900" s="312"/>
      <c r="Z1900" s="313"/>
      <c r="AA1900" s="272"/>
      <c r="AB1900" s="273"/>
      <c r="AC1900" s="162"/>
      <c r="AD1900" s="163"/>
      <c r="AE1900" s="31"/>
      <c r="AF1900" s="167"/>
      <c r="AG1900" s="168"/>
      <c r="AH1900" s="169"/>
      <c r="AI1900" s="167"/>
      <c r="AJ1900" s="48"/>
      <c r="AK1900" s="15"/>
      <c r="AL1900" s="15"/>
    </row>
    <row r="1901" spans="1:38" ht="15.5" x14ac:dyDescent="0.3">
      <c r="A1901" s="230"/>
      <c r="B1901" s="212"/>
      <c r="C1901" s="408"/>
      <c r="D1901" s="213"/>
      <c r="E1901" s="70"/>
      <c r="F1901" s="237"/>
      <c r="G1901" s="306"/>
      <c r="H1901" s="238"/>
      <c r="I1901" s="110" t="s">
        <v>1482</v>
      </c>
      <c r="J1901" s="111"/>
      <c r="K1901" s="117" t="s">
        <v>5410</v>
      </c>
      <c r="L1901" s="118"/>
      <c r="M1901" s="180" t="s">
        <v>5425</v>
      </c>
      <c r="N1901" s="450"/>
      <c r="O1901" s="181"/>
      <c r="P1901" s="173" t="s">
        <v>5192</v>
      </c>
      <c r="Q1901" s="174"/>
      <c r="R1901" s="160">
        <v>25</v>
      </c>
      <c r="S1901" s="161"/>
      <c r="T1901" s="183">
        <v>10</v>
      </c>
      <c r="U1901" s="185"/>
      <c r="V1901" s="173" t="s">
        <v>5426</v>
      </c>
      <c r="W1901" s="174"/>
      <c r="X1901" s="255"/>
      <c r="Y1901" s="256"/>
      <c r="Z1901" s="257"/>
      <c r="AA1901" s="194"/>
      <c r="AB1901" s="195"/>
      <c r="AC1901" s="212"/>
      <c r="AD1901" s="213"/>
      <c r="AE1901" s="31"/>
      <c r="AF1901" s="214"/>
      <c r="AG1901" s="215"/>
      <c r="AH1901" s="216"/>
      <c r="AI1901" s="167"/>
      <c r="AJ1901" s="48"/>
      <c r="AK1901" s="15"/>
      <c r="AL1901" s="15"/>
    </row>
    <row r="1902" spans="1:38" ht="75" x14ac:dyDescent="0.3">
      <c r="A1902" s="178"/>
      <c r="B1902" s="303" t="s">
        <v>5427</v>
      </c>
      <c r="C1902" s="344"/>
      <c r="D1902" s="304"/>
      <c r="E1902" s="28" t="s">
        <v>5428</v>
      </c>
      <c r="F1902" s="192" t="s">
        <v>5429</v>
      </c>
      <c r="G1902" s="196"/>
      <c r="H1902" s="193"/>
      <c r="I1902" s="112">
        <v>4</v>
      </c>
      <c r="J1902" s="113"/>
      <c r="K1902" s="143" t="s">
        <v>5430</v>
      </c>
      <c r="L1902" s="145"/>
      <c r="M1902" s="183">
        <v>45</v>
      </c>
      <c r="N1902" s="184"/>
      <c r="O1902" s="185"/>
      <c r="P1902" s="173" t="s">
        <v>5431</v>
      </c>
      <c r="Q1902" s="174"/>
      <c r="R1902" s="112">
        <v>7</v>
      </c>
      <c r="S1902" s="113"/>
      <c r="T1902" s="183">
        <v>6</v>
      </c>
      <c r="U1902" s="185"/>
      <c r="V1902" s="173" t="s">
        <v>1496</v>
      </c>
      <c r="W1902" s="174"/>
      <c r="X1902" s="252">
        <v>69</v>
      </c>
      <c r="Y1902" s="253"/>
      <c r="Z1902" s="254"/>
      <c r="AA1902" s="192" t="s">
        <v>1717</v>
      </c>
      <c r="AB1902" s="193"/>
      <c r="AC1902" s="171" t="s">
        <v>3194</v>
      </c>
      <c r="AD1902" s="172"/>
      <c r="AE1902" s="24" t="s">
        <v>5435</v>
      </c>
      <c r="AF1902" s="164"/>
      <c r="AG1902" s="165"/>
      <c r="AH1902" s="166"/>
      <c r="AI1902" s="167"/>
      <c r="AJ1902" s="48"/>
      <c r="AK1902" s="15"/>
      <c r="AL1902" s="15"/>
    </row>
    <row r="1903" spans="1:38" ht="75" x14ac:dyDescent="0.3">
      <c r="A1903" s="179"/>
      <c r="B1903" s="292"/>
      <c r="C1903" s="314"/>
      <c r="D1903" s="293"/>
      <c r="E1903" s="28" t="s">
        <v>5437</v>
      </c>
      <c r="F1903" s="272"/>
      <c r="G1903" s="282"/>
      <c r="H1903" s="273"/>
      <c r="I1903" s="155">
        <v>4</v>
      </c>
      <c r="J1903" s="157"/>
      <c r="K1903" s="104" t="s">
        <v>5430</v>
      </c>
      <c r="L1903" s="105"/>
      <c r="M1903" s="183">
        <v>47</v>
      </c>
      <c r="N1903" s="184"/>
      <c r="O1903" s="185"/>
      <c r="P1903" s="173" t="s">
        <v>5431</v>
      </c>
      <c r="Q1903" s="174"/>
      <c r="R1903" s="155">
        <v>7</v>
      </c>
      <c r="S1903" s="157"/>
      <c r="T1903" s="183">
        <v>6</v>
      </c>
      <c r="U1903" s="185"/>
      <c r="V1903" s="173" t="s">
        <v>5250</v>
      </c>
      <c r="W1903" s="174"/>
      <c r="X1903" s="311"/>
      <c r="Y1903" s="312"/>
      <c r="Z1903" s="313"/>
      <c r="AA1903" s="272"/>
      <c r="AB1903" s="273"/>
      <c r="AC1903" s="162" t="s">
        <v>5432</v>
      </c>
      <c r="AD1903" s="163"/>
      <c r="AE1903" s="31" t="s">
        <v>1356</v>
      </c>
      <c r="AF1903" s="167"/>
      <c r="AG1903" s="168"/>
      <c r="AH1903" s="169"/>
      <c r="AI1903" s="167"/>
      <c r="AJ1903" s="48"/>
      <c r="AK1903" s="15"/>
      <c r="AL1903" s="15"/>
    </row>
    <row r="1904" spans="1:38" ht="75" x14ac:dyDescent="0.3">
      <c r="A1904" s="179"/>
      <c r="B1904" s="292"/>
      <c r="C1904" s="314"/>
      <c r="D1904" s="293"/>
      <c r="E1904" s="28" t="s">
        <v>5438</v>
      </c>
      <c r="F1904" s="194"/>
      <c r="G1904" s="197"/>
      <c r="H1904" s="195"/>
      <c r="I1904" s="160">
        <v>4</v>
      </c>
      <c r="J1904" s="161"/>
      <c r="K1904" s="146" t="s">
        <v>5430</v>
      </c>
      <c r="L1904" s="148"/>
      <c r="M1904" s="183">
        <v>47</v>
      </c>
      <c r="N1904" s="184"/>
      <c r="O1904" s="185"/>
      <c r="P1904" s="173" t="s">
        <v>5431</v>
      </c>
      <c r="Q1904" s="174"/>
      <c r="R1904" s="160">
        <v>7</v>
      </c>
      <c r="S1904" s="161"/>
      <c r="T1904" s="183">
        <v>6</v>
      </c>
      <c r="U1904" s="185"/>
      <c r="V1904" s="173" t="s">
        <v>5250</v>
      </c>
      <c r="W1904" s="174"/>
      <c r="X1904" s="255"/>
      <c r="Y1904" s="256"/>
      <c r="Z1904" s="257"/>
      <c r="AA1904" s="194"/>
      <c r="AB1904" s="195"/>
      <c r="AC1904" s="162" t="s">
        <v>1939</v>
      </c>
      <c r="AD1904" s="163"/>
      <c r="AE1904" s="31" t="s">
        <v>5436</v>
      </c>
      <c r="AF1904" s="167"/>
      <c r="AG1904" s="168"/>
      <c r="AH1904" s="169"/>
      <c r="AI1904" s="167"/>
      <c r="AJ1904" s="48"/>
      <c r="AK1904" s="15"/>
      <c r="AL1904" s="15"/>
    </row>
    <row r="1905" spans="1:38" ht="60" x14ac:dyDescent="0.3">
      <c r="A1905" s="179"/>
      <c r="B1905" s="292"/>
      <c r="C1905" s="314"/>
      <c r="D1905" s="293"/>
      <c r="E1905" s="28" t="s">
        <v>5439</v>
      </c>
      <c r="F1905" s="192" t="s">
        <v>5440</v>
      </c>
      <c r="G1905" s="196"/>
      <c r="H1905" s="193"/>
      <c r="I1905" s="112">
        <v>5</v>
      </c>
      <c r="J1905" s="113"/>
      <c r="K1905" s="143" t="s">
        <v>4845</v>
      </c>
      <c r="L1905" s="145"/>
      <c r="M1905" s="183">
        <v>54</v>
      </c>
      <c r="N1905" s="184"/>
      <c r="O1905" s="185"/>
      <c r="P1905" s="173" t="s">
        <v>5441</v>
      </c>
      <c r="Q1905" s="174"/>
      <c r="R1905" s="112">
        <v>8</v>
      </c>
      <c r="S1905" s="113"/>
      <c r="T1905" s="183">
        <v>6</v>
      </c>
      <c r="U1905" s="185"/>
      <c r="V1905" s="173" t="s">
        <v>5442</v>
      </c>
      <c r="W1905" s="174"/>
      <c r="X1905" s="252">
        <v>79</v>
      </c>
      <c r="Y1905" s="253"/>
      <c r="Z1905" s="254"/>
      <c r="AA1905" s="192" t="s">
        <v>2758</v>
      </c>
      <c r="AB1905" s="193"/>
      <c r="AC1905" s="162" t="s">
        <v>5433</v>
      </c>
      <c r="AD1905" s="163"/>
      <c r="AE1905" s="31"/>
      <c r="AF1905" s="167"/>
      <c r="AG1905" s="168"/>
      <c r="AH1905" s="169"/>
      <c r="AI1905" s="167"/>
      <c r="AJ1905" s="48"/>
      <c r="AK1905" s="15"/>
      <c r="AL1905" s="15"/>
    </row>
    <row r="1906" spans="1:38" ht="75" x14ac:dyDescent="0.3">
      <c r="A1906" s="179"/>
      <c r="B1906" s="292"/>
      <c r="C1906" s="314"/>
      <c r="D1906" s="293"/>
      <c r="E1906" s="28" t="s">
        <v>5443</v>
      </c>
      <c r="F1906" s="272"/>
      <c r="G1906" s="282"/>
      <c r="H1906" s="273"/>
      <c r="I1906" s="155">
        <v>5</v>
      </c>
      <c r="J1906" s="157"/>
      <c r="K1906" s="104" t="s">
        <v>4845</v>
      </c>
      <c r="L1906" s="105"/>
      <c r="M1906" s="183">
        <v>56</v>
      </c>
      <c r="N1906" s="184"/>
      <c r="O1906" s="185"/>
      <c r="P1906" s="173" t="s">
        <v>5441</v>
      </c>
      <c r="Q1906" s="174"/>
      <c r="R1906" s="155">
        <v>8</v>
      </c>
      <c r="S1906" s="157"/>
      <c r="T1906" s="183">
        <v>6</v>
      </c>
      <c r="U1906" s="185"/>
      <c r="V1906" s="173" t="s">
        <v>5444</v>
      </c>
      <c r="W1906" s="174"/>
      <c r="X1906" s="311"/>
      <c r="Y1906" s="312"/>
      <c r="Z1906" s="313"/>
      <c r="AA1906" s="272"/>
      <c r="AB1906" s="273"/>
      <c r="AC1906" s="162" t="s">
        <v>5434</v>
      </c>
      <c r="AD1906" s="163"/>
      <c r="AE1906" s="31"/>
      <c r="AF1906" s="167"/>
      <c r="AG1906" s="168"/>
      <c r="AH1906" s="169"/>
      <c r="AI1906" s="167"/>
      <c r="AJ1906" s="48"/>
      <c r="AK1906" s="15"/>
      <c r="AL1906" s="15"/>
    </row>
    <row r="1907" spans="1:38" ht="75" x14ac:dyDescent="0.3">
      <c r="A1907" s="179"/>
      <c r="B1907" s="292"/>
      <c r="C1907" s="314"/>
      <c r="D1907" s="293"/>
      <c r="E1907" s="28" t="s">
        <v>5445</v>
      </c>
      <c r="F1907" s="194"/>
      <c r="G1907" s="197"/>
      <c r="H1907" s="195"/>
      <c r="I1907" s="160">
        <v>5</v>
      </c>
      <c r="J1907" s="161"/>
      <c r="K1907" s="146" t="s">
        <v>4845</v>
      </c>
      <c r="L1907" s="148"/>
      <c r="M1907" s="183">
        <v>56</v>
      </c>
      <c r="N1907" s="184"/>
      <c r="O1907" s="185"/>
      <c r="P1907" s="173" t="s">
        <v>5441</v>
      </c>
      <c r="Q1907" s="174"/>
      <c r="R1907" s="160">
        <v>8</v>
      </c>
      <c r="S1907" s="161"/>
      <c r="T1907" s="183">
        <v>6</v>
      </c>
      <c r="U1907" s="185"/>
      <c r="V1907" s="173" t="s">
        <v>5444</v>
      </c>
      <c r="W1907" s="174"/>
      <c r="X1907" s="255"/>
      <c r="Y1907" s="256"/>
      <c r="Z1907" s="257"/>
      <c r="AA1907" s="194"/>
      <c r="AB1907" s="195"/>
      <c r="AC1907" s="162"/>
      <c r="AD1907" s="163"/>
      <c r="AE1907" s="31"/>
      <c r="AF1907" s="167"/>
      <c r="AG1907" s="168"/>
      <c r="AH1907" s="169"/>
      <c r="AI1907" s="167"/>
      <c r="AJ1907" s="48"/>
      <c r="AK1907" s="15"/>
      <c r="AL1907" s="15"/>
    </row>
    <row r="1908" spans="1:38" ht="60" x14ac:dyDescent="0.3">
      <c r="A1908" s="179"/>
      <c r="B1908" s="292"/>
      <c r="C1908" s="314"/>
      <c r="D1908" s="293"/>
      <c r="E1908" s="28" t="s">
        <v>5446</v>
      </c>
      <c r="F1908" s="192" t="s">
        <v>5447</v>
      </c>
      <c r="G1908" s="196"/>
      <c r="H1908" s="193"/>
      <c r="I1908" s="112">
        <v>6</v>
      </c>
      <c r="J1908" s="113"/>
      <c r="K1908" s="143" t="s">
        <v>5448</v>
      </c>
      <c r="L1908" s="145"/>
      <c r="M1908" s="183">
        <v>63</v>
      </c>
      <c r="N1908" s="184"/>
      <c r="O1908" s="185"/>
      <c r="P1908" s="173" t="s">
        <v>5449</v>
      </c>
      <c r="Q1908" s="174"/>
      <c r="R1908" s="183">
        <v>16</v>
      </c>
      <c r="S1908" s="185"/>
      <c r="T1908" s="183">
        <v>6</v>
      </c>
      <c r="U1908" s="185"/>
      <c r="V1908" s="180" t="s">
        <v>5450</v>
      </c>
      <c r="W1908" s="181"/>
      <c r="X1908" s="252">
        <v>89</v>
      </c>
      <c r="Y1908" s="253"/>
      <c r="Z1908" s="254"/>
      <c r="AA1908" s="192" t="s">
        <v>5451</v>
      </c>
      <c r="AB1908" s="193"/>
      <c r="AC1908" s="162"/>
      <c r="AD1908" s="163"/>
      <c r="AE1908" s="31"/>
      <c r="AF1908" s="167"/>
      <c r="AG1908" s="168"/>
      <c r="AH1908" s="169"/>
      <c r="AI1908" s="167"/>
      <c r="AJ1908" s="48"/>
      <c r="AK1908" s="15"/>
      <c r="AL1908" s="15"/>
    </row>
    <row r="1909" spans="1:38" ht="60" x14ac:dyDescent="0.3">
      <c r="A1909" s="179"/>
      <c r="B1909" s="292"/>
      <c r="C1909" s="314"/>
      <c r="D1909" s="293"/>
      <c r="E1909" s="28" t="s">
        <v>5452</v>
      </c>
      <c r="F1909" s="272"/>
      <c r="G1909" s="282"/>
      <c r="H1909" s="273"/>
      <c r="I1909" s="155">
        <v>6</v>
      </c>
      <c r="J1909" s="157"/>
      <c r="K1909" s="104" t="s">
        <v>5448</v>
      </c>
      <c r="L1909" s="105"/>
      <c r="M1909" s="183">
        <v>66</v>
      </c>
      <c r="N1909" s="184"/>
      <c r="O1909" s="185"/>
      <c r="P1909" s="173" t="s">
        <v>5449</v>
      </c>
      <c r="Q1909" s="174"/>
      <c r="R1909" s="183">
        <v>16</v>
      </c>
      <c r="S1909" s="185"/>
      <c r="T1909" s="183">
        <v>6</v>
      </c>
      <c r="U1909" s="185"/>
      <c r="V1909" s="180" t="s">
        <v>5453</v>
      </c>
      <c r="W1909" s="181"/>
      <c r="X1909" s="311"/>
      <c r="Y1909" s="312"/>
      <c r="Z1909" s="313"/>
      <c r="AA1909" s="272"/>
      <c r="AB1909" s="273"/>
      <c r="AC1909" s="162"/>
      <c r="AD1909" s="163"/>
      <c r="AE1909" s="31"/>
      <c r="AF1909" s="167"/>
      <c r="AG1909" s="168"/>
      <c r="AH1909" s="169"/>
      <c r="AI1909" s="167"/>
      <c r="AJ1909" s="48"/>
      <c r="AK1909" s="15"/>
      <c r="AL1909" s="15"/>
    </row>
    <row r="1910" spans="1:38" ht="75" x14ac:dyDescent="0.3">
      <c r="A1910" s="230"/>
      <c r="B1910" s="290"/>
      <c r="C1910" s="345"/>
      <c r="D1910" s="291"/>
      <c r="E1910" s="28" t="s">
        <v>5454</v>
      </c>
      <c r="F1910" s="194"/>
      <c r="G1910" s="197"/>
      <c r="H1910" s="195"/>
      <c r="I1910" s="160">
        <v>6</v>
      </c>
      <c r="J1910" s="161"/>
      <c r="K1910" s="146" t="s">
        <v>5448</v>
      </c>
      <c r="L1910" s="148"/>
      <c r="M1910" s="183">
        <v>66</v>
      </c>
      <c r="N1910" s="184"/>
      <c r="O1910" s="185"/>
      <c r="P1910" s="173" t="s">
        <v>5449</v>
      </c>
      <c r="Q1910" s="174"/>
      <c r="R1910" s="183">
        <v>16</v>
      </c>
      <c r="S1910" s="185"/>
      <c r="T1910" s="183">
        <v>6</v>
      </c>
      <c r="U1910" s="185"/>
      <c r="V1910" s="180" t="s">
        <v>5453</v>
      </c>
      <c r="W1910" s="181"/>
      <c r="X1910" s="255"/>
      <c r="Y1910" s="256"/>
      <c r="Z1910" s="257"/>
      <c r="AA1910" s="194"/>
      <c r="AB1910" s="195"/>
      <c r="AC1910" s="212"/>
      <c r="AD1910" s="213"/>
      <c r="AE1910" s="31"/>
      <c r="AF1910" s="214"/>
      <c r="AG1910" s="215"/>
      <c r="AH1910" s="216"/>
      <c r="AI1910" s="167"/>
      <c r="AJ1910" s="48"/>
      <c r="AK1910" s="15"/>
      <c r="AL1910" s="15"/>
    </row>
    <row r="1911" spans="1:38" ht="105" x14ac:dyDescent="0.25">
      <c r="A1911" s="178"/>
      <c r="B1911" s="303" t="s">
        <v>5455</v>
      </c>
      <c r="C1911" s="344"/>
      <c r="D1911" s="304"/>
      <c r="E1911" s="28" t="s">
        <v>5456</v>
      </c>
      <c r="F1911" s="233" t="s">
        <v>5457</v>
      </c>
      <c r="G1911" s="305"/>
      <c r="H1911" s="234"/>
      <c r="I1911" s="183">
        <v>11</v>
      </c>
      <c r="J1911" s="185"/>
      <c r="K1911" s="143" t="s">
        <v>5458</v>
      </c>
      <c r="L1911" s="145"/>
      <c r="M1911" s="180" t="s">
        <v>5459</v>
      </c>
      <c r="N1911" s="450"/>
      <c r="O1911" s="181"/>
      <c r="P1911" s="173" t="s">
        <v>5460</v>
      </c>
      <c r="Q1911" s="174"/>
      <c r="R1911" s="88" t="s">
        <v>977</v>
      </c>
      <c r="S1911" s="89"/>
      <c r="T1911" s="183">
        <v>9</v>
      </c>
      <c r="U1911" s="185"/>
      <c r="V1911" s="173" t="s">
        <v>5461</v>
      </c>
      <c r="W1911" s="174"/>
      <c r="X1911" s="252">
        <v>109</v>
      </c>
      <c r="Y1911" s="253"/>
      <c r="Z1911" s="254"/>
      <c r="AA1911" s="192" t="s">
        <v>1369</v>
      </c>
      <c r="AB1911" s="193"/>
      <c r="AC1911" s="171" t="s">
        <v>3194</v>
      </c>
      <c r="AD1911" s="172"/>
      <c r="AE1911" s="16" t="s">
        <v>5464</v>
      </c>
      <c r="AF1911" s="164"/>
      <c r="AG1911" s="165"/>
      <c r="AH1911" s="166"/>
      <c r="AI1911" s="167"/>
      <c r="AJ1911" s="48"/>
      <c r="AK1911" s="15"/>
      <c r="AL1911" s="15"/>
    </row>
    <row r="1912" spans="1:38" ht="105" x14ac:dyDescent="0.25">
      <c r="A1912" s="179"/>
      <c r="B1912" s="292" t="s">
        <v>2406</v>
      </c>
      <c r="C1912" s="314"/>
      <c r="D1912" s="293"/>
      <c r="E1912" s="28" t="s">
        <v>5466</v>
      </c>
      <c r="F1912" s="235"/>
      <c r="G1912" s="270"/>
      <c r="H1912" s="236"/>
      <c r="I1912" s="183">
        <v>11</v>
      </c>
      <c r="J1912" s="185"/>
      <c r="K1912" s="104" t="s">
        <v>5458</v>
      </c>
      <c r="L1912" s="105"/>
      <c r="M1912" s="180" t="s">
        <v>5459</v>
      </c>
      <c r="N1912" s="450"/>
      <c r="O1912" s="181"/>
      <c r="P1912" s="173" t="s">
        <v>5460</v>
      </c>
      <c r="Q1912" s="174"/>
      <c r="R1912" s="126" t="s">
        <v>977</v>
      </c>
      <c r="S1912" s="127"/>
      <c r="T1912" s="183">
        <v>9</v>
      </c>
      <c r="U1912" s="185"/>
      <c r="V1912" s="173" t="s">
        <v>5461</v>
      </c>
      <c r="W1912" s="174"/>
      <c r="X1912" s="311"/>
      <c r="Y1912" s="312"/>
      <c r="Z1912" s="313"/>
      <c r="AA1912" s="272"/>
      <c r="AB1912" s="273"/>
      <c r="AC1912" s="162" t="s">
        <v>5462</v>
      </c>
      <c r="AD1912" s="163"/>
      <c r="AE1912" s="43" t="s">
        <v>848</v>
      </c>
      <c r="AF1912" s="167"/>
      <c r="AG1912" s="168"/>
      <c r="AH1912" s="169"/>
      <c r="AI1912" s="167"/>
      <c r="AJ1912" s="48"/>
      <c r="AK1912" s="15"/>
      <c r="AL1912" s="15"/>
    </row>
    <row r="1913" spans="1:38" ht="105" x14ac:dyDescent="0.25">
      <c r="A1913" s="179"/>
      <c r="B1913" s="292"/>
      <c r="C1913" s="314"/>
      <c r="D1913" s="293"/>
      <c r="E1913" s="28" t="s">
        <v>5467</v>
      </c>
      <c r="F1913" s="235"/>
      <c r="G1913" s="270"/>
      <c r="H1913" s="236"/>
      <c r="I1913" s="183">
        <v>11</v>
      </c>
      <c r="J1913" s="185"/>
      <c r="K1913" s="104" t="s">
        <v>5458</v>
      </c>
      <c r="L1913" s="105"/>
      <c r="M1913" s="180" t="s">
        <v>5459</v>
      </c>
      <c r="N1913" s="450"/>
      <c r="O1913" s="181"/>
      <c r="P1913" s="173" t="s">
        <v>5460</v>
      </c>
      <c r="Q1913" s="174"/>
      <c r="R1913" s="126" t="s">
        <v>977</v>
      </c>
      <c r="S1913" s="127"/>
      <c r="T1913" s="183">
        <v>9</v>
      </c>
      <c r="U1913" s="185"/>
      <c r="V1913" s="173" t="s">
        <v>5461</v>
      </c>
      <c r="W1913" s="174"/>
      <c r="X1913" s="255"/>
      <c r="Y1913" s="256"/>
      <c r="Z1913" s="257"/>
      <c r="AA1913" s="194"/>
      <c r="AB1913" s="195"/>
      <c r="AC1913" s="162" t="s">
        <v>5463</v>
      </c>
      <c r="AD1913" s="163"/>
      <c r="AE1913" s="43" t="s">
        <v>1356</v>
      </c>
      <c r="AF1913" s="167"/>
      <c r="AG1913" s="168"/>
      <c r="AH1913" s="169"/>
      <c r="AI1913" s="167"/>
      <c r="AJ1913" s="48"/>
      <c r="AK1913" s="15"/>
      <c r="AL1913" s="15"/>
    </row>
    <row r="1914" spans="1:38" ht="105" x14ac:dyDescent="0.25">
      <c r="A1914" s="179"/>
      <c r="B1914" s="292"/>
      <c r="C1914" s="314"/>
      <c r="D1914" s="293"/>
      <c r="E1914" s="28" t="s">
        <v>5468</v>
      </c>
      <c r="F1914" s="235"/>
      <c r="G1914" s="270"/>
      <c r="H1914" s="236"/>
      <c r="I1914" s="183">
        <v>11</v>
      </c>
      <c r="J1914" s="185"/>
      <c r="K1914" s="104" t="s">
        <v>5458</v>
      </c>
      <c r="L1914" s="105"/>
      <c r="M1914" s="180" t="s">
        <v>5469</v>
      </c>
      <c r="N1914" s="450"/>
      <c r="O1914" s="181"/>
      <c r="P1914" s="173" t="s">
        <v>5460</v>
      </c>
      <c r="Q1914" s="174"/>
      <c r="R1914" s="126" t="s">
        <v>977</v>
      </c>
      <c r="S1914" s="127"/>
      <c r="T1914" s="183">
        <v>9</v>
      </c>
      <c r="U1914" s="185"/>
      <c r="V1914" s="173" t="s">
        <v>5470</v>
      </c>
      <c r="W1914" s="174"/>
      <c r="X1914" s="252">
        <v>115</v>
      </c>
      <c r="Y1914" s="253"/>
      <c r="Z1914" s="254"/>
      <c r="AA1914" s="192" t="s">
        <v>1222</v>
      </c>
      <c r="AB1914" s="193"/>
      <c r="AC1914" s="162"/>
      <c r="AD1914" s="163"/>
      <c r="AE1914" s="43" t="s">
        <v>5465</v>
      </c>
      <c r="AF1914" s="167"/>
      <c r="AG1914" s="168"/>
      <c r="AH1914" s="169"/>
      <c r="AI1914" s="167"/>
      <c r="AJ1914" s="48"/>
      <c r="AK1914" s="15"/>
      <c r="AL1914" s="15"/>
    </row>
    <row r="1915" spans="1:38" ht="105" x14ac:dyDescent="0.25">
      <c r="A1915" s="179"/>
      <c r="B1915" s="292"/>
      <c r="C1915" s="314"/>
      <c r="D1915" s="293"/>
      <c r="E1915" s="28" t="s">
        <v>5471</v>
      </c>
      <c r="F1915" s="235"/>
      <c r="G1915" s="270"/>
      <c r="H1915" s="236"/>
      <c r="I1915" s="183">
        <v>11</v>
      </c>
      <c r="J1915" s="185"/>
      <c r="K1915" s="104" t="s">
        <v>5458</v>
      </c>
      <c r="L1915" s="105"/>
      <c r="M1915" s="180" t="s">
        <v>5469</v>
      </c>
      <c r="N1915" s="450"/>
      <c r="O1915" s="181"/>
      <c r="P1915" s="173" t="s">
        <v>5460</v>
      </c>
      <c r="Q1915" s="174"/>
      <c r="R1915" s="126" t="s">
        <v>977</v>
      </c>
      <c r="S1915" s="127"/>
      <c r="T1915" s="183">
        <v>9</v>
      </c>
      <c r="U1915" s="185"/>
      <c r="V1915" s="173" t="s">
        <v>5470</v>
      </c>
      <c r="W1915" s="174"/>
      <c r="X1915" s="311"/>
      <c r="Y1915" s="312"/>
      <c r="Z1915" s="313"/>
      <c r="AA1915" s="272"/>
      <c r="AB1915" s="273"/>
      <c r="AC1915" s="162"/>
      <c r="AD1915" s="163"/>
      <c r="AE1915" s="43"/>
      <c r="AF1915" s="167"/>
      <c r="AG1915" s="168"/>
      <c r="AH1915" s="169"/>
      <c r="AI1915" s="167"/>
      <c r="AJ1915" s="48"/>
      <c r="AK1915" s="15"/>
      <c r="AL1915" s="15"/>
    </row>
    <row r="1916" spans="1:38" ht="105" x14ac:dyDescent="0.25">
      <c r="A1916" s="230"/>
      <c r="B1916" s="290"/>
      <c r="C1916" s="345"/>
      <c r="D1916" s="291"/>
      <c r="E1916" s="28" t="s">
        <v>5472</v>
      </c>
      <c r="F1916" s="237"/>
      <c r="G1916" s="306"/>
      <c r="H1916" s="238"/>
      <c r="I1916" s="183">
        <v>11</v>
      </c>
      <c r="J1916" s="185"/>
      <c r="K1916" s="146" t="s">
        <v>5458</v>
      </c>
      <c r="L1916" s="148"/>
      <c r="M1916" s="180" t="s">
        <v>5469</v>
      </c>
      <c r="N1916" s="450"/>
      <c r="O1916" s="181"/>
      <c r="P1916" s="173" t="s">
        <v>5460</v>
      </c>
      <c r="Q1916" s="174"/>
      <c r="R1916" s="117" t="s">
        <v>977</v>
      </c>
      <c r="S1916" s="118"/>
      <c r="T1916" s="183">
        <v>9</v>
      </c>
      <c r="U1916" s="185"/>
      <c r="V1916" s="173" t="s">
        <v>5470</v>
      </c>
      <c r="W1916" s="174"/>
      <c r="X1916" s="255"/>
      <c r="Y1916" s="256"/>
      <c r="Z1916" s="257"/>
      <c r="AA1916" s="194"/>
      <c r="AB1916" s="195"/>
      <c r="AC1916" s="212"/>
      <c r="AD1916" s="213"/>
      <c r="AE1916" s="43"/>
      <c r="AF1916" s="214"/>
      <c r="AG1916" s="215"/>
      <c r="AH1916" s="216"/>
      <c r="AI1916" s="167"/>
      <c r="AJ1916" s="48"/>
      <c r="AK1916" s="15"/>
      <c r="AL1916" s="15"/>
    </row>
    <row r="1917" spans="1:38" ht="90" x14ac:dyDescent="0.25">
      <c r="A1917" s="178"/>
      <c r="B1917" s="303" t="s">
        <v>5473</v>
      </c>
      <c r="C1917" s="344"/>
      <c r="D1917" s="304"/>
      <c r="E1917" s="28" t="s">
        <v>5474</v>
      </c>
      <c r="F1917" s="233" t="s">
        <v>5475</v>
      </c>
      <c r="G1917" s="305"/>
      <c r="H1917" s="234"/>
      <c r="I1917" s="183">
        <v>6</v>
      </c>
      <c r="J1917" s="185"/>
      <c r="K1917" s="143" t="s">
        <v>3585</v>
      </c>
      <c r="L1917" s="145"/>
      <c r="M1917" s="173" t="s">
        <v>5249</v>
      </c>
      <c r="N1917" s="276"/>
      <c r="O1917" s="174"/>
      <c r="P1917" s="173" t="s">
        <v>4703</v>
      </c>
      <c r="Q1917" s="174"/>
      <c r="R1917" s="112">
        <v>9</v>
      </c>
      <c r="S1917" s="113"/>
      <c r="T1917" s="183">
        <v>6</v>
      </c>
      <c r="U1917" s="185"/>
      <c r="V1917" s="173" t="s">
        <v>5476</v>
      </c>
      <c r="W1917" s="174"/>
      <c r="X1917" s="294">
        <v>79</v>
      </c>
      <c r="Y1917" s="295"/>
      <c r="Z1917" s="296"/>
      <c r="AA1917" s="192" t="s">
        <v>1854</v>
      </c>
      <c r="AB1917" s="193"/>
      <c r="AC1917" s="171" t="s">
        <v>3194</v>
      </c>
      <c r="AD1917" s="172"/>
      <c r="AE1917" s="24" t="s">
        <v>5479</v>
      </c>
      <c r="AF1917" s="164"/>
      <c r="AG1917" s="165"/>
      <c r="AH1917" s="166"/>
      <c r="AI1917" s="167"/>
      <c r="AJ1917" s="48"/>
      <c r="AK1917" s="15"/>
      <c r="AL1917" s="15"/>
    </row>
    <row r="1918" spans="1:38" ht="90" x14ac:dyDescent="0.25">
      <c r="A1918" s="179"/>
      <c r="B1918" s="292" t="s">
        <v>2406</v>
      </c>
      <c r="C1918" s="314"/>
      <c r="D1918" s="293"/>
      <c r="E1918" s="28" t="s">
        <v>5481</v>
      </c>
      <c r="F1918" s="235"/>
      <c r="G1918" s="270"/>
      <c r="H1918" s="236"/>
      <c r="I1918" s="183">
        <v>6</v>
      </c>
      <c r="J1918" s="185"/>
      <c r="K1918" s="104" t="s">
        <v>3585</v>
      </c>
      <c r="L1918" s="105"/>
      <c r="M1918" s="173" t="s">
        <v>5249</v>
      </c>
      <c r="N1918" s="276"/>
      <c r="O1918" s="174"/>
      <c r="P1918" s="173" t="s">
        <v>4703</v>
      </c>
      <c r="Q1918" s="174"/>
      <c r="R1918" s="155">
        <v>9</v>
      </c>
      <c r="S1918" s="157"/>
      <c r="T1918" s="183">
        <v>6</v>
      </c>
      <c r="U1918" s="185"/>
      <c r="V1918" s="173" t="s">
        <v>5476</v>
      </c>
      <c r="W1918" s="174"/>
      <c r="X1918" s="297"/>
      <c r="Y1918" s="298"/>
      <c r="Z1918" s="299"/>
      <c r="AA1918" s="272"/>
      <c r="AB1918" s="273"/>
      <c r="AC1918" s="162" t="s">
        <v>5477</v>
      </c>
      <c r="AD1918" s="163"/>
      <c r="AE1918" s="31" t="s">
        <v>1356</v>
      </c>
      <c r="AF1918" s="167"/>
      <c r="AG1918" s="168"/>
      <c r="AH1918" s="169"/>
      <c r="AI1918" s="167"/>
      <c r="AJ1918" s="48"/>
      <c r="AK1918" s="15"/>
      <c r="AL1918" s="15"/>
    </row>
    <row r="1919" spans="1:38" ht="90" x14ac:dyDescent="0.25">
      <c r="A1919" s="179"/>
      <c r="B1919" s="292"/>
      <c r="C1919" s="314"/>
      <c r="D1919" s="293"/>
      <c r="E1919" s="28" t="s">
        <v>5482</v>
      </c>
      <c r="F1919" s="235"/>
      <c r="G1919" s="270"/>
      <c r="H1919" s="236"/>
      <c r="I1919" s="183">
        <v>6</v>
      </c>
      <c r="J1919" s="185"/>
      <c r="K1919" s="104" t="s">
        <v>3585</v>
      </c>
      <c r="L1919" s="105"/>
      <c r="M1919" s="173" t="s">
        <v>5249</v>
      </c>
      <c r="N1919" s="276"/>
      <c r="O1919" s="174"/>
      <c r="P1919" s="173" t="s">
        <v>4703</v>
      </c>
      <c r="Q1919" s="174"/>
      <c r="R1919" s="155">
        <v>9</v>
      </c>
      <c r="S1919" s="157"/>
      <c r="T1919" s="183">
        <v>6</v>
      </c>
      <c r="U1919" s="185"/>
      <c r="V1919" s="173" t="s">
        <v>5476</v>
      </c>
      <c r="W1919" s="174"/>
      <c r="X1919" s="300"/>
      <c r="Y1919" s="301"/>
      <c r="Z1919" s="302"/>
      <c r="AA1919" s="194"/>
      <c r="AB1919" s="195"/>
      <c r="AC1919" s="162" t="s">
        <v>2211</v>
      </c>
      <c r="AD1919" s="163"/>
      <c r="AE1919" s="31" t="s">
        <v>5480</v>
      </c>
      <c r="AF1919" s="167"/>
      <c r="AG1919" s="168"/>
      <c r="AH1919" s="169"/>
      <c r="AI1919" s="167"/>
      <c r="AJ1919" s="48"/>
      <c r="AK1919" s="15"/>
      <c r="AL1919" s="15"/>
    </row>
    <row r="1920" spans="1:38" ht="90" x14ac:dyDescent="0.25">
      <c r="A1920" s="179"/>
      <c r="B1920" s="292"/>
      <c r="C1920" s="314"/>
      <c r="D1920" s="293"/>
      <c r="E1920" s="28" t="s">
        <v>5483</v>
      </c>
      <c r="F1920" s="235"/>
      <c r="G1920" s="270"/>
      <c r="H1920" s="236"/>
      <c r="I1920" s="183">
        <v>6</v>
      </c>
      <c r="J1920" s="185"/>
      <c r="K1920" s="104" t="s">
        <v>3585</v>
      </c>
      <c r="L1920" s="105"/>
      <c r="M1920" s="173" t="s">
        <v>5484</v>
      </c>
      <c r="N1920" s="276"/>
      <c r="O1920" s="174"/>
      <c r="P1920" s="173" t="s">
        <v>4703</v>
      </c>
      <c r="Q1920" s="174"/>
      <c r="R1920" s="155">
        <v>9</v>
      </c>
      <c r="S1920" s="157"/>
      <c r="T1920" s="183">
        <v>6</v>
      </c>
      <c r="U1920" s="185"/>
      <c r="V1920" s="173" t="s">
        <v>4394</v>
      </c>
      <c r="W1920" s="174"/>
      <c r="X1920" s="252">
        <v>85</v>
      </c>
      <c r="Y1920" s="253"/>
      <c r="Z1920" s="254"/>
      <c r="AA1920" s="233" t="s">
        <v>1261</v>
      </c>
      <c r="AB1920" s="234"/>
      <c r="AC1920" s="162" t="s">
        <v>5478</v>
      </c>
      <c r="AD1920" s="163"/>
      <c r="AE1920" s="31"/>
      <c r="AF1920" s="167"/>
      <c r="AG1920" s="168"/>
      <c r="AH1920" s="169"/>
      <c r="AI1920" s="167"/>
      <c r="AJ1920" s="48"/>
      <c r="AK1920" s="15"/>
      <c r="AL1920" s="15"/>
    </row>
    <row r="1921" spans="1:38" ht="90" x14ac:dyDescent="0.25">
      <c r="A1921" s="179"/>
      <c r="B1921" s="292"/>
      <c r="C1921" s="314"/>
      <c r="D1921" s="293"/>
      <c r="E1921" s="28" t="s">
        <v>5485</v>
      </c>
      <c r="F1921" s="235"/>
      <c r="G1921" s="270"/>
      <c r="H1921" s="236"/>
      <c r="I1921" s="183">
        <v>6</v>
      </c>
      <c r="J1921" s="185"/>
      <c r="K1921" s="104" t="s">
        <v>3585</v>
      </c>
      <c r="L1921" s="105"/>
      <c r="M1921" s="173" t="s">
        <v>5484</v>
      </c>
      <c r="N1921" s="276"/>
      <c r="O1921" s="174"/>
      <c r="P1921" s="173" t="s">
        <v>4703</v>
      </c>
      <c r="Q1921" s="174"/>
      <c r="R1921" s="155">
        <v>9</v>
      </c>
      <c r="S1921" s="157"/>
      <c r="T1921" s="183">
        <v>6</v>
      </c>
      <c r="U1921" s="185"/>
      <c r="V1921" s="173" t="s">
        <v>4394</v>
      </c>
      <c r="W1921" s="174"/>
      <c r="X1921" s="311"/>
      <c r="Y1921" s="312"/>
      <c r="Z1921" s="313"/>
      <c r="AA1921" s="235"/>
      <c r="AB1921" s="236"/>
      <c r="AC1921" s="162"/>
      <c r="AD1921" s="163"/>
      <c r="AE1921" s="31"/>
      <c r="AF1921" s="167"/>
      <c r="AG1921" s="168"/>
      <c r="AH1921" s="169"/>
      <c r="AI1921" s="167"/>
      <c r="AJ1921" s="48"/>
      <c r="AK1921" s="15"/>
      <c r="AL1921" s="15"/>
    </row>
    <row r="1922" spans="1:38" ht="90" x14ac:dyDescent="0.25">
      <c r="A1922" s="179"/>
      <c r="B1922" s="292"/>
      <c r="C1922" s="314"/>
      <c r="D1922" s="293"/>
      <c r="E1922" s="28" t="s">
        <v>5486</v>
      </c>
      <c r="F1922" s="235"/>
      <c r="G1922" s="270"/>
      <c r="H1922" s="236"/>
      <c r="I1922" s="183">
        <v>6</v>
      </c>
      <c r="J1922" s="185"/>
      <c r="K1922" s="104" t="s">
        <v>3585</v>
      </c>
      <c r="L1922" s="105"/>
      <c r="M1922" s="173" t="s">
        <v>5484</v>
      </c>
      <c r="N1922" s="276"/>
      <c r="O1922" s="174"/>
      <c r="P1922" s="173" t="s">
        <v>4703</v>
      </c>
      <c r="Q1922" s="174"/>
      <c r="R1922" s="155">
        <v>9</v>
      </c>
      <c r="S1922" s="157"/>
      <c r="T1922" s="183">
        <v>6</v>
      </c>
      <c r="U1922" s="185"/>
      <c r="V1922" s="173" t="s">
        <v>4394</v>
      </c>
      <c r="W1922" s="174"/>
      <c r="X1922" s="311"/>
      <c r="Y1922" s="312"/>
      <c r="Z1922" s="313"/>
      <c r="AA1922" s="235"/>
      <c r="AB1922" s="236"/>
      <c r="AC1922" s="162"/>
      <c r="AD1922" s="163"/>
      <c r="AE1922" s="31"/>
      <c r="AF1922" s="167"/>
      <c r="AG1922" s="168"/>
      <c r="AH1922" s="169"/>
      <c r="AI1922" s="167"/>
      <c r="AJ1922" s="48"/>
      <c r="AK1922" s="15"/>
      <c r="AL1922" s="15"/>
    </row>
    <row r="1923" spans="1:38" ht="90" x14ac:dyDescent="0.25">
      <c r="A1923" s="179"/>
      <c r="B1923" s="292"/>
      <c r="C1923" s="314"/>
      <c r="D1923" s="293"/>
      <c r="E1923" s="28" t="s">
        <v>5487</v>
      </c>
      <c r="F1923" s="235"/>
      <c r="G1923" s="270"/>
      <c r="H1923" s="236"/>
      <c r="I1923" s="183">
        <v>6</v>
      </c>
      <c r="J1923" s="185"/>
      <c r="K1923" s="104" t="s">
        <v>3585</v>
      </c>
      <c r="L1923" s="105"/>
      <c r="M1923" s="173" t="s">
        <v>5484</v>
      </c>
      <c r="N1923" s="276"/>
      <c r="O1923" s="174"/>
      <c r="P1923" s="173" t="s">
        <v>4703</v>
      </c>
      <c r="Q1923" s="174"/>
      <c r="R1923" s="155">
        <v>9</v>
      </c>
      <c r="S1923" s="157"/>
      <c r="T1923" s="183">
        <v>6</v>
      </c>
      <c r="U1923" s="185"/>
      <c r="V1923" s="173" t="s">
        <v>4394</v>
      </c>
      <c r="W1923" s="174"/>
      <c r="X1923" s="311"/>
      <c r="Y1923" s="312"/>
      <c r="Z1923" s="313"/>
      <c r="AA1923" s="235"/>
      <c r="AB1923" s="236"/>
      <c r="AC1923" s="162"/>
      <c r="AD1923" s="163"/>
      <c r="AE1923" s="31"/>
      <c r="AF1923" s="167"/>
      <c r="AG1923" s="168"/>
      <c r="AH1923" s="169"/>
      <c r="AI1923" s="167"/>
      <c r="AJ1923" s="48"/>
      <c r="AK1923" s="15"/>
      <c r="AL1923" s="15"/>
    </row>
    <row r="1924" spans="1:38" ht="90" x14ac:dyDescent="0.25">
      <c r="A1924" s="179"/>
      <c r="B1924" s="292"/>
      <c r="C1924" s="314"/>
      <c r="D1924" s="293"/>
      <c r="E1924" s="28" t="s">
        <v>5488</v>
      </c>
      <c r="F1924" s="235"/>
      <c r="G1924" s="270"/>
      <c r="H1924" s="236"/>
      <c r="I1924" s="183">
        <v>6</v>
      </c>
      <c r="J1924" s="185"/>
      <c r="K1924" s="104" t="s">
        <v>3585</v>
      </c>
      <c r="L1924" s="105"/>
      <c r="M1924" s="173" t="s">
        <v>5484</v>
      </c>
      <c r="N1924" s="276"/>
      <c r="O1924" s="174"/>
      <c r="P1924" s="173" t="s">
        <v>4703</v>
      </c>
      <c r="Q1924" s="174"/>
      <c r="R1924" s="155">
        <v>9</v>
      </c>
      <c r="S1924" s="157"/>
      <c r="T1924" s="183">
        <v>6</v>
      </c>
      <c r="U1924" s="185"/>
      <c r="V1924" s="173" t="s">
        <v>4394</v>
      </c>
      <c r="W1924" s="174"/>
      <c r="X1924" s="311"/>
      <c r="Y1924" s="312"/>
      <c r="Z1924" s="313"/>
      <c r="AA1924" s="235"/>
      <c r="AB1924" s="236"/>
      <c r="AC1924" s="162"/>
      <c r="AD1924" s="163"/>
      <c r="AE1924" s="31"/>
      <c r="AF1924" s="167"/>
      <c r="AG1924" s="168"/>
      <c r="AH1924" s="169"/>
      <c r="AI1924" s="167"/>
      <c r="AJ1924" s="48"/>
      <c r="AK1924" s="15"/>
      <c r="AL1924" s="15"/>
    </row>
    <row r="1925" spans="1:38" ht="90" x14ac:dyDescent="0.25">
      <c r="A1925" s="230"/>
      <c r="B1925" s="290"/>
      <c r="C1925" s="345"/>
      <c r="D1925" s="291"/>
      <c r="E1925" s="28" t="s">
        <v>5489</v>
      </c>
      <c r="F1925" s="237"/>
      <c r="G1925" s="306"/>
      <c r="H1925" s="238"/>
      <c r="I1925" s="183">
        <v>6</v>
      </c>
      <c r="J1925" s="185"/>
      <c r="K1925" s="146" t="s">
        <v>3585</v>
      </c>
      <c r="L1925" s="148"/>
      <c r="M1925" s="173" t="s">
        <v>5484</v>
      </c>
      <c r="N1925" s="276"/>
      <c r="O1925" s="174"/>
      <c r="P1925" s="173" t="s">
        <v>4703</v>
      </c>
      <c r="Q1925" s="174"/>
      <c r="R1925" s="160">
        <v>9</v>
      </c>
      <c r="S1925" s="161"/>
      <c r="T1925" s="183">
        <v>6</v>
      </c>
      <c r="U1925" s="185"/>
      <c r="V1925" s="173" t="s">
        <v>4394</v>
      </c>
      <c r="W1925" s="174"/>
      <c r="X1925" s="255"/>
      <c r="Y1925" s="256"/>
      <c r="Z1925" s="257"/>
      <c r="AA1925" s="237"/>
      <c r="AB1925" s="238"/>
      <c r="AC1925" s="212"/>
      <c r="AD1925" s="213"/>
      <c r="AE1925" s="31"/>
      <c r="AF1925" s="214"/>
      <c r="AG1925" s="215"/>
      <c r="AH1925" s="216"/>
      <c r="AI1925" s="167"/>
      <c r="AJ1925" s="48"/>
      <c r="AK1925" s="15"/>
      <c r="AL1925" s="15"/>
    </row>
    <row r="1926" spans="1:38" ht="105" x14ac:dyDescent="0.3">
      <c r="A1926" s="178"/>
      <c r="B1926" s="171" t="s">
        <v>5490</v>
      </c>
      <c r="C1926" s="407"/>
      <c r="D1926" s="172"/>
      <c r="E1926" s="28" t="s">
        <v>5491</v>
      </c>
      <c r="F1926" s="233" t="s">
        <v>5492</v>
      </c>
      <c r="G1926" s="305"/>
      <c r="H1926" s="234"/>
      <c r="I1926" s="110" t="s">
        <v>1062</v>
      </c>
      <c r="J1926" s="111"/>
      <c r="K1926" s="143" t="s">
        <v>5173</v>
      </c>
      <c r="L1926" s="145"/>
      <c r="M1926" s="173" t="s">
        <v>5493</v>
      </c>
      <c r="N1926" s="276"/>
      <c r="O1926" s="174"/>
      <c r="P1926" s="173" t="s">
        <v>674</v>
      </c>
      <c r="Q1926" s="174"/>
      <c r="R1926" s="112">
        <v>9</v>
      </c>
      <c r="S1926" s="113"/>
      <c r="T1926" s="183">
        <v>6</v>
      </c>
      <c r="U1926" s="185"/>
      <c r="V1926" s="173" t="s">
        <v>1504</v>
      </c>
      <c r="W1926" s="174"/>
      <c r="X1926" s="252">
        <v>79</v>
      </c>
      <c r="Y1926" s="253"/>
      <c r="Z1926" s="254"/>
      <c r="AA1926" s="192" t="s">
        <v>2395</v>
      </c>
      <c r="AB1926" s="193"/>
      <c r="AC1926" s="88" t="s">
        <v>3194</v>
      </c>
      <c r="AD1926" s="89"/>
      <c r="AE1926" s="24" t="s">
        <v>5496</v>
      </c>
      <c r="AF1926" s="164"/>
      <c r="AG1926" s="165"/>
      <c r="AH1926" s="166"/>
      <c r="AI1926" s="167"/>
      <c r="AJ1926" s="48"/>
      <c r="AK1926" s="15"/>
      <c r="AL1926" s="15"/>
    </row>
    <row r="1927" spans="1:38" ht="90" x14ac:dyDescent="0.3">
      <c r="A1927" s="179"/>
      <c r="B1927" s="162" t="s">
        <v>2406</v>
      </c>
      <c r="C1927" s="170"/>
      <c r="D1927" s="163"/>
      <c r="E1927" s="28" t="s">
        <v>5498</v>
      </c>
      <c r="F1927" s="235"/>
      <c r="G1927" s="270"/>
      <c r="H1927" s="236"/>
      <c r="I1927" s="110" t="s">
        <v>1062</v>
      </c>
      <c r="J1927" s="111"/>
      <c r="K1927" s="104" t="s">
        <v>5173</v>
      </c>
      <c r="L1927" s="105"/>
      <c r="M1927" s="173" t="s">
        <v>5493</v>
      </c>
      <c r="N1927" s="276"/>
      <c r="O1927" s="174"/>
      <c r="P1927" s="173" t="s">
        <v>674</v>
      </c>
      <c r="Q1927" s="174"/>
      <c r="R1927" s="155">
        <v>9</v>
      </c>
      <c r="S1927" s="157"/>
      <c r="T1927" s="183">
        <v>6</v>
      </c>
      <c r="U1927" s="185"/>
      <c r="V1927" s="173" t="s">
        <v>1504</v>
      </c>
      <c r="W1927" s="174"/>
      <c r="X1927" s="311"/>
      <c r="Y1927" s="312"/>
      <c r="Z1927" s="313"/>
      <c r="AA1927" s="272"/>
      <c r="AB1927" s="273"/>
      <c r="AC1927" s="126" t="s">
        <v>5494</v>
      </c>
      <c r="AD1927" s="127"/>
      <c r="AE1927" s="31" t="s">
        <v>848</v>
      </c>
      <c r="AF1927" s="167"/>
      <c r="AG1927" s="168"/>
      <c r="AH1927" s="169"/>
      <c r="AI1927" s="167"/>
      <c r="AJ1927" s="48"/>
      <c r="AK1927" s="15"/>
      <c r="AL1927" s="15"/>
    </row>
    <row r="1928" spans="1:38" ht="90" x14ac:dyDescent="0.3">
      <c r="A1928" s="179"/>
      <c r="B1928" s="162"/>
      <c r="C1928" s="170"/>
      <c r="D1928" s="163"/>
      <c r="E1928" s="28" t="s">
        <v>6477</v>
      </c>
      <c r="F1928" s="235"/>
      <c r="G1928" s="270"/>
      <c r="H1928" s="236"/>
      <c r="I1928" s="110" t="s">
        <v>1062</v>
      </c>
      <c r="J1928" s="111"/>
      <c r="K1928" s="104" t="s">
        <v>5173</v>
      </c>
      <c r="L1928" s="105"/>
      <c r="M1928" s="173" t="s">
        <v>5493</v>
      </c>
      <c r="N1928" s="276"/>
      <c r="O1928" s="174"/>
      <c r="P1928" s="173" t="s">
        <v>674</v>
      </c>
      <c r="Q1928" s="174"/>
      <c r="R1928" s="155">
        <v>9</v>
      </c>
      <c r="S1928" s="157"/>
      <c r="T1928" s="183">
        <v>6</v>
      </c>
      <c r="U1928" s="185"/>
      <c r="V1928" s="173" t="s">
        <v>1504</v>
      </c>
      <c r="W1928" s="174"/>
      <c r="X1928" s="255"/>
      <c r="Y1928" s="256"/>
      <c r="Z1928" s="257"/>
      <c r="AA1928" s="194"/>
      <c r="AB1928" s="195"/>
      <c r="AC1928" s="126" t="s">
        <v>5495</v>
      </c>
      <c r="AD1928" s="127"/>
      <c r="AE1928" s="31" t="s">
        <v>1356</v>
      </c>
      <c r="AF1928" s="167"/>
      <c r="AG1928" s="168"/>
      <c r="AH1928" s="169"/>
      <c r="AI1928" s="167"/>
      <c r="AJ1928" s="48"/>
      <c r="AK1928" s="15"/>
      <c r="AL1928" s="15"/>
    </row>
    <row r="1929" spans="1:38" ht="105" x14ac:dyDescent="0.3">
      <c r="A1929" s="179"/>
      <c r="B1929" s="162"/>
      <c r="C1929" s="170"/>
      <c r="D1929" s="163"/>
      <c r="E1929" s="28" t="s">
        <v>5499</v>
      </c>
      <c r="F1929" s="235"/>
      <c r="G1929" s="270"/>
      <c r="H1929" s="236"/>
      <c r="I1929" s="110" t="s">
        <v>1062</v>
      </c>
      <c r="J1929" s="111"/>
      <c r="K1929" s="104" t="s">
        <v>5173</v>
      </c>
      <c r="L1929" s="105"/>
      <c r="M1929" s="173" t="s">
        <v>5500</v>
      </c>
      <c r="N1929" s="276"/>
      <c r="O1929" s="174"/>
      <c r="P1929" s="173" t="s">
        <v>674</v>
      </c>
      <c r="Q1929" s="174"/>
      <c r="R1929" s="155">
        <v>9</v>
      </c>
      <c r="S1929" s="157"/>
      <c r="T1929" s="183">
        <v>6</v>
      </c>
      <c r="U1929" s="185"/>
      <c r="V1929" s="173" t="s">
        <v>1508</v>
      </c>
      <c r="W1929" s="174"/>
      <c r="X1929" s="252">
        <v>82</v>
      </c>
      <c r="Y1929" s="253"/>
      <c r="Z1929" s="254"/>
      <c r="AA1929" s="192" t="s">
        <v>2758</v>
      </c>
      <c r="AB1929" s="193"/>
      <c r="AC1929" s="126"/>
      <c r="AD1929" s="127"/>
      <c r="AE1929" s="31" t="s">
        <v>5497</v>
      </c>
      <c r="AF1929" s="167"/>
      <c r="AG1929" s="168"/>
      <c r="AH1929" s="169"/>
      <c r="AI1929" s="167"/>
      <c r="AJ1929" s="48"/>
      <c r="AK1929" s="15"/>
      <c r="AL1929" s="15"/>
    </row>
    <row r="1930" spans="1:38" ht="90" x14ac:dyDescent="0.3">
      <c r="A1930" s="179"/>
      <c r="B1930" s="162"/>
      <c r="C1930" s="170"/>
      <c r="D1930" s="163"/>
      <c r="E1930" s="28" t="s">
        <v>5501</v>
      </c>
      <c r="F1930" s="235"/>
      <c r="G1930" s="270"/>
      <c r="H1930" s="236"/>
      <c r="I1930" s="110" t="s">
        <v>1062</v>
      </c>
      <c r="J1930" s="111"/>
      <c r="K1930" s="104" t="s">
        <v>5173</v>
      </c>
      <c r="L1930" s="105"/>
      <c r="M1930" s="173" t="s">
        <v>5500</v>
      </c>
      <c r="N1930" s="276"/>
      <c r="O1930" s="174"/>
      <c r="P1930" s="173" t="s">
        <v>674</v>
      </c>
      <c r="Q1930" s="174"/>
      <c r="R1930" s="155">
        <v>9</v>
      </c>
      <c r="S1930" s="157"/>
      <c r="T1930" s="183">
        <v>6</v>
      </c>
      <c r="U1930" s="185"/>
      <c r="V1930" s="173" t="s">
        <v>1508</v>
      </c>
      <c r="W1930" s="174"/>
      <c r="X1930" s="311"/>
      <c r="Y1930" s="312"/>
      <c r="Z1930" s="313"/>
      <c r="AA1930" s="272"/>
      <c r="AB1930" s="273"/>
      <c r="AC1930" s="126"/>
      <c r="AD1930" s="127"/>
      <c r="AE1930" s="31"/>
      <c r="AF1930" s="167"/>
      <c r="AG1930" s="168"/>
      <c r="AH1930" s="169"/>
      <c r="AI1930" s="167"/>
      <c r="AJ1930" s="48"/>
      <c r="AK1930" s="15"/>
      <c r="AL1930" s="15"/>
    </row>
    <row r="1931" spans="1:38" ht="90" x14ac:dyDescent="0.3">
      <c r="A1931" s="179"/>
      <c r="B1931" s="162"/>
      <c r="C1931" s="170"/>
      <c r="D1931" s="163"/>
      <c r="E1931" s="28" t="s">
        <v>5502</v>
      </c>
      <c r="F1931" s="235"/>
      <c r="G1931" s="270"/>
      <c r="H1931" s="236"/>
      <c r="I1931" s="110" t="s">
        <v>1062</v>
      </c>
      <c r="J1931" s="111"/>
      <c r="K1931" s="104" t="s">
        <v>5173</v>
      </c>
      <c r="L1931" s="105"/>
      <c r="M1931" s="173" t="s">
        <v>5500</v>
      </c>
      <c r="N1931" s="276"/>
      <c r="O1931" s="174"/>
      <c r="P1931" s="173" t="s">
        <v>674</v>
      </c>
      <c r="Q1931" s="174"/>
      <c r="R1931" s="155">
        <v>9</v>
      </c>
      <c r="S1931" s="157"/>
      <c r="T1931" s="183">
        <v>6</v>
      </c>
      <c r="U1931" s="185"/>
      <c r="V1931" s="173" t="s">
        <v>1508</v>
      </c>
      <c r="W1931" s="174"/>
      <c r="X1931" s="311"/>
      <c r="Y1931" s="312"/>
      <c r="Z1931" s="313"/>
      <c r="AA1931" s="272"/>
      <c r="AB1931" s="273"/>
      <c r="AC1931" s="126"/>
      <c r="AD1931" s="127"/>
      <c r="AE1931" s="31"/>
      <c r="AF1931" s="167"/>
      <c r="AG1931" s="168"/>
      <c r="AH1931" s="169"/>
      <c r="AI1931" s="167"/>
      <c r="AJ1931" s="48"/>
      <c r="AK1931" s="15"/>
      <c r="AL1931" s="15"/>
    </row>
    <row r="1932" spans="1:38" ht="105" x14ac:dyDescent="0.3">
      <c r="A1932" s="179"/>
      <c r="B1932" s="162"/>
      <c r="C1932" s="170"/>
      <c r="D1932" s="163"/>
      <c r="E1932" s="28" t="s">
        <v>5503</v>
      </c>
      <c r="F1932" s="235"/>
      <c r="G1932" s="270"/>
      <c r="H1932" s="236"/>
      <c r="I1932" s="110" t="s">
        <v>1062</v>
      </c>
      <c r="J1932" s="111"/>
      <c r="K1932" s="104" t="s">
        <v>5173</v>
      </c>
      <c r="L1932" s="105"/>
      <c r="M1932" s="173" t="s">
        <v>5500</v>
      </c>
      <c r="N1932" s="276"/>
      <c r="O1932" s="174"/>
      <c r="P1932" s="173" t="s">
        <v>674</v>
      </c>
      <c r="Q1932" s="174"/>
      <c r="R1932" s="155">
        <v>9</v>
      </c>
      <c r="S1932" s="157"/>
      <c r="T1932" s="183">
        <v>6</v>
      </c>
      <c r="U1932" s="185"/>
      <c r="V1932" s="173" t="s">
        <v>1508</v>
      </c>
      <c r="W1932" s="174"/>
      <c r="X1932" s="311"/>
      <c r="Y1932" s="312"/>
      <c r="Z1932" s="313"/>
      <c r="AA1932" s="272"/>
      <c r="AB1932" s="273"/>
      <c r="AC1932" s="126"/>
      <c r="AD1932" s="127"/>
      <c r="AE1932" s="31"/>
      <c r="AF1932" s="167"/>
      <c r="AG1932" s="168"/>
      <c r="AH1932" s="169"/>
      <c r="AI1932" s="167"/>
      <c r="AJ1932" s="48"/>
      <c r="AK1932" s="15"/>
      <c r="AL1932" s="15"/>
    </row>
    <row r="1933" spans="1:38" ht="90" x14ac:dyDescent="0.3">
      <c r="A1933" s="179"/>
      <c r="B1933" s="162"/>
      <c r="C1933" s="170"/>
      <c r="D1933" s="163"/>
      <c r="E1933" s="28" t="s">
        <v>5504</v>
      </c>
      <c r="F1933" s="235"/>
      <c r="G1933" s="270"/>
      <c r="H1933" s="236"/>
      <c r="I1933" s="110" t="s">
        <v>1062</v>
      </c>
      <c r="J1933" s="111"/>
      <c r="K1933" s="104" t="s">
        <v>5173</v>
      </c>
      <c r="L1933" s="105"/>
      <c r="M1933" s="173" t="s">
        <v>5500</v>
      </c>
      <c r="N1933" s="276"/>
      <c r="O1933" s="174"/>
      <c r="P1933" s="173" t="s">
        <v>674</v>
      </c>
      <c r="Q1933" s="174"/>
      <c r="R1933" s="155">
        <v>9</v>
      </c>
      <c r="S1933" s="157"/>
      <c r="T1933" s="183">
        <v>6</v>
      </c>
      <c r="U1933" s="185"/>
      <c r="V1933" s="173" t="s">
        <v>1508</v>
      </c>
      <c r="W1933" s="174"/>
      <c r="X1933" s="311"/>
      <c r="Y1933" s="312"/>
      <c r="Z1933" s="313"/>
      <c r="AA1933" s="272"/>
      <c r="AB1933" s="273"/>
      <c r="AC1933" s="126"/>
      <c r="AD1933" s="127"/>
      <c r="AE1933" s="31"/>
      <c r="AF1933" s="167"/>
      <c r="AG1933" s="168"/>
      <c r="AH1933" s="169"/>
      <c r="AI1933" s="167"/>
      <c r="AJ1933" s="48"/>
      <c r="AK1933" s="15"/>
      <c r="AL1933" s="15"/>
    </row>
    <row r="1934" spans="1:38" ht="90" x14ac:dyDescent="0.3">
      <c r="A1934" s="230"/>
      <c r="B1934" s="212"/>
      <c r="C1934" s="408"/>
      <c r="D1934" s="213"/>
      <c r="E1934" s="28" t="s">
        <v>5505</v>
      </c>
      <c r="F1934" s="237"/>
      <c r="G1934" s="306"/>
      <c r="H1934" s="238"/>
      <c r="I1934" s="110" t="s">
        <v>1062</v>
      </c>
      <c r="J1934" s="111"/>
      <c r="K1934" s="146" t="s">
        <v>5173</v>
      </c>
      <c r="L1934" s="148"/>
      <c r="M1934" s="173" t="s">
        <v>5500</v>
      </c>
      <c r="N1934" s="276"/>
      <c r="O1934" s="174"/>
      <c r="P1934" s="173" t="s">
        <v>674</v>
      </c>
      <c r="Q1934" s="174"/>
      <c r="R1934" s="155">
        <v>9</v>
      </c>
      <c r="S1934" s="157"/>
      <c r="T1934" s="183">
        <v>6</v>
      </c>
      <c r="U1934" s="185"/>
      <c r="V1934" s="173" t="s">
        <v>1508</v>
      </c>
      <c r="W1934" s="174"/>
      <c r="X1934" s="255"/>
      <c r="Y1934" s="256"/>
      <c r="Z1934" s="257"/>
      <c r="AA1934" s="194"/>
      <c r="AB1934" s="195"/>
      <c r="AC1934" s="117"/>
      <c r="AD1934" s="118"/>
      <c r="AE1934" s="31"/>
      <c r="AF1934" s="214"/>
      <c r="AG1934" s="215"/>
      <c r="AH1934" s="216"/>
      <c r="AI1934" s="167"/>
      <c r="AJ1934" s="48"/>
      <c r="AK1934" s="15"/>
      <c r="AL1934" s="15"/>
    </row>
    <row r="1935" spans="1:38" ht="90" x14ac:dyDescent="0.25">
      <c r="A1935" s="178"/>
      <c r="B1935" s="303" t="s">
        <v>5506</v>
      </c>
      <c r="C1935" s="344"/>
      <c r="D1935" s="304"/>
      <c r="E1935" s="28" t="s">
        <v>5508</v>
      </c>
      <c r="F1935" s="233" t="s">
        <v>5509</v>
      </c>
      <c r="G1935" s="305"/>
      <c r="H1935" s="234"/>
      <c r="I1935" s="110" t="s">
        <v>1033</v>
      </c>
      <c r="J1935" s="111"/>
      <c r="K1935" s="143" t="s">
        <v>5510</v>
      </c>
      <c r="L1935" s="145"/>
      <c r="M1935" s="114" t="s">
        <v>5511</v>
      </c>
      <c r="N1935" s="115"/>
      <c r="O1935" s="116"/>
      <c r="P1935" s="183">
        <v>4</v>
      </c>
      <c r="Q1935" s="185"/>
      <c r="R1935" s="155">
        <v>9</v>
      </c>
      <c r="S1935" s="157"/>
      <c r="T1935" s="183">
        <v>6</v>
      </c>
      <c r="U1935" s="185"/>
      <c r="V1935" s="173" t="s">
        <v>3662</v>
      </c>
      <c r="W1935" s="174"/>
      <c r="X1935" s="252">
        <v>118</v>
      </c>
      <c r="Y1935" s="253"/>
      <c r="Z1935" s="254"/>
      <c r="AA1935" s="192" t="s">
        <v>674</v>
      </c>
      <c r="AB1935" s="193"/>
      <c r="AC1935" s="171" t="s">
        <v>3194</v>
      </c>
      <c r="AD1935" s="172"/>
      <c r="AE1935" s="24" t="s">
        <v>5514</v>
      </c>
      <c r="AF1935" s="164"/>
      <c r="AG1935" s="165"/>
      <c r="AH1935" s="166"/>
      <c r="AI1935" s="167"/>
      <c r="AJ1935" s="48"/>
      <c r="AK1935" s="15"/>
      <c r="AL1935" s="15"/>
    </row>
    <row r="1936" spans="1:38" ht="90" x14ac:dyDescent="0.25">
      <c r="A1936" s="179"/>
      <c r="B1936" s="292" t="s">
        <v>5507</v>
      </c>
      <c r="C1936" s="314"/>
      <c r="D1936" s="293"/>
      <c r="E1936" s="28" t="s">
        <v>5516</v>
      </c>
      <c r="F1936" s="235"/>
      <c r="G1936" s="270"/>
      <c r="H1936" s="236"/>
      <c r="I1936" s="110" t="s">
        <v>1033</v>
      </c>
      <c r="J1936" s="111"/>
      <c r="K1936" s="104" t="s">
        <v>5510</v>
      </c>
      <c r="L1936" s="105"/>
      <c r="M1936" s="114" t="s">
        <v>5511</v>
      </c>
      <c r="N1936" s="115"/>
      <c r="O1936" s="116"/>
      <c r="P1936" s="183">
        <v>4</v>
      </c>
      <c r="Q1936" s="185"/>
      <c r="R1936" s="155">
        <v>9</v>
      </c>
      <c r="S1936" s="157"/>
      <c r="T1936" s="183">
        <v>6</v>
      </c>
      <c r="U1936" s="185"/>
      <c r="V1936" s="173" t="s">
        <v>3662</v>
      </c>
      <c r="W1936" s="174"/>
      <c r="X1936" s="311"/>
      <c r="Y1936" s="312"/>
      <c r="Z1936" s="313"/>
      <c r="AA1936" s="272"/>
      <c r="AB1936" s="273"/>
      <c r="AC1936" s="162" t="s">
        <v>5512</v>
      </c>
      <c r="AD1936" s="163"/>
      <c r="AE1936" s="31" t="s">
        <v>1356</v>
      </c>
      <c r="AF1936" s="167"/>
      <c r="AG1936" s="168"/>
      <c r="AH1936" s="169"/>
      <c r="AI1936" s="167"/>
      <c r="AJ1936" s="48"/>
      <c r="AK1936" s="15"/>
      <c r="AL1936" s="15"/>
    </row>
    <row r="1937" spans="1:38" ht="90" x14ac:dyDescent="0.25">
      <c r="A1937" s="179"/>
      <c r="B1937" s="292"/>
      <c r="C1937" s="314"/>
      <c r="D1937" s="293"/>
      <c r="E1937" s="28" t="s">
        <v>5517</v>
      </c>
      <c r="F1937" s="235"/>
      <c r="G1937" s="270"/>
      <c r="H1937" s="236"/>
      <c r="I1937" s="110" t="s">
        <v>1033</v>
      </c>
      <c r="J1937" s="111"/>
      <c r="K1937" s="104" t="s">
        <v>5510</v>
      </c>
      <c r="L1937" s="105"/>
      <c r="M1937" s="114" t="s">
        <v>5511</v>
      </c>
      <c r="N1937" s="115"/>
      <c r="O1937" s="116"/>
      <c r="P1937" s="183">
        <v>4</v>
      </c>
      <c r="Q1937" s="185"/>
      <c r="R1937" s="155">
        <v>9</v>
      </c>
      <c r="S1937" s="157"/>
      <c r="T1937" s="183">
        <v>6</v>
      </c>
      <c r="U1937" s="185"/>
      <c r="V1937" s="173" t="s">
        <v>3662</v>
      </c>
      <c r="W1937" s="174"/>
      <c r="X1937" s="255"/>
      <c r="Y1937" s="256"/>
      <c r="Z1937" s="257"/>
      <c r="AA1937" s="194"/>
      <c r="AB1937" s="195"/>
      <c r="AC1937" s="162" t="s">
        <v>5513</v>
      </c>
      <c r="AD1937" s="163"/>
      <c r="AE1937" s="31" t="s">
        <v>5515</v>
      </c>
      <c r="AF1937" s="167"/>
      <c r="AG1937" s="168"/>
      <c r="AH1937" s="169"/>
      <c r="AI1937" s="167"/>
      <c r="AJ1937" s="48"/>
      <c r="AK1937" s="15"/>
      <c r="AL1937" s="15"/>
    </row>
    <row r="1938" spans="1:38" ht="90" x14ac:dyDescent="0.25">
      <c r="A1938" s="179"/>
      <c r="B1938" s="292"/>
      <c r="C1938" s="314"/>
      <c r="D1938" s="293"/>
      <c r="E1938" s="28" t="s">
        <v>5518</v>
      </c>
      <c r="F1938" s="235"/>
      <c r="G1938" s="270"/>
      <c r="H1938" s="236"/>
      <c r="I1938" s="110" t="s">
        <v>1033</v>
      </c>
      <c r="J1938" s="111"/>
      <c r="K1938" s="104" t="s">
        <v>5510</v>
      </c>
      <c r="L1938" s="105"/>
      <c r="M1938" s="183">
        <v>59</v>
      </c>
      <c r="N1938" s="184"/>
      <c r="O1938" s="185"/>
      <c r="P1938" s="183">
        <v>4</v>
      </c>
      <c r="Q1938" s="185"/>
      <c r="R1938" s="155">
        <v>9</v>
      </c>
      <c r="S1938" s="157"/>
      <c r="T1938" s="183">
        <v>6</v>
      </c>
      <c r="U1938" s="185"/>
      <c r="V1938" s="173" t="s">
        <v>5519</v>
      </c>
      <c r="W1938" s="174"/>
      <c r="X1938" s="462"/>
      <c r="Y1938" s="463"/>
      <c r="Z1938" s="464"/>
      <c r="AA1938" s="164"/>
      <c r="AB1938" s="166"/>
      <c r="AC1938" s="162"/>
      <c r="AD1938" s="163"/>
      <c r="AE1938" s="31"/>
      <c r="AF1938" s="167"/>
      <c r="AG1938" s="168"/>
      <c r="AH1938" s="169"/>
      <c r="AI1938" s="167"/>
      <c r="AJ1938" s="48"/>
      <c r="AK1938" s="15"/>
      <c r="AL1938" s="15"/>
    </row>
    <row r="1939" spans="1:38" ht="90" x14ac:dyDescent="0.25">
      <c r="A1939" s="179"/>
      <c r="B1939" s="292"/>
      <c r="C1939" s="314"/>
      <c r="D1939" s="293"/>
      <c r="E1939" s="28" t="s">
        <v>5520</v>
      </c>
      <c r="F1939" s="235"/>
      <c r="G1939" s="270"/>
      <c r="H1939" s="236"/>
      <c r="I1939" s="110" t="s">
        <v>1033</v>
      </c>
      <c r="J1939" s="111"/>
      <c r="K1939" s="104" t="s">
        <v>5510</v>
      </c>
      <c r="L1939" s="105"/>
      <c r="M1939" s="183">
        <v>59</v>
      </c>
      <c r="N1939" s="184"/>
      <c r="O1939" s="185"/>
      <c r="P1939" s="183">
        <v>4</v>
      </c>
      <c r="Q1939" s="185"/>
      <c r="R1939" s="155">
        <v>9</v>
      </c>
      <c r="S1939" s="157"/>
      <c r="T1939" s="183">
        <v>6</v>
      </c>
      <c r="U1939" s="185"/>
      <c r="V1939" s="173" t="s">
        <v>5519</v>
      </c>
      <c r="W1939" s="174"/>
      <c r="X1939" s="474"/>
      <c r="Y1939" s="475"/>
      <c r="Z1939" s="476"/>
      <c r="AA1939" s="167"/>
      <c r="AB1939" s="169"/>
      <c r="AC1939" s="162"/>
      <c r="AD1939" s="163"/>
      <c r="AE1939" s="31"/>
      <c r="AF1939" s="167"/>
      <c r="AG1939" s="168"/>
      <c r="AH1939" s="169"/>
      <c r="AI1939" s="167"/>
      <c r="AJ1939" s="48"/>
      <c r="AK1939" s="15"/>
      <c r="AL1939" s="15"/>
    </row>
    <row r="1940" spans="1:38" ht="90" x14ac:dyDescent="0.25">
      <c r="A1940" s="179"/>
      <c r="B1940" s="292"/>
      <c r="C1940" s="314"/>
      <c r="D1940" s="293"/>
      <c r="E1940" s="28" t="s">
        <v>5521</v>
      </c>
      <c r="F1940" s="235"/>
      <c r="G1940" s="270"/>
      <c r="H1940" s="236"/>
      <c r="I1940" s="110" t="s">
        <v>1033</v>
      </c>
      <c r="J1940" s="111"/>
      <c r="K1940" s="104" t="s">
        <v>5510</v>
      </c>
      <c r="L1940" s="105"/>
      <c r="M1940" s="183">
        <v>59</v>
      </c>
      <c r="N1940" s="184"/>
      <c r="O1940" s="185"/>
      <c r="P1940" s="183">
        <v>4</v>
      </c>
      <c r="Q1940" s="185"/>
      <c r="R1940" s="155">
        <v>9</v>
      </c>
      <c r="S1940" s="157"/>
      <c r="T1940" s="183">
        <v>6</v>
      </c>
      <c r="U1940" s="185"/>
      <c r="V1940" s="208" t="s">
        <v>5519</v>
      </c>
      <c r="W1940" s="209"/>
      <c r="X1940" s="474"/>
      <c r="Y1940" s="475"/>
      <c r="Z1940" s="476"/>
      <c r="AA1940" s="167"/>
      <c r="AB1940" s="169"/>
      <c r="AC1940" s="162"/>
      <c r="AD1940" s="163"/>
      <c r="AE1940" s="31"/>
      <c r="AF1940" s="167"/>
      <c r="AG1940" s="168"/>
      <c r="AH1940" s="169"/>
      <c r="AI1940" s="167"/>
      <c r="AJ1940" s="48"/>
      <c r="AK1940" s="15"/>
      <c r="AL1940" s="15"/>
    </row>
    <row r="1941" spans="1:38" ht="15.5" x14ac:dyDescent="0.35">
      <c r="A1941" s="39"/>
      <c r="B1941" s="122"/>
      <c r="C1941" s="122"/>
      <c r="D1941" s="122"/>
      <c r="E1941" s="39"/>
      <c r="F1941" s="122"/>
      <c r="G1941" s="122"/>
      <c r="H1941" s="122"/>
      <c r="I1941" s="108"/>
      <c r="J1941" s="108"/>
      <c r="K1941" s="122"/>
      <c r="L1941" s="122"/>
      <c r="M1941" s="108"/>
      <c r="N1941" s="108"/>
      <c r="O1941" s="108"/>
      <c r="P1941" s="108"/>
      <c r="Q1941" s="108"/>
      <c r="R1941" s="122"/>
      <c r="S1941" s="122"/>
      <c r="T1941" s="108"/>
      <c r="U1941" s="108"/>
      <c r="V1941" s="106"/>
      <c r="W1941" s="106"/>
      <c r="X1941" s="39"/>
      <c r="Y1941" s="473">
        <v>128</v>
      </c>
      <c r="Z1941" s="473"/>
      <c r="AA1941" s="122"/>
      <c r="AB1941" s="122"/>
      <c r="AC1941" s="122"/>
      <c r="AD1941" s="122"/>
      <c r="AE1941" s="39"/>
      <c r="AF1941" s="122"/>
      <c r="AG1941" s="122"/>
      <c r="AH1941" s="122"/>
      <c r="AI1941" s="39"/>
      <c r="AJ1941" s="48"/>
      <c r="AK1941" s="15"/>
      <c r="AL1941" s="15"/>
    </row>
    <row r="1942" spans="1:38" ht="90" x14ac:dyDescent="0.3">
      <c r="A1942" s="128"/>
      <c r="B1942" s="135"/>
      <c r="C1942" s="136"/>
      <c r="D1942" s="137"/>
      <c r="E1942" s="28" t="s">
        <v>5522</v>
      </c>
      <c r="F1942" s="135"/>
      <c r="G1942" s="136"/>
      <c r="H1942" s="137"/>
      <c r="I1942" s="110" t="s">
        <v>1033</v>
      </c>
      <c r="J1942" s="111"/>
      <c r="K1942" s="104" t="s">
        <v>5510</v>
      </c>
      <c r="L1942" s="105"/>
      <c r="M1942" s="183">
        <v>59</v>
      </c>
      <c r="N1942" s="184"/>
      <c r="O1942" s="185"/>
      <c r="P1942" s="183">
        <v>4</v>
      </c>
      <c r="Q1942" s="185"/>
      <c r="R1942" s="155">
        <v>9</v>
      </c>
      <c r="S1942" s="157"/>
      <c r="T1942" s="183">
        <v>6</v>
      </c>
      <c r="U1942" s="185"/>
      <c r="V1942" s="173" t="s">
        <v>5519</v>
      </c>
      <c r="W1942" s="174"/>
      <c r="X1942" s="247">
        <v>128</v>
      </c>
      <c r="Y1942" s="248"/>
      <c r="Z1942" s="249"/>
      <c r="AA1942" s="135"/>
      <c r="AB1942" s="137"/>
      <c r="AC1942" s="126" t="s">
        <v>5523</v>
      </c>
      <c r="AD1942" s="127"/>
      <c r="AE1942" s="471" t="s">
        <v>5524</v>
      </c>
      <c r="AF1942" s="135"/>
      <c r="AG1942" s="136"/>
      <c r="AH1942" s="137"/>
      <c r="AI1942" s="167"/>
      <c r="AJ1942" s="48"/>
      <c r="AK1942" s="15"/>
      <c r="AL1942" s="15"/>
    </row>
    <row r="1943" spans="1:38" ht="90" x14ac:dyDescent="0.3">
      <c r="A1943" s="128"/>
      <c r="B1943" s="135"/>
      <c r="C1943" s="136"/>
      <c r="D1943" s="137"/>
      <c r="E1943" s="28" t="s">
        <v>5525</v>
      </c>
      <c r="F1943" s="135"/>
      <c r="G1943" s="136"/>
      <c r="H1943" s="137"/>
      <c r="I1943" s="110" t="s">
        <v>1033</v>
      </c>
      <c r="J1943" s="111"/>
      <c r="K1943" s="104" t="s">
        <v>5510</v>
      </c>
      <c r="L1943" s="105"/>
      <c r="M1943" s="183">
        <v>59</v>
      </c>
      <c r="N1943" s="184"/>
      <c r="O1943" s="185"/>
      <c r="P1943" s="183">
        <v>4</v>
      </c>
      <c r="Q1943" s="185"/>
      <c r="R1943" s="155">
        <v>9</v>
      </c>
      <c r="S1943" s="157"/>
      <c r="T1943" s="183">
        <v>6</v>
      </c>
      <c r="U1943" s="185"/>
      <c r="V1943" s="173" t="s">
        <v>5519</v>
      </c>
      <c r="W1943" s="174"/>
      <c r="X1943" s="247"/>
      <c r="Y1943" s="248"/>
      <c r="Z1943" s="249"/>
      <c r="AA1943" s="135"/>
      <c r="AB1943" s="137"/>
      <c r="AC1943" s="126"/>
      <c r="AD1943" s="127"/>
      <c r="AE1943" s="471"/>
      <c r="AF1943" s="135"/>
      <c r="AG1943" s="136"/>
      <c r="AH1943" s="137"/>
      <c r="AI1943" s="167"/>
      <c r="AJ1943" s="48"/>
      <c r="AK1943" s="15"/>
      <c r="AL1943" s="15"/>
    </row>
    <row r="1944" spans="1:38" ht="90" x14ac:dyDescent="0.3">
      <c r="A1944" s="449"/>
      <c r="B1944" s="151"/>
      <c r="C1944" s="159"/>
      <c r="D1944" s="152"/>
      <c r="E1944" s="28" t="s">
        <v>5526</v>
      </c>
      <c r="F1944" s="151"/>
      <c r="G1944" s="159"/>
      <c r="H1944" s="152"/>
      <c r="I1944" s="110" t="s">
        <v>1033</v>
      </c>
      <c r="J1944" s="111"/>
      <c r="K1944" s="146" t="s">
        <v>5510</v>
      </c>
      <c r="L1944" s="148"/>
      <c r="M1944" s="183">
        <v>59</v>
      </c>
      <c r="N1944" s="184"/>
      <c r="O1944" s="185"/>
      <c r="P1944" s="183">
        <v>4</v>
      </c>
      <c r="Q1944" s="185"/>
      <c r="R1944" s="160">
        <v>9</v>
      </c>
      <c r="S1944" s="161"/>
      <c r="T1944" s="183">
        <v>6</v>
      </c>
      <c r="U1944" s="185"/>
      <c r="V1944" s="173" t="s">
        <v>5519</v>
      </c>
      <c r="W1944" s="174"/>
      <c r="X1944" s="244"/>
      <c r="Y1944" s="245"/>
      <c r="Z1944" s="246"/>
      <c r="AA1944" s="151"/>
      <c r="AB1944" s="152"/>
      <c r="AC1944" s="117"/>
      <c r="AD1944" s="118"/>
      <c r="AE1944" s="472"/>
      <c r="AF1944" s="151"/>
      <c r="AG1944" s="159"/>
      <c r="AH1944" s="152"/>
      <c r="AI1944" s="167"/>
      <c r="AJ1944" s="48"/>
      <c r="AK1944" s="15"/>
      <c r="AL1944" s="15"/>
    </row>
    <row r="1945" spans="1:38" ht="75" x14ac:dyDescent="0.25">
      <c r="A1945" s="178"/>
      <c r="B1945" s="303" t="s">
        <v>5527</v>
      </c>
      <c r="C1945" s="344"/>
      <c r="D1945" s="304"/>
      <c r="E1945" s="28" t="s">
        <v>5528</v>
      </c>
      <c r="F1945" s="233" t="s">
        <v>5529</v>
      </c>
      <c r="G1945" s="305"/>
      <c r="H1945" s="234"/>
      <c r="I1945" s="110" t="s">
        <v>1062</v>
      </c>
      <c r="J1945" s="111"/>
      <c r="K1945" s="143" t="s">
        <v>5530</v>
      </c>
      <c r="L1945" s="145"/>
      <c r="M1945" s="183">
        <v>55</v>
      </c>
      <c r="N1945" s="184"/>
      <c r="O1945" s="185"/>
      <c r="P1945" s="285">
        <v>4</v>
      </c>
      <c r="Q1945" s="286"/>
      <c r="R1945" s="88" t="s">
        <v>2422</v>
      </c>
      <c r="S1945" s="89"/>
      <c r="T1945" s="183">
        <v>6</v>
      </c>
      <c r="U1945" s="185"/>
      <c r="V1945" s="173" t="s">
        <v>5519</v>
      </c>
      <c r="W1945" s="174"/>
      <c r="X1945" s="252">
        <v>79</v>
      </c>
      <c r="Y1945" s="253"/>
      <c r="Z1945" s="254"/>
      <c r="AA1945" s="192" t="s">
        <v>5531</v>
      </c>
      <c r="AB1945" s="193"/>
      <c r="AC1945" s="223" t="s">
        <v>3194</v>
      </c>
      <c r="AD1945" s="224"/>
      <c r="AE1945" s="24" t="s">
        <v>5534</v>
      </c>
      <c r="AF1945" s="164"/>
      <c r="AG1945" s="165"/>
      <c r="AH1945" s="166"/>
      <c r="AI1945" s="167"/>
      <c r="AJ1945" s="48"/>
      <c r="AK1945" s="15"/>
      <c r="AL1945" s="15"/>
    </row>
    <row r="1946" spans="1:38" ht="75" x14ac:dyDescent="0.25">
      <c r="A1946" s="179"/>
      <c r="B1946" s="292" t="s">
        <v>5507</v>
      </c>
      <c r="C1946" s="314"/>
      <c r="D1946" s="293"/>
      <c r="E1946" s="28" t="s">
        <v>5536</v>
      </c>
      <c r="F1946" s="235"/>
      <c r="G1946" s="270"/>
      <c r="H1946" s="236"/>
      <c r="I1946" s="110" t="s">
        <v>1062</v>
      </c>
      <c r="J1946" s="111"/>
      <c r="K1946" s="104" t="s">
        <v>5530</v>
      </c>
      <c r="L1946" s="105"/>
      <c r="M1946" s="183">
        <v>55</v>
      </c>
      <c r="N1946" s="184"/>
      <c r="O1946" s="185"/>
      <c r="P1946" s="285">
        <v>4</v>
      </c>
      <c r="Q1946" s="286"/>
      <c r="R1946" s="126" t="s">
        <v>2422</v>
      </c>
      <c r="S1946" s="127"/>
      <c r="T1946" s="183">
        <v>6</v>
      </c>
      <c r="U1946" s="185"/>
      <c r="V1946" s="173" t="s">
        <v>5519</v>
      </c>
      <c r="W1946" s="174"/>
      <c r="X1946" s="255"/>
      <c r="Y1946" s="256"/>
      <c r="Z1946" s="257"/>
      <c r="AA1946" s="194"/>
      <c r="AB1946" s="195"/>
      <c r="AC1946" s="239" t="s">
        <v>5532</v>
      </c>
      <c r="AD1946" s="240"/>
      <c r="AE1946" s="31" t="s">
        <v>848</v>
      </c>
      <c r="AF1946" s="167"/>
      <c r="AG1946" s="168"/>
      <c r="AH1946" s="169"/>
      <c r="AI1946" s="167"/>
      <c r="AJ1946" s="48"/>
      <c r="AK1946" s="15"/>
      <c r="AL1946" s="15"/>
    </row>
    <row r="1947" spans="1:38" ht="75" x14ac:dyDescent="0.25">
      <c r="A1947" s="179"/>
      <c r="B1947" s="292"/>
      <c r="C1947" s="314"/>
      <c r="D1947" s="293"/>
      <c r="E1947" s="28" t="s">
        <v>5537</v>
      </c>
      <c r="F1947" s="235"/>
      <c r="G1947" s="270"/>
      <c r="H1947" s="236"/>
      <c r="I1947" s="183">
        <v>6</v>
      </c>
      <c r="J1947" s="185"/>
      <c r="K1947" s="104" t="s">
        <v>5530</v>
      </c>
      <c r="L1947" s="105"/>
      <c r="M1947" s="183">
        <v>63</v>
      </c>
      <c r="N1947" s="184"/>
      <c r="O1947" s="185"/>
      <c r="P1947" s="285">
        <v>4</v>
      </c>
      <c r="Q1947" s="286"/>
      <c r="R1947" s="126" t="s">
        <v>2422</v>
      </c>
      <c r="S1947" s="127"/>
      <c r="T1947" s="183">
        <v>6</v>
      </c>
      <c r="U1947" s="185"/>
      <c r="V1947" s="173" t="s">
        <v>5538</v>
      </c>
      <c r="W1947" s="174"/>
      <c r="X1947" s="252">
        <v>85</v>
      </c>
      <c r="Y1947" s="253"/>
      <c r="Z1947" s="254"/>
      <c r="AA1947" s="223" t="s">
        <v>5539</v>
      </c>
      <c r="AB1947" s="224"/>
      <c r="AC1947" s="239" t="s">
        <v>2211</v>
      </c>
      <c r="AD1947" s="240"/>
      <c r="AE1947" s="31" t="s">
        <v>1356</v>
      </c>
      <c r="AF1947" s="167"/>
      <c r="AG1947" s="168"/>
      <c r="AH1947" s="169"/>
      <c r="AI1947" s="167"/>
      <c r="AJ1947" s="48"/>
      <c r="AK1947" s="15"/>
      <c r="AL1947" s="15"/>
    </row>
    <row r="1948" spans="1:38" ht="75" x14ac:dyDescent="0.25">
      <c r="A1948" s="179"/>
      <c r="B1948" s="292"/>
      <c r="C1948" s="314"/>
      <c r="D1948" s="293"/>
      <c r="E1948" s="28" t="s">
        <v>5540</v>
      </c>
      <c r="F1948" s="235"/>
      <c r="G1948" s="270"/>
      <c r="H1948" s="236"/>
      <c r="I1948" s="183">
        <v>6</v>
      </c>
      <c r="J1948" s="185"/>
      <c r="K1948" s="104" t="s">
        <v>5530</v>
      </c>
      <c r="L1948" s="105"/>
      <c r="M1948" s="183">
        <v>63</v>
      </c>
      <c r="N1948" s="184"/>
      <c r="O1948" s="185"/>
      <c r="P1948" s="285">
        <v>4</v>
      </c>
      <c r="Q1948" s="286"/>
      <c r="R1948" s="126" t="s">
        <v>2422</v>
      </c>
      <c r="S1948" s="127"/>
      <c r="T1948" s="183">
        <v>6</v>
      </c>
      <c r="U1948" s="185"/>
      <c r="V1948" s="173" t="s">
        <v>5538</v>
      </c>
      <c r="W1948" s="174"/>
      <c r="X1948" s="255"/>
      <c r="Y1948" s="256"/>
      <c r="Z1948" s="257"/>
      <c r="AA1948" s="225"/>
      <c r="AB1948" s="226"/>
      <c r="AC1948" s="239" t="s">
        <v>5533</v>
      </c>
      <c r="AD1948" s="240"/>
      <c r="AE1948" s="31" t="s">
        <v>5535</v>
      </c>
      <c r="AF1948" s="167"/>
      <c r="AG1948" s="168"/>
      <c r="AH1948" s="169"/>
      <c r="AI1948" s="167"/>
      <c r="AJ1948" s="48"/>
      <c r="AK1948" s="15"/>
      <c r="AL1948" s="15"/>
    </row>
    <row r="1949" spans="1:38" ht="75" x14ac:dyDescent="0.25">
      <c r="A1949" s="179"/>
      <c r="B1949" s="292"/>
      <c r="C1949" s="314"/>
      <c r="D1949" s="293"/>
      <c r="E1949" s="28" t="s">
        <v>5541</v>
      </c>
      <c r="F1949" s="235"/>
      <c r="G1949" s="270"/>
      <c r="H1949" s="236"/>
      <c r="I1949" s="110" t="s">
        <v>1062</v>
      </c>
      <c r="J1949" s="111"/>
      <c r="K1949" s="104" t="s">
        <v>5530</v>
      </c>
      <c r="L1949" s="105"/>
      <c r="M1949" s="183">
        <v>64</v>
      </c>
      <c r="N1949" s="184"/>
      <c r="O1949" s="185"/>
      <c r="P1949" s="285">
        <v>4</v>
      </c>
      <c r="Q1949" s="286"/>
      <c r="R1949" s="126" t="s">
        <v>2422</v>
      </c>
      <c r="S1949" s="127"/>
      <c r="T1949" s="183">
        <v>6</v>
      </c>
      <c r="U1949" s="185"/>
      <c r="V1949" s="173" t="s">
        <v>5542</v>
      </c>
      <c r="W1949" s="174"/>
      <c r="X1949" s="227">
        <v>89</v>
      </c>
      <c r="Y1949" s="228"/>
      <c r="Z1949" s="229"/>
      <c r="AA1949" s="110" t="s">
        <v>1192</v>
      </c>
      <c r="AB1949" s="111"/>
      <c r="AC1949" s="239"/>
      <c r="AD1949" s="240"/>
      <c r="AE1949" s="31"/>
      <c r="AF1949" s="167"/>
      <c r="AG1949" s="168"/>
      <c r="AH1949" s="169"/>
      <c r="AI1949" s="167"/>
      <c r="AJ1949" s="48"/>
      <c r="AK1949" s="15"/>
      <c r="AL1949" s="15"/>
    </row>
    <row r="1950" spans="1:38" ht="75" x14ac:dyDescent="0.25">
      <c r="A1950" s="230"/>
      <c r="B1950" s="290"/>
      <c r="C1950" s="345"/>
      <c r="D1950" s="291"/>
      <c r="E1950" s="28" t="s">
        <v>5543</v>
      </c>
      <c r="F1950" s="237"/>
      <c r="G1950" s="306"/>
      <c r="H1950" s="238"/>
      <c r="I1950" s="183">
        <v>6</v>
      </c>
      <c r="J1950" s="185"/>
      <c r="K1950" s="146" t="s">
        <v>5530</v>
      </c>
      <c r="L1950" s="148"/>
      <c r="M1950" s="183">
        <v>73</v>
      </c>
      <c r="N1950" s="184"/>
      <c r="O1950" s="185"/>
      <c r="P1950" s="285">
        <v>4</v>
      </c>
      <c r="Q1950" s="286"/>
      <c r="R1950" s="117" t="s">
        <v>2422</v>
      </c>
      <c r="S1950" s="118"/>
      <c r="T1950" s="183">
        <v>6</v>
      </c>
      <c r="U1950" s="185"/>
      <c r="V1950" s="173" t="s">
        <v>3068</v>
      </c>
      <c r="W1950" s="174"/>
      <c r="X1950" s="227">
        <v>95</v>
      </c>
      <c r="Y1950" s="228"/>
      <c r="Z1950" s="229"/>
      <c r="AA1950" s="124" t="s">
        <v>5544</v>
      </c>
      <c r="AB1950" s="125"/>
      <c r="AC1950" s="225"/>
      <c r="AD1950" s="226"/>
      <c r="AE1950" s="31"/>
      <c r="AF1950" s="214"/>
      <c r="AG1950" s="215"/>
      <c r="AH1950" s="216"/>
      <c r="AI1950" s="167"/>
      <c r="AJ1950" s="48"/>
      <c r="AK1950" s="15"/>
      <c r="AL1950" s="15"/>
    </row>
    <row r="1951" spans="1:38" ht="105" x14ac:dyDescent="0.3">
      <c r="A1951" s="178"/>
      <c r="B1951" s="303" t="s">
        <v>5545</v>
      </c>
      <c r="C1951" s="344"/>
      <c r="D1951" s="304"/>
      <c r="E1951" s="28" t="s">
        <v>5546</v>
      </c>
      <c r="F1951" s="233" t="s">
        <v>5547</v>
      </c>
      <c r="G1951" s="305"/>
      <c r="H1951" s="234"/>
      <c r="I1951" s="110" t="s">
        <v>2192</v>
      </c>
      <c r="J1951" s="111"/>
      <c r="K1951" s="143" t="s">
        <v>5548</v>
      </c>
      <c r="L1951" s="145"/>
      <c r="M1951" s="173" t="s">
        <v>5549</v>
      </c>
      <c r="N1951" s="276"/>
      <c r="O1951" s="174"/>
      <c r="P1951" s="173" t="s">
        <v>3617</v>
      </c>
      <c r="Q1951" s="174"/>
      <c r="R1951" s="88" t="s">
        <v>3532</v>
      </c>
      <c r="S1951" s="89"/>
      <c r="T1951" s="183">
        <v>6</v>
      </c>
      <c r="U1951" s="185"/>
      <c r="V1951" s="173" t="s">
        <v>3191</v>
      </c>
      <c r="W1951" s="174"/>
      <c r="X1951" s="252">
        <v>89</v>
      </c>
      <c r="Y1951" s="253"/>
      <c r="Z1951" s="254"/>
      <c r="AA1951" s="192" t="s">
        <v>842</v>
      </c>
      <c r="AB1951" s="193"/>
      <c r="AC1951" s="223" t="s">
        <v>3194</v>
      </c>
      <c r="AD1951" s="224"/>
      <c r="AE1951" s="24" t="s">
        <v>5552</v>
      </c>
      <c r="AF1951" s="164"/>
      <c r="AG1951" s="165"/>
      <c r="AH1951" s="166"/>
      <c r="AI1951" s="167"/>
      <c r="AJ1951" s="48"/>
      <c r="AK1951" s="15"/>
      <c r="AL1951" s="15"/>
    </row>
    <row r="1952" spans="1:38" ht="105" x14ac:dyDescent="0.3">
      <c r="A1952" s="179"/>
      <c r="B1952" s="292"/>
      <c r="C1952" s="314"/>
      <c r="D1952" s="293"/>
      <c r="E1952" s="28" t="s">
        <v>5554</v>
      </c>
      <c r="F1952" s="235"/>
      <c r="G1952" s="270"/>
      <c r="H1952" s="236"/>
      <c r="I1952" s="110" t="s">
        <v>2192</v>
      </c>
      <c r="J1952" s="111"/>
      <c r="K1952" s="104" t="s">
        <v>5548</v>
      </c>
      <c r="L1952" s="105"/>
      <c r="M1952" s="173" t="s">
        <v>5549</v>
      </c>
      <c r="N1952" s="276"/>
      <c r="O1952" s="174"/>
      <c r="P1952" s="173" t="s">
        <v>3617</v>
      </c>
      <c r="Q1952" s="174"/>
      <c r="R1952" s="126" t="s">
        <v>3532</v>
      </c>
      <c r="S1952" s="127"/>
      <c r="T1952" s="183">
        <v>6</v>
      </c>
      <c r="U1952" s="185"/>
      <c r="V1952" s="173" t="s">
        <v>3191</v>
      </c>
      <c r="W1952" s="174"/>
      <c r="X1952" s="311"/>
      <c r="Y1952" s="312"/>
      <c r="Z1952" s="313"/>
      <c r="AA1952" s="272"/>
      <c r="AB1952" s="273"/>
      <c r="AC1952" s="239" t="s">
        <v>5550</v>
      </c>
      <c r="AD1952" s="240"/>
      <c r="AE1952" s="31" t="s">
        <v>1356</v>
      </c>
      <c r="AF1952" s="167"/>
      <c r="AG1952" s="168"/>
      <c r="AH1952" s="169"/>
      <c r="AI1952" s="167"/>
      <c r="AJ1952" s="48"/>
      <c r="AK1952" s="15"/>
      <c r="AL1952" s="15"/>
    </row>
    <row r="1953" spans="1:38" ht="105" x14ac:dyDescent="0.3">
      <c r="A1953" s="179"/>
      <c r="B1953" s="292"/>
      <c r="C1953" s="314"/>
      <c r="D1953" s="293"/>
      <c r="E1953" s="28" t="s">
        <v>5555</v>
      </c>
      <c r="F1953" s="235"/>
      <c r="G1953" s="270"/>
      <c r="H1953" s="236"/>
      <c r="I1953" s="110" t="s">
        <v>2192</v>
      </c>
      <c r="J1953" s="111"/>
      <c r="K1953" s="104" t="s">
        <v>5548</v>
      </c>
      <c r="L1953" s="105"/>
      <c r="M1953" s="173" t="s">
        <v>5549</v>
      </c>
      <c r="N1953" s="276"/>
      <c r="O1953" s="174"/>
      <c r="P1953" s="173" t="s">
        <v>3617</v>
      </c>
      <c r="Q1953" s="174"/>
      <c r="R1953" s="126" t="s">
        <v>3532</v>
      </c>
      <c r="S1953" s="127"/>
      <c r="T1953" s="183">
        <v>6</v>
      </c>
      <c r="U1953" s="185"/>
      <c r="V1953" s="173" t="s">
        <v>3191</v>
      </c>
      <c r="W1953" s="174"/>
      <c r="X1953" s="255"/>
      <c r="Y1953" s="256"/>
      <c r="Z1953" s="257"/>
      <c r="AA1953" s="194"/>
      <c r="AB1953" s="195"/>
      <c r="AC1953" s="239" t="s">
        <v>2211</v>
      </c>
      <c r="AD1953" s="240"/>
      <c r="AE1953" s="31" t="s">
        <v>5553</v>
      </c>
      <c r="AF1953" s="167"/>
      <c r="AG1953" s="168"/>
      <c r="AH1953" s="169"/>
      <c r="AI1953" s="167"/>
      <c r="AJ1953" s="48"/>
      <c r="AK1953" s="15"/>
      <c r="AL1953" s="15"/>
    </row>
    <row r="1954" spans="1:38" ht="105" x14ac:dyDescent="0.3">
      <c r="A1954" s="179"/>
      <c r="B1954" s="292"/>
      <c r="C1954" s="314"/>
      <c r="D1954" s="293"/>
      <c r="E1954" s="28" t="s">
        <v>5556</v>
      </c>
      <c r="F1954" s="235"/>
      <c r="G1954" s="270"/>
      <c r="H1954" s="236"/>
      <c r="I1954" s="110" t="s">
        <v>2192</v>
      </c>
      <c r="J1954" s="111"/>
      <c r="K1954" s="104" t="s">
        <v>5548</v>
      </c>
      <c r="L1954" s="105"/>
      <c r="M1954" s="173" t="s">
        <v>5557</v>
      </c>
      <c r="N1954" s="276"/>
      <c r="O1954" s="174"/>
      <c r="P1954" s="173" t="s">
        <v>3617</v>
      </c>
      <c r="Q1954" s="174"/>
      <c r="R1954" s="126" t="s">
        <v>3532</v>
      </c>
      <c r="S1954" s="127"/>
      <c r="T1954" s="183">
        <v>6</v>
      </c>
      <c r="U1954" s="185"/>
      <c r="V1954" s="173" t="s">
        <v>1500</v>
      </c>
      <c r="W1954" s="174"/>
      <c r="X1954" s="252">
        <v>99</v>
      </c>
      <c r="Y1954" s="253"/>
      <c r="Z1954" s="254"/>
      <c r="AA1954" s="233" t="s">
        <v>879</v>
      </c>
      <c r="AB1954" s="234"/>
      <c r="AC1954" s="239" t="s">
        <v>5551</v>
      </c>
      <c r="AD1954" s="240"/>
      <c r="AE1954" s="31"/>
      <c r="AF1954" s="167"/>
      <c r="AG1954" s="168"/>
      <c r="AH1954" s="169"/>
      <c r="AI1954" s="167"/>
      <c r="AJ1954" s="48"/>
      <c r="AK1954" s="15"/>
      <c r="AL1954" s="15"/>
    </row>
    <row r="1955" spans="1:38" ht="105" x14ac:dyDescent="0.3">
      <c r="A1955" s="179"/>
      <c r="B1955" s="292"/>
      <c r="C1955" s="314"/>
      <c r="D1955" s="293"/>
      <c r="E1955" s="28" t="s">
        <v>5558</v>
      </c>
      <c r="F1955" s="235"/>
      <c r="G1955" s="270"/>
      <c r="H1955" s="236"/>
      <c r="I1955" s="110" t="s">
        <v>2192</v>
      </c>
      <c r="J1955" s="111"/>
      <c r="K1955" s="104" t="s">
        <v>5548</v>
      </c>
      <c r="L1955" s="105"/>
      <c r="M1955" s="173" t="s">
        <v>5557</v>
      </c>
      <c r="N1955" s="276"/>
      <c r="O1955" s="174"/>
      <c r="P1955" s="173" t="s">
        <v>3617</v>
      </c>
      <c r="Q1955" s="174"/>
      <c r="R1955" s="126" t="s">
        <v>3532</v>
      </c>
      <c r="S1955" s="127"/>
      <c r="T1955" s="183">
        <v>6</v>
      </c>
      <c r="U1955" s="185"/>
      <c r="V1955" s="173" t="s">
        <v>1500</v>
      </c>
      <c r="W1955" s="174"/>
      <c r="X1955" s="311"/>
      <c r="Y1955" s="312"/>
      <c r="Z1955" s="313"/>
      <c r="AA1955" s="235"/>
      <c r="AB1955" s="236"/>
      <c r="AC1955" s="239"/>
      <c r="AD1955" s="240"/>
      <c r="AE1955" s="31"/>
      <c r="AF1955" s="167"/>
      <c r="AG1955" s="168"/>
      <c r="AH1955" s="169"/>
      <c r="AI1955" s="167"/>
      <c r="AJ1955" s="48"/>
      <c r="AK1955" s="15"/>
      <c r="AL1955" s="15"/>
    </row>
    <row r="1956" spans="1:38" ht="105" x14ac:dyDescent="0.3">
      <c r="A1956" s="230"/>
      <c r="B1956" s="290"/>
      <c r="C1956" s="345"/>
      <c r="D1956" s="291"/>
      <c r="E1956" s="28" t="s">
        <v>5559</v>
      </c>
      <c r="F1956" s="237"/>
      <c r="G1956" s="306"/>
      <c r="H1956" s="238"/>
      <c r="I1956" s="110" t="s">
        <v>2192</v>
      </c>
      <c r="J1956" s="111"/>
      <c r="K1956" s="146" t="s">
        <v>5548</v>
      </c>
      <c r="L1956" s="148"/>
      <c r="M1956" s="173" t="s">
        <v>5557</v>
      </c>
      <c r="N1956" s="276"/>
      <c r="O1956" s="174"/>
      <c r="P1956" s="173" t="s">
        <v>3617</v>
      </c>
      <c r="Q1956" s="174"/>
      <c r="R1956" s="117" t="s">
        <v>3532</v>
      </c>
      <c r="S1956" s="118"/>
      <c r="T1956" s="183">
        <v>6</v>
      </c>
      <c r="U1956" s="185"/>
      <c r="V1956" s="173" t="s">
        <v>1500</v>
      </c>
      <c r="W1956" s="174"/>
      <c r="X1956" s="255"/>
      <c r="Y1956" s="256"/>
      <c r="Z1956" s="257"/>
      <c r="AA1956" s="237"/>
      <c r="AB1956" s="238"/>
      <c r="AC1956" s="225"/>
      <c r="AD1956" s="226"/>
      <c r="AE1956" s="31"/>
      <c r="AF1956" s="214"/>
      <c r="AG1956" s="215"/>
      <c r="AH1956" s="216"/>
      <c r="AI1956" s="167"/>
      <c r="AJ1956" s="48"/>
      <c r="AK1956" s="15"/>
      <c r="AL1956" s="15"/>
    </row>
    <row r="1957" spans="1:38" ht="90" x14ac:dyDescent="0.25">
      <c r="A1957" s="178"/>
      <c r="B1957" s="303" t="s">
        <v>5560</v>
      </c>
      <c r="C1957" s="344"/>
      <c r="D1957" s="304"/>
      <c r="E1957" s="28" t="s">
        <v>5561</v>
      </c>
      <c r="F1957" s="303" t="s">
        <v>5562</v>
      </c>
      <c r="G1957" s="344"/>
      <c r="H1957" s="304"/>
      <c r="I1957" s="110" t="s">
        <v>901</v>
      </c>
      <c r="J1957" s="111"/>
      <c r="K1957" s="143" t="s">
        <v>911</v>
      </c>
      <c r="L1957" s="145"/>
      <c r="M1957" s="173" t="s">
        <v>5563</v>
      </c>
      <c r="N1957" s="276"/>
      <c r="O1957" s="174"/>
      <c r="P1957" s="180" t="s">
        <v>5564</v>
      </c>
      <c r="Q1957" s="181"/>
      <c r="R1957" s="112">
        <v>8</v>
      </c>
      <c r="S1957" s="113"/>
      <c r="T1957" s="183">
        <v>4</v>
      </c>
      <c r="U1957" s="185"/>
      <c r="V1957" s="173" t="s">
        <v>2693</v>
      </c>
      <c r="W1957" s="174"/>
      <c r="X1957" s="252">
        <v>49</v>
      </c>
      <c r="Y1957" s="253"/>
      <c r="Z1957" s="254"/>
      <c r="AA1957" s="233" t="s">
        <v>3150</v>
      </c>
      <c r="AB1957" s="234"/>
      <c r="AC1957" s="171" t="s">
        <v>3194</v>
      </c>
      <c r="AD1957" s="172"/>
      <c r="AE1957" s="24" t="s">
        <v>5567</v>
      </c>
      <c r="AF1957" s="164"/>
      <c r="AG1957" s="165"/>
      <c r="AH1957" s="166"/>
      <c r="AI1957" s="167"/>
      <c r="AJ1957" s="48"/>
      <c r="AK1957" s="15"/>
      <c r="AL1957" s="15"/>
    </row>
    <row r="1958" spans="1:38" ht="90" x14ac:dyDescent="0.25">
      <c r="A1958" s="179"/>
      <c r="B1958" s="292" t="s">
        <v>5507</v>
      </c>
      <c r="C1958" s="314"/>
      <c r="D1958" s="293"/>
      <c r="E1958" s="28" t="s">
        <v>5569</v>
      </c>
      <c r="F1958" s="292"/>
      <c r="G1958" s="314"/>
      <c r="H1958" s="293"/>
      <c r="I1958" s="110" t="s">
        <v>901</v>
      </c>
      <c r="J1958" s="111"/>
      <c r="K1958" s="104" t="s">
        <v>911</v>
      </c>
      <c r="L1958" s="105"/>
      <c r="M1958" s="173" t="s">
        <v>5563</v>
      </c>
      <c r="N1958" s="276"/>
      <c r="O1958" s="174"/>
      <c r="P1958" s="180" t="s">
        <v>5564</v>
      </c>
      <c r="Q1958" s="181"/>
      <c r="R1958" s="155">
        <v>8</v>
      </c>
      <c r="S1958" s="157"/>
      <c r="T1958" s="183">
        <v>4</v>
      </c>
      <c r="U1958" s="185"/>
      <c r="V1958" s="173" t="s">
        <v>2693</v>
      </c>
      <c r="W1958" s="174"/>
      <c r="X1958" s="311"/>
      <c r="Y1958" s="312"/>
      <c r="Z1958" s="313"/>
      <c r="AA1958" s="235"/>
      <c r="AB1958" s="236"/>
      <c r="AC1958" s="162" t="s">
        <v>5565</v>
      </c>
      <c r="AD1958" s="163"/>
      <c r="AE1958" s="31" t="s">
        <v>1356</v>
      </c>
      <c r="AF1958" s="167"/>
      <c r="AG1958" s="168"/>
      <c r="AH1958" s="169"/>
      <c r="AI1958" s="167"/>
      <c r="AJ1958" s="48"/>
      <c r="AK1958" s="15"/>
      <c r="AL1958" s="15"/>
    </row>
    <row r="1959" spans="1:38" ht="90" x14ac:dyDescent="0.25">
      <c r="A1959" s="179"/>
      <c r="B1959" s="292"/>
      <c r="C1959" s="314"/>
      <c r="D1959" s="293"/>
      <c r="E1959" s="28" t="s">
        <v>5570</v>
      </c>
      <c r="F1959" s="292"/>
      <c r="G1959" s="314"/>
      <c r="H1959" s="293"/>
      <c r="I1959" s="110" t="s">
        <v>901</v>
      </c>
      <c r="J1959" s="111"/>
      <c r="K1959" s="104" t="s">
        <v>911</v>
      </c>
      <c r="L1959" s="105"/>
      <c r="M1959" s="173" t="s">
        <v>5563</v>
      </c>
      <c r="N1959" s="276"/>
      <c r="O1959" s="174"/>
      <c r="P1959" s="180" t="s">
        <v>5564</v>
      </c>
      <c r="Q1959" s="181"/>
      <c r="R1959" s="155">
        <v>8</v>
      </c>
      <c r="S1959" s="157"/>
      <c r="T1959" s="183">
        <v>4</v>
      </c>
      <c r="U1959" s="185"/>
      <c r="V1959" s="173" t="s">
        <v>2693</v>
      </c>
      <c r="W1959" s="174"/>
      <c r="X1959" s="255"/>
      <c r="Y1959" s="256"/>
      <c r="Z1959" s="257"/>
      <c r="AA1959" s="237"/>
      <c r="AB1959" s="238"/>
      <c r="AC1959" s="162" t="s">
        <v>2211</v>
      </c>
      <c r="AD1959" s="163"/>
      <c r="AE1959" s="31" t="s">
        <v>5568</v>
      </c>
      <c r="AF1959" s="167"/>
      <c r="AG1959" s="168"/>
      <c r="AH1959" s="169"/>
      <c r="AI1959" s="167"/>
      <c r="AJ1959" s="48"/>
      <c r="AK1959" s="15"/>
      <c r="AL1959" s="15"/>
    </row>
    <row r="1960" spans="1:38" ht="90" x14ac:dyDescent="0.25">
      <c r="A1960" s="179"/>
      <c r="B1960" s="292"/>
      <c r="C1960" s="314"/>
      <c r="D1960" s="293"/>
      <c r="E1960" s="28" t="s">
        <v>5571</v>
      </c>
      <c r="F1960" s="292"/>
      <c r="G1960" s="314"/>
      <c r="H1960" s="293"/>
      <c r="I1960" s="110" t="s">
        <v>901</v>
      </c>
      <c r="J1960" s="111"/>
      <c r="K1960" s="104" t="s">
        <v>911</v>
      </c>
      <c r="L1960" s="105"/>
      <c r="M1960" s="173" t="s">
        <v>5572</v>
      </c>
      <c r="N1960" s="276"/>
      <c r="O1960" s="174"/>
      <c r="P1960" s="180" t="s">
        <v>5564</v>
      </c>
      <c r="Q1960" s="181"/>
      <c r="R1960" s="155">
        <v>8</v>
      </c>
      <c r="S1960" s="157"/>
      <c r="T1960" s="183">
        <v>4</v>
      </c>
      <c r="U1960" s="185"/>
      <c r="V1960" s="173" t="s">
        <v>3477</v>
      </c>
      <c r="W1960" s="174"/>
      <c r="X1960" s="252">
        <v>49</v>
      </c>
      <c r="Y1960" s="253"/>
      <c r="Z1960" s="254"/>
      <c r="AA1960" s="233" t="s">
        <v>3450</v>
      </c>
      <c r="AB1960" s="234"/>
      <c r="AC1960" s="162" t="s">
        <v>5566</v>
      </c>
      <c r="AD1960" s="163"/>
      <c r="AE1960" s="31"/>
      <c r="AF1960" s="167"/>
      <c r="AG1960" s="168"/>
      <c r="AH1960" s="169"/>
      <c r="AI1960" s="167"/>
      <c r="AJ1960" s="48"/>
      <c r="AK1960" s="15"/>
      <c r="AL1960" s="15"/>
    </row>
    <row r="1961" spans="1:38" ht="90" x14ac:dyDescent="0.25">
      <c r="A1961" s="179"/>
      <c r="B1961" s="292"/>
      <c r="C1961" s="314"/>
      <c r="D1961" s="293"/>
      <c r="E1961" s="28" t="s">
        <v>5573</v>
      </c>
      <c r="F1961" s="292"/>
      <c r="G1961" s="314"/>
      <c r="H1961" s="293"/>
      <c r="I1961" s="110" t="s">
        <v>901</v>
      </c>
      <c r="J1961" s="111"/>
      <c r="K1961" s="104" t="s">
        <v>911</v>
      </c>
      <c r="L1961" s="105"/>
      <c r="M1961" s="173" t="s">
        <v>5572</v>
      </c>
      <c r="N1961" s="276"/>
      <c r="O1961" s="174"/>
      <c r="P1961" s="180" t="s">
        <v>5564</v>
      </c>
      <c r="Q1961" s="181"/>
      <c r="R1961" s="155">
        <v>8</v>
      </c>
      <c r="S1961" s="157"/>
      <c r="T1961" s="183">
        <v>4</v>
      </c>
      <c r="U1961" s="185"/>
      <c r="V1961" s="173" t="s">
        <v>3477</v>
      </c>
      <c r="W1961" s="174"/>
      <c r="X1961" s="311"/>
      <c r="Y1961" s="312"/>
      <c r="Z1961" s="313"/>
      <c r="AA1961" s="235"/>
      <c r="AB1961" s="236"/>
      <c r="AC1961" s="162"/>
      <c r="AD1961" s="163"/>
      <c r="AE1961" s="31"/>
      <c r="AF1961" s="167"/>
      <c r="AG1961" s="168"/>
      <c r="AH1961" s="169"/>
      <c r="AI1961" s="167"/>
      <c r="AJ1961" s="48"/>
      <c r="AK1961" s="15"/>
      <c r="AL1961" s="15"/>
    </row>
    <row r="1962" spans="1:38" ht="90" x14ac:dyDescent="0.25">
      <c r="A1962" s="230"/>
      <c r="B1962" s="290"/>
      <c r="C1962" s="345"/>
      <c r="D1962" s="291"/>
      <c r="E1962" s="28" t="s">
        <v>5574</v>
      </c>
      <c r="F1962" s="290"/>
      <c r="G1962" s="345"/>
      <c r="H1962" s="291"/>
      <c r="I1962" s="110" t="s">
        <v>901</v>
      </c>
      <c r="J1962" s="111"/>
      <c r="K1962" s="146" t="s">
        <v>911</v>
      </c>
      <c r="L1962" s="148"/>
      <c r="M1962" s="173" t="s">
        <v>5572</v>
      </c>
      <c r="N1962" s="276"/>
      <c r="O1962" s="174"/>
      <c r="P1962" s="180" t="s">
        <v>5564</v>
      </c>
      <c r="Q1962" s="181"/>
      <c r="R1962" s="160">
        <v>8</v>
      </c>
      <c r="S1962" s="161"/>
      <c r="T1962" s="183">
        <v>4</v>
      </c>
      <c r="U1962" s="185"/>
      <c r="V1962" s="173" t="s">
        <v>3477</v>
      </c>
      <c r="W1962" s="174"/>
      <c r="X1962" s="255"/>
      <c r="Y1962" s="256"/>
      <c r="Z1962" s="257"/>
      <c r="AA1962" s="237"/>
      <c r="AB1962" s="238"/>
      <c r="AC1962" s="212"/>
      <c r="AD1962" s="213"/>
      <c r="AE1962" s="31"/>
      <c r="AF1962" s="214"/>
      <c r="AG1962" s="215"/>
      <c r="AH1962" s="216"/>
      <c r="AI1962" s="167"/>
      <c r="AJ1962" s="48"/>
      <c r="AK1962" s="15"/>
      <c r="AL1962" s="15"/>
    </row>
    <row r="1963" spans="1:38" ht="90" x14ac:dyDescent="0.25">
      <c r="A1963" s="178"/>
      <c r="B1963" s="303" t="s">
        <v>5575</v>
      </c>
      <c r="C1963" s="344"/>
      <c r="D1963" s="304"/>
      <c r="E1963" s="28" t="s">
        <v>5576</v>
      </c>
      <c r="F1963" s="233" t="s">
        <v>5577</v>
      </c>
      <c r="G1963" s="305"/>
      <c r="H1963" s="234"/>
      <c r="I1963" s="110" t="s">
        <v>1062</v>
      </c>
      <c r="J1963" s="111"/>
      <c r="K1963" s="143" t="s">
        <v>5578</v>
      </c>
      <c r="L1963" s="145"/>
      <c r="M1963" s="173" t="s">
        <v>923</v>
      </c>
      <c r="N1963" s="276"/>
      <c r="O1963" s="174"/>
      <c r="P1963" s="173" t="s">
        <v>5579</v>
      </c>
      <c r="Q1963" s="174"/>
      <c r="R1963" s="112">
        <v>9</v>
      </c>
      <c r="S1963" s="113"/>
      <c r="T1963" s="183">
        <v>4</v>
      </c>
      <c r="U1963" s="185"/>
      <c r="V1963" s="173" t="s">
        <v>4020</v>
      </c>
      <c r="W1963" s="174"/>
      <c r="X1963" s="252">
        <v>69</v>
      </c>
      <c r="Y1963" s="253"/>
      <c r="Z1963" s="254"/>
      <c r="AA1963" s="192" t="s">
        <v>975</v>
      </c>
      <c r="AB1963" s="193"/>
      <c r="AC1963" s="171" t="s">
        <v>3194</v>
      </c>
      <c r="AD1963" s="172"/>
      <c r="AE1963" s="24" t="s">
        <v>5582</v>
      </c>
      <c r="AF1963" s="164"/>
      <c r="AG1963" s="165"/>
      <c r="AH1963" s="166"/>
      <c r="AI1963" s="167"/>
      <c r="AJ1963" s="48"/>
      <c r="AK1963" s="15"/>
      <c r="AL1963" s="15"/>
    </row>
    <row r="1964" spans="1:38" ht="90" x14ac:dyDescent="0.25">
      <c r="A1964" s="179"/>
      <c r="B1964" s="292" t="s">
        <v>5507</v>
      </c>
      <c r="C1964" s="314"/>
      <c r="D1964" s="293"/>
      <c r="E1964" s="28" t="s">
        <v>5584</v>
      </c>
      <c r="F1964" s="235"/>
      <c r="G1964" s="270"/>
      <c r="H1964" s="236"/>
      <c r="I1964" s="110" t="s">
        <v>1062</v>
      </c>
      <c r="J1964" s="111"/>
      <c r="K1964" s="104" t="s">
        <v>5578</v>
      </c>
      <c r="L1964" s="105"/>
      <c r="M1964" s="173" t="s">
        <v>923</v>
      </c>
      <c r="N1964" s="276"/>
      <c r="O1964" s="174"/>
      <c r="P1964" s="173" t="s">
        <v>5579</v>
      </c>
      <c r="Q1964" s="174"/>
      <c r="R1964" s="155">
        <v>9</v>
      </c>
      <c r="S1964" s="157"/>
      <c r="T1964" s="183">
        <v>4</v>
      </c>
      <c r="U1964" s="185"/>
      <c r="V1964" s="173" t="s">
        <v>4020</v>
      </c>
      <c r="W1964" s="174"/>
      <c r="X1964" s="311"/>
      <c r="Y1964" s="312"/>
      <c r="Z1964" s="313"/>
      <c r="AA1964" s="272"/>
      <c r="AB1964" s="273"/>
      <c r="AC1964" s="162" t="s">
        <v>5580</v>
      </c>
      <c r="AD1964" s="163"/>
      <c r="AE1964" s="31" t="s">
        <v>1356</v>
      </c>
      <c r="AF1964" s="167"/>
      <c r="AG1964" s="168"/>
      <c r="AH1964" s="169"/>
      <c r="AI1964" s="167"/>
      <c r="AJ1964" s="48"/>
      <c r="AK1964" s="15"/>
      <c r="AL1964" s="15"/>
    </row>
    <row r="1965" spans="1:38" ht="90" x14ac:dyDescent="0.25">
      <c r="A1965" s="179"/>
      <c r="B1965" s="292"/>
      <c r="C1965" s="314"/>
      <c r="D1965" s="293"/>
      <c r="E1965" s="28" t="s">
        <v>5585</v>
      </c>
      <c r="F1965" s="235"/>
      <c r="G1965" s="270"/>
      <c r="H1965" s="236"/>
      <c r="I1965" s="110" t="s">
        <v>1062</v>
      </c>
      <c r="J1965" s="111"/>
      <c r="K1965" s="104" t="s">
        <v>5578</v>
      </c>
      <c r="L1965" s="105"/>
      <c r="M1965" s="173" t="s">
        <v>923</v>
      </c>
      <c r="N1965" s="276"/>
      <c r="O1965" s="174"/>
      <c r="P1965" s="173" t="s">
        <v>5579</v>
      </c>
      <c r="Q1965" s="174"/>
      <c r="R1965" s="155">
        <v>9</v>
      </c>
      <c r="S1965" s="157"/>
      <c r="T1965" s="183">
        <v>4</v>
      </c>
      <c r="U1965" s="185"/>
      <c r="V1965" s="173" t="s">
        <v>4020</v>
      </c>
      <c r="W1965" s="174"/>
      <c r="X1965" s="255"/>
      <c r="Y1965" s="256"/>
      <c r="Z1965" s="257"/>
      <c r="AA1965" s="194"/>
      <c r="AB1965" s="195"/>
      <c r="AC1965" s="162" t="s">
        <v>5581</v>
      </c>
      <c r="AD1965" s="163"/>
      <c r="AE1965" s="31" t="s">
        <v>5583</v>
      </c>
      <c r="AF1965" s="167"/>
      <c r="AG1965" s="168"/>
      <c r="AH1965" s="169"/>
      <c r="AI1965" s="167"/>
      <c r="AJ1965" s="48"/>
      <c r="AK1965" s="15"/>
      <c r="AL1965" s="15"/>
    </row>
    <row r="1966" spans="1:38" ht="90" x14ac:dyDescent="0.25">
      <c r="A1966" s="179"/>
      <c r="B1966" s="292"/>
      <c r="C1966" s="314"/>
      <c r="D1966" s="293"/>
      <c r="E1966" s="28" t="s">
        <v>5586</v>
      </c>
      <c r="F1966" s="235"/>
      <c r="G1966" s="270"/>
      <c r="H1966" s="236"/>
      <c r="I1966" s="110" t="s">
        <v>1062</v>
      </c>
      <c r="J1966" s="111"/>
      <c r="K1966" s="104" t="s">
        <v>5578</v>
      </c>
      <c r="L1966" s="105"/>
      <c r="M1966" s="173" t="s">
        <v>5240</v>
      </c>
      <c r="N1966" s="276"/>
      <c r="O1966" s="174"/>
      <c r="P1966" s="173" t="s">
        <v>5579</v>
      </c>
      <c r="Q1966" s="174"/>
      <c r="R1966" s="155">
        <v>9</v>
      </c>
      <c r="S1966" s="157"/>
      <c r="T1966" s="183">
        <v>4</v>
      </c>
      <c r="U1966" s="185"/>
      <c r="V1966" s="173" t="s">
        <v>5587</v>
      </c>
      <c r="W1966" s="174"/>
      <c r="X1966" s="252">
        <v>69</v>
      </c>
      <c r="Y1966" s="253"/>
      <c r="Z1966" s="254"/>
      <c r="AA1966" s="233" t="s">
        <v>1062</v>
      </c>
      <c r="AB1966" s="234"/>
      <c r="AC1966" s="162"/>
      <c r="AD1966" s="163"/>
      <c r="AE1966" s="31"/>
      <c r="AF1966" s="167"/>
      <c r="AG1966" s="168"/>
      <c r="AH1966" s="169"/>
      <c r="AI1966" s="167"/>
      <c r="AJ1966" s="48"/>
      <c r="AK1966" s="15"/>
      <c r="AL1966" s="15"/>
    </row>
    <row r="1967" spans="1:38" ht="90" x14ac:dyDescent="0.25">
      <c r="A1967" s="179"/>
      <c r="B1967" s="292"/>
      <c r="C1967" s="314"/>
      <c r="D1967" s="293"/>
      <c r="E1967" s="28" t="s">
        <v>5588</v>
      </c>
      <c r="F1967" s="235"/>
      <c r="G1967" s="270"/>
      <c r="H1967" s="236"/>
      <c r="I1967" s="110" t="s">
        <v>1062</v>
      </c>
      <c r="J1967" s="111"/>
      <c r="K1967" s="104" t="s">
        <v>5578</v>
      </c>
      <c r="L1967" s="105"/>
      <c r="M1967" s="173" t="s">
        <v>5240</v>
      </c>
      <c r="N1967" s="276"/>
      <c r="O1967" s="174"/>
      <c r="P1967" s="173" t="s">
        <v>5579</v>
      </c>
      <c r="Q1967" s="174"/>
      <c r="R1967" s="155">
        <v>9</v>
      </c>
      <c r="S1967" s="157"/>
      <c r="T1967" s="183">
        <v>4</v>
      </c>
      <c r="U1967" s="185"/>
      <c r="V1967" s="173" t="s">
        <v>5587</v>
      </c>
      <c r="W1967" s="174"/>
      <c r="X1967" s="311"/>
      <c r="Y1967" s="312"/>
      <c r="Z1967" s="313"/>
      <c r="AA1967" s="235"/>
      <c r="AB1967" s="236"/>
      <c r="AC1967" s="162"/>
      <c r="AD1967" s="163"/>
      <c r="AE1967" s="31"/>
      <c r="AF1967" s="167"/>
      <c r="AG1967" s="168"/>
      <c r="AH1967" s="169"/>
      <c r="AI1967" s="167"/>
      <c r="AJ1967" s="48"/>
      <c r="AK1967" s="15"/>
      <c r="AL1967" s="15"/>
    </row>
    <row r="1968" spans="1:38" ht="90" x14ac:dyDescent="0.25">
      <c r="A1968" s="230"/>
      <c r="B1968" s="290"/>
      <c r="C1968" s="345"/>
      <c r="D1968" s="291"/>
      <c r="E1968" s="28" t="s">
        <v>5589</v>
      </c>
      <c r="F1968" s="237"/>
      <c r="G1968" s="306"/>
      <c r="H1968" s="238"/>
      <c r="I1968" s="110" t="s">
        <v>1062</v>
      </c>
      <c r="J1968" s="111"/>
      <c r="K1968" s="146" t="s">
        <v>5578</v>
      </c>
      <c r="L1968" s="148"/>
      <c r="M1968" s="173" t="s">
        <v>5240</v>
      </c>
      <c r="N1968" s="276"/>
      <c r="O1968" s="174"/>
      <c r="P1968" s="173" t="s">
        <v>5579</v>
      </c>
      <c r="Q1968" s="174"/>
      <c r="R1968" s="160">
        <v>9</v>
      </c>
      <c r="S1968" s="161"/>
      <c r="T1968" s="183">
        <v>4</v>
      </c>
      <c r="U1968" s="185"/>
      <c r="V1968" s="173" t="s">
        <v>5587</v>
      </c>
      <c r="W1968" s="174"/>
      <c r="X1968" s="255"/>
      <c r="Y1968" s="256"/>
      <c r="Z1968" s="257"/>
      <c r="AA1968" s="237"/>
      <c r="AB1968" s="238"/>
      <c r="AC1968" s="212"/>
      <c r="AD1968" s="213"/>
      <c r="AE1968" s="31"/>
      <c r="AF1968" s="214"/>
      <c r="AG1968" s="215"/>
      <c r="AH1968" s="216"/>
      <c r="AI1968" s="167"/>
      <c r="AJ1968" s="48"/>
      <c r="AK1968" s="15"/>
      <c r="AL1968" s="15"/>
    </row>
    <row r="1969" spans="1:38" ht="90" x14ac:dyDescent="0.25">
      <c r="A1969" s="178"/>
      <c r="B1969" s="303" t="s">
        <v>5590</v>
      </c>
      <c r="C1969" s="344"/>
      <c r="D1969" s="304"/>
      <c r="E1969" s="28" t="s">
        <v>5591</v>
      </c>
      <c r="F1969" s="233" t="s">
        <v>5592</v>
      </c>
      <c r="G1969" s="305"/>
      <c r="H1969" s="234"/>
      <c r="I1969" s="110" t="s">
        <v>1071</v>
      </c>
      <c r="J1969" s="111"/>
      <c r="K1969" s="143" t="s">
        <v>5593</v>
      </c>
      <c r="L1969" s="145"/>
      <c r="M1969" s="173" t="s">
        <v>5549</v>
      </c>
      <c r="N1969" s="276"/>
      <c r="O1969" s="174"/>
      <c r="P1969" s="173" t="s">
        <v>717</v>
      </c>
      <c r="Q1969" s="174"/>
      <c r="R1969" s="88" t="s">
        <v>3532</v>
      </c>
      <c r="S1969" s="89"/>
      <c r="T1969" s="183">
        <v>6</v>
      </c>
      <c r="U1969" s="185"/>
      <c r="V1969" s="173" t="s">
        <v>5594</v>
      </c>
      <c r="W1969" s="174"/>
      <c r="X1969" s="252">
        <v>118</v>
      </c>
      <c r="Y1969" s="253"/>
      <c r="Z1969" s="254"/>
      <c r="AA1969" s="233" t="s">
        <v>889</v>
      </c>
      <c r="AB1969" s="234"/>
      <c r="AC1969" s="171" t="s">
        <v>3194</v>
      </c>
      <c r="AD1969" s="172"/>
      <c r="AE1969" s="24" t="s">
        <v>5597</v>
      </c>
      <c r="AF1969" s="164"/>
      <c r="AG1969" s="165"/>
      <c r="AH1969" s="166"/>
      <c r="AI1969" s="167"/>
      <c r="AJ1969" s="48"/>
      <c r="AK1969" s="15"/>
      <c r="AL1969" s="15"/>
    </row>
    <row r="1970" spans="1:38" ht="90" x14ac:dyDescent="0.25">
      <c r="A1970" s="179"/>
      <c r="B1970" s="292" t="s">
        <v>5507</v>
      </c>
      <c r="C1970" s="314"/>
      <c r="D1970" s="293"/>
      <c r="E1970" s="28" t="s">
        <v>5599</v>
      </c>
      <c r="F1970" s="235"/>
      <c r="G1970" s="270"/>
      <c r="H1970" s="236"/>
      <c r="I1970" s="110" t="s">
        <v>1071</v>
      </c>
      <c r="J1970" s="111"/>
      <c r="K1970" s="104" t="s">
        <v>5593</v>
      </c>
      <c r="L1970" s="105"/>
      <c r="M1970" s="173" t="s">
        <v>5549</v>
      </c>
      <c r="N1970" s="276"/>
      <c r="O1970" s="174"/>
      <c r="P1970" s="173" t="s">
        <v>717</v>
      </c>
      <c r="Q1970" s="174"/>
      <c r="R1970" s="126" t="s">
        <v>3532</v>
      </c>
      <c r="S1970" s="127"/>
      <c r="T1970" s="183">
        <v>6</v>
      </c>
      <c r="U1970" s="185"/>
      <c r="V1970" s="173" t="s">
        <v>5594</v>
      </c>
      <c r="W1970" s="174"/>
      <c r="X1970" s="311"/>
      <c r="Y1970" s="312"/>
      <c r="Z1970" s="313"/>
      <c r="AA1970" s="235"/>
      <c r="AB1970" s="236"/>
      <c r="AC1970" s="162" t="s">
        <v>5595</v>
      </c>
      <c r="AD1970" s="163"/>
      <c r="AE1970" s="31" t="s">
        <v>1356</v>
      </c>
      <c r="AF1970" s="167"/>
      <c r="AG1970" s="168"/>
      <c r="AH1970" s="169"/>
      <c r="AI1970" s="167"/>
      <c r="AJ1970" s="48"/>
      <c r="AK1970" s="15"/>
      <c r="AL1970" s="15"/>
    </row>
    <row r="1971" spans="1:38" ht="90" x14ac:dyDescent="0.25">
      <c r="A1971" s="179"/>
      <c r="B1971" s="292"/>
      <c r="C1971" s="314"/>
      <c r="D1971" s="293"/>
      <c r="E1971" s="28" t="s">
        <v>5600</v>
      </c>
      <c r="F1971" s="235"/>
      <c r="G1971" s="270"/>
      <c r="H1971" s="236"/>
      <c r="I1971" s="110" t="s">
        <v>1071</v>
      </c>
      <c r="J1971" s="111"/>
      <c r="K1971" s="104" t="s">
        <v>5593</v>
      </c>
      <c r="L1971" s="105"/>
      <c r="M1971" s="173" t="s">
        <v>5549</v>
      </c>
      <c r="N1971" s="276"/>
      <c r="O1971" s="174"/>
      <c r="P1971" s="173" t="s">
        <v>717</v>
      </c>
      <c r="Q1971" s="174"/>
      <c r="R1971" s="126" t="s">
        <v>3532</v>
      </c>
      <c r="S1971" s="127"/>
      <c r="T1971" s="183">
        <v>6</v>
      </c>
      <c r="U1971" s="185"/>
      <c r="V1971" s="173" t="s">
        <v>5594</v>
      </c>
      <c r="W1971" s="174"/>
      <c r="X1971" s="255"/>
      <c r="Y1971" s="256"/>
      <c r="Z1971" s="257"/>
      <c r="AA1971" s="237"/>
      <c r="AB1971" s="238"/>
      <c r="AC1971" s="162" t="s">
        <v>5596</v>
      </c>
      <c r="AD1971" s="163"/>
      <c r="AE1971" s="31" t="s">
        <v>5598</v>
      </c>
      <c r="AF1971" s="167"/>
      <c r="AG1971" s="168"/>
      <c r="AH1971" s="169"/>
      <c r="AI1971" s="167"/>
      <c r="AJ1971" s="48"/>
      <c r="AK1971" s="15"/>
      <c r="AL1971" s="15"/>
    </row>
    <row r="1972" spans="1:38" ht="90" x14ac:dyDescent="0.25">
      <c r="A1972" s="179"/>
      <c r="B1972" s="292"/>
      <c r="C1972" s="314"/>
      <c r="D1972" s="293"/>
      <c r="E1972" s="28" t="s">
        <v>5601</v>
      </c>
      <c r="F1972" s="235"/>
      <c r="G1972" s="270"/>
      <c r="H1972" s="236"/>
      <c r="I1972" s="110" t="s">
        <v>1071</v>
      </c>
      <c r="J1972" s="111"/>
      <c r="K1972" s="104" t="s">
        <v>5593</v>
      </c>
      <c r="L1972" s="105"/>
      <c r="M1972" s="173" t="s">
        <v>5557</v>
      </c>
      <c r="N1972" s="276"/>
      <c r="O1972" s="174"/>
      <c r="P1972" s="173" t="s">
        <v>717</v>
      </c>
      <c r="Q1972" s="174"/>
      <c r="R1972" s="126" t="s">
        <v>3532</v>
      </c>
      <c r="S1972" s="127"/>
      <c r="T1972" s="183">
        <v>6</v>
      </c>
      <c r="U1972" s="185"/>
      <c r="V1972" s="173" t="s">
        <v>5602</v>
      </c>
      <c r="W1972" s="174"/>
      <c r="X1972" s="252">
        <v>128</v>
      </c>
      <c r="Y1972" s="253"/>
      <c r="Z1972" s="254"/>
      <c r="AA1972" s="192" t="s">
        <v>873</v>
      </c>
      <c r="AB1972" s="193"/>
      <c r="AC1972" s="162"/>
      <c r="AD1972" s="163"/>
      <c r="AE1972" s="31"/>
      <c r="AF1972" s="167"/>
      <c r="AG1972" s="168"/>
      <c r="AH1972" s="169"/>
      <c r="AI1972" s="167"/>
      <c r="AJ1972" s="48"/>
      <c r="AK1972" s="15"/>
      <c r="AL1972" s="15"/>
    </row>
    <row r="1973" spans="1:38" ht="90" x14ac:dyDescent="0.25">
      <c r="A1973" s="179"/>
      <c r="B1973" s="292"/>
      <c r="C1973" s="314"/>
      <c r="D1973" s="293"/>
      <c r="E1973" s="28" t="s">
        <v>5603</v>
      </c>
      <c r="F1973" s="235"/>
      <c r="G1973" s="270"/>
      <c r="H1973" s="236"/>
      <c r="I1973" s="110" t="s">
        <v>1071</v>
      </c>
      <c r="J1973" s="111"/>
      <c r="K1973" s="104" t="s">
        <v>5593</v>
      </c>
      <c r="L1973" s="105"/>
      <c r="M1973" s="173" t="s">
        <v>5557</v>
      </c>
      <c r="N1973" s="276"/>
      <c r="O1973" s="174"/>
      <c r="P1973" s="173" t="s">
        <v>717</v>
      </c>
      <c r="Q1973" s="174"/>
      <c r="R1973" s="126" t="s">
        <v>3532</v>
      </c>
      <c r="S1973" s="127"/>
      <c r="T1973" s="183">
        <v>6</v>
      </c>
      <c r="U1973" s="185"/>
      <c r="V1973" s="173" t="s">
        <v>5602</v>
      </c>
      <c r="W1973" s="174"/>
      <c r="X1973" s="311"/>
      <c r="Y1973" s="312"/>
      <c r="Z1973" s="313"/>
      <c r="AA1973" s="272"/>
      <c r="AB1973" s="273"/>
      <c r="AC1973" s="162"/>
      <c r="AD1973" s="163"/>
      <c r="AE1973" s="31"/>
      <c r="AF1973" s="167"/>
      <c r="AG1973" s="168"/>
      <c r="AH1973" s="169"/>
      <c r="AI1973" s="167"/>
      <c r="AJ1973" s="48"/>
      <c r="AK1973" s="15"/>
      <c r="AL1973" s="15"/>
    </row>
    <row r="1974" spans="1:38" ht="90" x14ac:dyDescent="0.25">
      <c r="A1974" s="230"/>
      <c r="B1974" s="290"/>
      <c r="C1974" s="345"/>
      <c r="D1974" s="291"/>
      <c r="E1974" s="28" t="s">
        <v>5604</v>
      </c>
      <c r="F1974" s="237"/>
      <c r="G1974" s="306"/>
      <c r="H1974" s="238"/>
      <c r="I1974" s="110" t="s">
        <v>1071</v>
      </c>
      <c r="J1974" s="111"/>
      <c r="K1974" s="146" t="s">
        <v>5593</v>
      </c>
      <c r="L1974" s="148"/>
      <c r="M1974" s="173" t="s">
        <v>5557</v>
      </c>
      <c r="N1974" s="276"/>
      <c r="O1974" s="174"/>
      <c r="P1974" s="173" t="s">
        <v>717</v>
      </c>
      <c r="Q1974" s="174"/>
      <c r="R1974" s="117" t="s">
        <v>3532</v>
      </c>
      <c r="S1974" s="118"/>
      <c r="T1974" s="183">
        <v>6</v>
      </c>
      <c r="U1974" s="185"/>
      <c r="V1974" s="173" t="s">
        <v>5602</v>
      </c>
      <c r="W1974" s="174"/>
      <c r="X1974" s="255"/>
      <c r="Y1974" s="256"/>
      <c r="Z1974" s="257"/>
      <c r="AA1974" s="194"/>
      <c r="AB1974" s="195"/>
      <c r="AC1974" s="212"/>
      <c r="AD1974" s="213"/>
      <c r="AE1974" s="31"/>
      <c r="AF1974" s="214"/>
      <c r="AG1974" s="215"/>
      <c r="AH1974" s="216"/>
      <c r="AI1974" s="167"/>
      <c r="AJ1974" s="48"/>
      <c r="AK1974" s="15"/>
      <c r="AL1974" s="15"/>
    </row>
    <row r="1975" spans="1:38" ht="75" x14ac:dyDescent="0.25">
      <c r="A1975" s="178"/>
      <c r="B1975" s="303" t="s">
        <v>5605</v>
      </c>
      <c r="C1975" s="344"/>
      <c r="D1975" s="304"/>
      <c r="E1975" s="28" t="s">
        <v>5606</v>
      </c>
      <c r="F1975" s="233" t="s">
        <v>5607</v>
      </c>
      <c r="G1975" s="305"/>
      <c r="H1975" s="234"/>
      <c r="I1975" s="110" t="s">
        <v>1127</v>
      </c>
      <c r="J1975" s="111"/>
      <c r="K1975" s="143" t="s">
        <v>5608</v>
      </c>
      <c r="L1975" s="145"/>
      <c r="M1975" s="180" t="s">
        <v>5152</v>
      </c>
      <c r="N1975" s="450"/>
      <c r="O1975" s="181"/>
      <c r="P1975" s="173" t="s">
        <v>5397</v>
      </c>
      <c r="Q1975" s="174"/>
      <c r="R1975" s="112">
        <v>8</v>
      </c>
      <c r="S1975" s="113"/>
      <c r="T1975" s="183">
        <v>6</v>
      </c>
      <c r="U1975" s="185"/>
      <c r="V1975" s="173" t="s">
        <v>5609</v>
      </c>
      <c r="W1975" s="174"/>
      <c r="X1975" s="252">
        <v>59</v>
      </c>
      <c r="Y1975" s="253"/>
      <c r="Z1975" s="254"/>
      <c r="AA1975" s="233" t="s">
        <v>1261</v>
      </c>
      <c r="AB1975" s="234"/>
      <c r="AC1975" s="171" t="s">
        <v>3194</v>
      </c>
      <c r="AD1975" s="172"/>
      <c r="AE1975" s="24" t="s">
        <v>5612</v>
      </c>
      <c r="AF1975" s="303" t="s">
        <v>2566</v>
      </c>
      <c r="AG1975" s="344"/>
      <c r="AH1975" s="304"/>
      <c r="AI1975" s="167"/>
      <c r="AJ1975" s="48"/>
      <c r="AK1975" s="15"/>
      <c r="AL1975" s="15"/>
    </row>
    <row r="1976" spans="1:38" ht="75" x14ac:dyDescent="0.25">
      <c r="A1976" s="179"/>
      <c r="B1976" s="292"/>
      <c r="C1976" s="314"/>
      <c r="D1976" s="293"/>
      <c r="E1976" s="28" t="s">
        <v>5614</v>
      </c>
      <c r="F1976" s="235"/>
      <c r="G1976" s="270"/>
      <c r="H1976" s="236"/>
      <c r="I1976" s="110" t="s">
        <v>1127</v>
      </c>
      <c r="J1976" s="111"/>
      <c r="K1976" s="104" t="s">
        <v>5608</v>
      </c>
      <c r="L1976" s="105"/>
      <c r="M1976" s="180" t="s">
        <v>5152</v>
      </c>
      <c r="N1976" s="450"/>
      <c r="O1976" s="181"/>
      <c r="P1976" s="173" t="s">
        <v>5397</v>
      </c>
      <c r="Q1976" s="174"/>
      <c r="R1976" s="155">
        <v>8</v>
      </c>
      <c r="S1976" s="157"/>
      <c r="T1976" s="183">
        <v>6</v>
      </c>
      <c r="U1976" s="185"/>
      <c r="V1976" s="173" t="s">
        <v>5609</v>
      </c>
      <c r="W1976" s="174"/>
      <c r="X1976" s="311"/>
      <c r="Y1976" s="312"/>
      <c r="Z1976" s="313"/>
      <c r="AA1976" s="235"/>
      <c r="AB1976" s="236"/>
      <c r="AC1976" s="162" t="s">
        <v>5610</v>
      </c>
      <c r="AD1976" s="163"/>
      <c r="AE1976" s="31" t="s">
        <v>848</v>
      </c>
      <c r="AF1976" s="292" t="s">
        <v>3401</v>
      </c>
      <c r="AG1976" s="314"/>
      <c r="AH1976" s="293"/>
      <c r="AI1976" s="167"/>
      <c r="AJ1976" s="48"/>
      <c r="AK1976" s="15"/>
      <c r="AL1976" s="15"/>
    </row>
    <row r="1977" spans="1:38" ht="75" x14ac:dyDescent="0.25">
      <c r="A1977" s="179"/>
      <c r="B1977" s="292"/>
      <c r="C1977" s="314"/>
      <c r="D1977" s="293"/>
      <c r="E1977" s="28" t="s">
        <v>5615</v>
      </c>
      <c r="F1977" s="235"/>
      <c r="G1977" s="270"/>
      <c r="H1977" s="236"/>
      <c r="I1977" s="110" t="s">
        <v>1127</v>
      </c>
      <c r="J1977" s="111"/>
      <c r="K1977" s="104" t="s">
        <v>5608</v>
      </c>
      <c r="L1977" s="105"/>
      <c r="M1977" s="180" t="s">
        <v>5152</v>
      </c>
      <c r="N1977" s="450"/>
      <c r="O1977" s="181"/>
      <c r="P1977" s="173" t="s">
        <v>5397</v>
      </c>
      <c r="Q1977" s="174"/>
      <c r="R1977" s="155">
        <v>8</v>
      </c>
      <c r="S1977" s="157"/>
      <c r="T1977" s="183">
        <v>6</v>
      </c>
      <c r="U1977" s="185"/>
      <c r="V1977" s="173" t="s">
        <v>5609</v>
      </c>
      <c r="W1977" s="174"/>
      <c r="X1977" s="255"/>
      <c r="Y1977" s="256"/>
      <c r="Z1977" s="257"/>
      <c r="AA1977" s="237"/>
      <c r="AB1977" s="238"/>
      <c r="AC1977" s="162" t="s">
        <v>5611</v>
      </c>
      <c r="AD1977" s="163"/>
      <c r="AE1977" s="31" t="s">
        <v>1356</v>
      </c>
      <c r="AF1977" s="292"/>
      <c r="AG1977" s="314"/>
      <c r="AH1977" s="293"/>
      <c r="AI1977" s="167"/>
      <c r="AJ1977" s="48"/>
      <c r="AK1977" s="15"/>
      <c r="AL1977" s="15"/>
    </row>
    <row r="1978" spans="1:38" ht="75" x14ac:dyDescent="0.25">
      <c r="A1978" s="179"/>
      <c r="B1978" s="292"/>
      <c r="C1978" s="314"/>
      <c r="D1978" s="293"/>
      <c r="E1978" s="28" t="s">
        <v>5616</v>
      </c>
      <c r="F1978" s="235"/>
      <c r="G1978" s="270"/>
      <c r="H1978" s="236"/>
      <c r="I1978" s="110" t="s">
        <v>1127</v>
      </c>
      <c r="J1978" s="111"/>
      <c r="K1978" s="104" t="s">
        <v>5608</v>
      </c>
      <c r="L1978" s="105"/>
      <c r="M1978" s="180" t="s">
        <v>5152</v>
      </c>
      <c r="N1978" s="450"/>
      <c r="O1978" s="181"/>
      <c r="P1978" s="173" t="s">
        <v>5397</v>
      </c>
      <c r="Q1978" s="174"/>
      <c r="R1978" s="155">
        <v>8</v>
      </c>
      <c r="S1978" s="157"/>
      <c r="T1978" s="183">
        <v>6</v>
      </c>
      <c r="U1978" s="185"/>
      <c r="V1978" s="173" t="s">
        <v>5609</v>
      </c>
      <c r="W1978" s="174"/>
      <c r="X1978" s="252">
        <v>69</v>
      </c>
      <c r="Y1978" s="253"/>
      <c r="Z1978" s="254"/>
      <c r="AA1978" s="192" t="s">
        <v>879</v>
      </c>
      <c r="AB1978" s="193"/>
      <c r="AC1978" s="162"/>
      <c r="AD1978" s="163"/>
      <c r="AE1978" s="31" t="s">
        <v>5613</v>
      </c>
      <c r="AF1978" s="292"/>
      <c r="AG1978" s="314"/>
      <c r="AH1978" s="293"/>
      <c r="AI1978" s="167"/>
      <c r="AJ1978" s="48"/>
      <c r="AK1978" s="15"/>
      <c r="AL1978" s="15"/>
    </row>
    <row r="1979" spans="1:38" ht="75" x14ac:dyDescent="0.25">
      <c r="A1979" s="179"/>
      <c r="B1979" s="292"/>
      <c r="C1979" s="314"/>
      <c r="D1979" s="293"/>
      <c r="E1979" s="28" t="s">
        <v>5617</v>
      </c>
      <c r="F1979" s="235"/>
      <c r="G1979" s="270"/>
      <c r="H1979" s="236"/>
      <c r="I1979" s="110" t="s">
        <v>1127</v>
      </c>
      <c r="J1979" s="111"/>
      <c r="K1979" s="104" t="s">
        <v>5608</v>
      </c>
      <c r="L1979" s="105"/>
      <c r="M1979" s="180" t="s">
        <v>5152</v>
      </c>
      <c r="N1979" s="450"/>
      <c r="O1979" s="181"/>
      <c r="P1979" s="173" t="s">
        <v>5397</v>
      </c>
      <c r="Q1979" s="174"/>
      <c r="R1979" s="155">
        <v>8</v>
      </c>
      <c r="S1979" s="157"/>
      <c r="T1979" s="183">
        <v>6</v>
      </c>
      <c r="U1979" s="185"/>
      <c r="V1979" s="173" t="s">
        <v>5609</v>
      </c>
      <c r="W1979" s="174"/>
      <c r="X1979" s="311"/>
      <c r="Y1979" s="312"/>
      <c r="Z1979" s="313"/>
      <c r="AA1979" s="272"/>
      <c r="AB1979" s="273"/>
      <c r="AC1979" s="162"/>
      <c r="AD1979" s="163"/>
      <c r="AE1979" s="31"/>
      <c r="AF1979" s="292"/>
      <c r="AG1979" s="314"/>
      <c r="AH1979" s="293"/>
      <c r="AI1979" s="167"/>
      <c r="AJ1979" s="48"/>
      <c r="AK1979" s="15"/>
      <c r="AL1979" s="15"/>
    </row>
    <row r="1980" spans="1:38" ht="75" x14ac:dyDescent="0.25">
      <c r="A1980" s="230"/>
      <c r="B1980" s="290"/>
      <c r="C1980" s="345"/>
      <c r="D1980" s="291"/>
      <c r="E1980" s="28" t="s">
        <v>5618</v>
      </c>
      <c r="F1980" s="237"/>
      <c r="G1980" s="306"/>
      <c r="H1980" s="238"/>
      <c r="I1980" s="110" t="s">
        <v>1127</v>
      </c>
      <c r="J1980" s="111"/>
      <c r="K1980" s="146" t="s">
        <v>5608</v>
      </c>
      <c r="L1980" s="148"/>
      <c r="M1980" s="180" t="s">
        <v>5152</v>
      </c>
      <c r="N1980" s="450"/>
      <c r="O1980" s="181"/>
      <c r="P1980" s="173" t="s">
        <v>5397</v>
      </c>
      <c r="Q1980" s="174"/>
      <c r="R1980" s="160">
        <v>8</v>
      </c>
      <c r="S1980" s="161"/>
      <c r="T1980" s="183">
        <v>6</v>
      </c>
      <c r="U1980" s="185"/>
      <c r="V1980" s="173" t="s">
        <v>5609</v>
      </c>
      <c r="W1980" s="174"/>
      <c r="X1980" s="255"/>
      <c r="Y1980" s="256"/>
      <c r="Z1980" s="257"/>
      <c r="AA1980" s="194"/>
      <c r="AB1980" s="195"/>
      <c r="AC1980" s="212"/>
      <c r="AD1980" s="213"/>
      <c r="AE1980" s="31"/>
      <c r="AF1980" s="290"/>
      <c r="AG1980" s="345"/>
      <c r="AH1980" s="291"/>
      <c r="AI1980" s="167"/>
      <c r="AJ1980" s="48"/>
      <c r="AK1980" s="15"/>
      <c r="AL1980" s="15"/>
    </row>
    <row r="1981" spans="1:38" ht="90" x14ac:dyDescent="0.3">
      <c r="A1981" s="178"/>
      <c r="B1981" s="303" t="s">
        <v>5619</v>
      </c>
      <c r="C1981" s="344"/>
      <c r="D1981" s="304"/>
      <c r="E1981" s="28" t="s">
        <v>5620</v>
      </c>
      <c r="F1981" s="192" t="s">
        <v>5621</v>
      </c>
      <c r="G1981" s="196"/>
      <c r="H1981" s="193"/>
      <c r="I1981" s="110" t="s">
        <v>1338</v>
      </c>
      <c r="J1981" s="111"/>
      <c r="K1981" s="143" t="s">
        <v>5622</v>
      </c>
      <c r="L1981" s="145"/>
      <c r="M1981" s="183">
        <v>39</v>
      </c>
      <c r="N1981" s="184"/>
      <c r="O1981" s="185"/>
      <c r="P1981" s="183">
        <v>3</v>
      </c>
      <c r="Q1981" s="185"/>
      <c r="R1981" s="112">
        <v>7</v>
      </c>
      <c r="S1981" s="113"/>
      <c r="T1981" s="183">
        <v>7</v>
      </c>
      <c r="U1981" s="185"/>
      <c r="V1981" s="173" t="s">
        <v>5623</v>
      </c>
      <c r="W1981" s="174"/>
      <c r="X1981" s="241">
        <v>59</v>
      </c>
      <c r="Y1981" s="242"/>
      <c r="Z1981" s="243"/>
      <c r="AA1981" s="192" t="s">
        <v>5624</v>
      </c>
      <c r="AB1981" s="193"/>
      <c r="AC1981" s="171" t="s">
        <v>3194</v>
      </c>
      <c r="AD1981" s="172"/>
      <c r="AE1981" s="16" t="s">
        <v>5627</v>
      </c>
      <c r="AF1981" s="164"/>
      <c r="AG1981" s="165"/>
      <c r="AH1981" s="166"/>
      <c r="AI1981" s="167"/>
      <c r="AJ1981" s="48"/>
      <c r="AK1981" s="15"/>
      <c r="AL1981" s="15"/>
    </row>
    <row r="1982" spans="1:38" ht="75" x14ac:dyDescent="0.3">
      <c r="A1982" s="179"/>
      <c r="B1982" s="292"/>
      <c r="C1982" s="314"/>
      <c r="D1982" s="293"/>
      <c r="E1982" s="28" t="s">
        <v>5629</v>
      </c>
      <c r="F1982" s="272"/>
      <c r="G1982" s="282"/>
      <c r="H1982" s="273"/>
      <c r="I1982" s="110" t="s">
        <v>1338</v>
      </c>
      <c r="J1982" s="111"/>
      <c r="K1982" s="104" t="s">
        <v>5622</v>
      </c>
      <c r="L1982" s="105"/>
      <c r="M1982" s="183">
        <v>39</v>
      </c>
      <c r="N1982" s="184"/>
      <c r="O1982" s="185"/>
      <c r="P1982" s="183">
        <v>3</v>
      </c>
      <c r="Q1982" s="185"/>
      <c r="R1982" s="155">
        <v>7</v>
      </c>
      <c r="S1982" s="157"/>
      <c r="T1982" s="183">
        <v>7</v>
      </c>
      <c r="U1982" s="185"/>
      <c r="V1982" s="173" t="s">
        <v>5623</v>
      </c>
      <c r="W1982" s="174"/>
      <c r="X1982" s="244"/>
      <c r="Y1982" s="245"/>
      <c r="Z1982" s="246"/>
      <c r="AA1982" s="194"/>
      <c r="AB1982" s="195"/>
      <c r="AC1982" s="162" t="s">
        <v>5625</v>
      </c>
      <c r="AD1982" s="163"/>
      <c r="AE1982" s="43" t="s">
        <v>1356</v>
      </c>
      <c r="AF1982" s="167"/>
      <c r="AG1982" s="168"/>
      <c r="AH1982" s="169"/>
      <c r="AI1982" s="167"/>
      <c r="AJ1982" s="48"/>
      <c r="AK1982" s="15"/>
      <c r="AL1982" s="15"/>
    </row>
    <row r="1983" spans="1:38" ht="90" x14ac:dyDescent="0.3">
      <c r="A1983" s="179"/>
      <c r="B1983" s="292"/>
      <c r="C1983" s="314"/>
      <c r="D1983" s="293"/>
      <c r="E1983" s="28" t="s">
        <v>5630</v>
      </c>
      <c r="F1983" s="194"/>
      <c r="G1983" s="197"/>
      <c r="H1983" s="195"/>
      <c r="I1983" s="110" t="s">
        <v>1338</v>
      </c>
      <c r="J1983" s="111"/>
      <c r="K1983" s="146" t="s">
        <v>5622</v>
      </c>
      <c r="L1983" s="148"/>
      <c r="M1983" s="183">
        <v>41</v>
      </c>
      <c r="N1983" s="184"/>
      <c r="O1983" s="185"/>
      <c r="P1983" s="183">
        <v>3</v>
      </c>
      <c r="Q1983" s="185"/>
      <c r="R1983" s="160">
        <v>7</v>
      </c>
      <c r="S1983" s="161"/>
      <c r="T1983" s="183">
        <v>7</v>
      </c>
      <c r="U1983" s="185"/>
      <c r="V1983" s="173" t="s">
        <v>5631</v>
      </c>
      <c r="W1983" s="174"/>
      <c r="X1983" s="227">
        <v>61</v>
      </c>
      <c r="Y1983" s="228"/>
      <c r="Z1983" s="229"/>
      <c r="AA1983" s="110" t="s">
        <v>4320</v>
      </c>
      <c r="AB1983" s="111"/>
      <c r="AC1983" s="162" t="s">
        <v>2211</v>
      </c>
      <c r="AD1983" s="163"/>
      <c r="AE1983" s="43" t="s">
        <v>5628</v>
      </c>
      <c r="AF1983" s="167"/>
      <c r="AG1983" s="168"/>
      <c r="AH1983" s="169"/>
      <c r="AI1983" s="167"/>
      <c r="AJ1983" s="48"/>
      <c r="AK1983" s="15"/>
      <c r="AL1983" s="15"/>
    </row>
    <row r="1984" spans="1:38" ht="90" x14ac:dyDescent="0.3">
      <c r="A1984" s="179"/>
      <c r="B1984" s="292"/>
      <c r="C1984" s="314"/>
      <c r="D1984" s="293"/>
      <c r="E1984" s="28" t="s">
        <v>5632</v>
      </c>
      <c r="F1984" s="192" t="s">
        <v>5633</v>
      </c>
      <c r="G1984" s="196"/>
      <c r="H1984" s="193"/>
      <c r="I1984" s="110" t="s">
        <v>1127</v>
      </c>
      <c r="J1984" s="111"/>
      <c r="K1984" s="143" t="s">
        <v>5634</v>
      </c>
      <c r="L1984" s="145"/>
      <c r="M1984" s="114" t="s">
        <v>1523</v>
      </c>
      <c r="N1984" s="115"/>
      <c r="O1984" s="116"/>
      <c r="P1984" s="114" t="s">
        <v>1342</v>
      </c>
      <c r="Q1984" s="116"/>
      <c r="R1984" s="112">
        <v>8</v>
      </c>
      <c r="S1984" s="113"/>
      <c r="T1984" s="183">
        <v>7</v>
      </c>
      <c r="U1984" s="185"/>
      <c r="V1984" s="173" t="s">
        <v>5635</v>
      </c>
      <c r="W1984" s="174"/>
      <c r="X1984" s="241">
        <v>69</v>
      </c>
      <c r="Y1984" s="242"/>
      <c r="Z1984" s="243"/>
      <c r="AA1984" s="192" t="s">
        <v>3558</v>
      </c>
      <c r="AB1984" s="193"/>
      <c r="AC1984" s="162" t="s">
        <v>5626</v>
      </c>
      <c r="AD1984" s="163"/>
      <c r="AE1984" s="43"/>
      <c r="AF1984" s="167"/>
      <c r="AG1984" s="168"/>
      <c r="AH1984" s="169"/>
      <c r="AI1984" s="167"/>
      <c r="AJ1984" s="48"/>
      <c r="AK1984" s="15"/>
      <c r="AL1984" s="15"/>
    </row>
    <row r="1985" spans="1:38" ht="75" x14ac:dyDescent="0.3">
      <c r="A1985" s="179"/>
      <c r="B1985" s="292"/>
      <c r="C1985" s="314"/>
      <c r="D1985" s="293"/>
      <c r="E1985" s="28" t="s">
        <v>5636</v>
      </c>
      <c r="F1985" s="272"/>
      <c r="G1985" s="282"/>
      <c r="H1985" s="273"/>
      <c r="I1985" s="110" t="s">
        <v>1127</v>
      </c>
      <c r="J1985" s="111"/>
      <c r="K1985" s="104" t="s">
        <v>5634</v>
      </c>
      <c r="L1985" s="105"/>
      <c r="M1985" s="114" t="s">
        <v>1523</v>
      </c>
      <c r="N1985" s="115"/>
      <c r="O1985" s="116"/>
      <c r="P1985" s="114" t="s">
        <v>1342</v>
      </c>
      <c r="Q1985" s="116"/>
      <c r="R1985" s="155">
        <v>8</v>
      </c>
      <c r="S1985" s="157"/>
      <c r="T1985" s="183">
        <v>7</v>
      </c>
      <c r="U1985" s="185"/>
      <c r="V1985" s="173" t="s">
        <v>5635</v>
      </c>
      <c r="W1985" s="174"/>
      <c r="X1985" s="244"/>
      <c r="Y1985" s="245"/>
      <c r="Z1985" s="246"/>
      <c r="AA1985" s="194"/>
      <c r="AB1985" s="195"/>
      <c r="AC1985" s="162"/>
      <c r="AD1985" s="163"/>
      <c r="AE1985" s="43"/>
      <c r="AF1985" s="167"/>
      <c r="AG1985" s="168"/>
      <c r="AH1985" s="169"/>
      <c r="AI1985" s="167"/>
      <c r="AJ1985" s="48"/>
      <c r="AK1985" s="15"/>
      <c r="AL1985" s="15"/>
    </row>
    <row r="1986" spans="1:38" ht="75" x14ac:dyDescent="0.3">
      <c r="A1986" s="179"/>
      <c r="B1986" s="292"/>
      <c r="C1986" s="314"/>
      <c r="D1986" s="293"/>
      <c r="E1986" s="28" t="s">
        <v>5637</v>
      </c>
      <c r="F1986" s="194"/>
      <c r="G1986" s="197"/>
      <c r="H1986" s="195"/>
      <c r="I1986" s="110" t="s">
        <v>1127</v>
      </c>
      <c r="J1986" s="111"/>
      <c r="K1986" s="146" t="s">
        <v>5634</v>
      </c>
      <c r="L1986" s="148"/>
      <c r="M1986" s="114" t="s">
        <v>3586</v>
      </c>
      <c r="N1986" s="115"/>
      <c r="O1986" s="116"/>
      <c r="P1986" s="114" t="s">
        <v>1342</v>
      </c>
      <c r="Q1986" s="116"/>
      <c r="R1986" s="160">
        <v>8</v>
      </c>
      <c r="S1986" s="161"/>
      <c r="T1986" s="183">
        <v>7</v>
      </c>
      <c r="U1986" s="185"/>
      <c r="V1986" s="173" t="s">
        <v>5638</v>
      </c>
      <c r="W1986" s="174"/>
      <c r="X1986" s="227">
        <v>71</v>
      </c>
      <c r="Y1986" s="228"/>
      <c r="Z1986" s="229"/>
      <c r="AA1986" s="110" t="s">
        <v>2483</v>
      </c>
      <c r="AB1986" s="111"/>
      <c r="AC1986" s="162"/>
      <c r="AD1986" s="163"/>
      <c r="AE1986" s="43"/>
      <c r="AF1986" s="167"/>
      <c r="AG1986" s="168"/>
      <c r="AH1986" s="169"/>
      <c r="AI1986" s="167"/>
      <c r="AJ1986" s="48"/>
      <c r="AK1986" s="15"/>
      <c r="AL1986" s="15"/>
    </row>
    <row r="1987" spans="1:38" ht="90" x14ac:dyDescent="0.3">
      <c r="A1987" s="179"/>
      <c r="B1987" s="292"/>
      <c r="C1987" s="314"/>
      <c r="D1987" s="293"/>
      <c r="E1987" s="28" t="s">
        <v>5639</v>
      </c>
      <c r="F1987" s="192" t="s">
        <v>5640</v>
      </c>
      <c r="G1987" s="196"/>
      <c r="H1987" s="193"/>
      <c r="I1987" s="110" t="s">
        <v>1033</v>
      </c>
      <c r="J1987" s="111"/>
      <c r="K1987" s="143" t="s">
        <v>5641</v>
      </c>
      <c r="L1987" s="145"/>
      <c r="M1987" s="114" t="s">
        <v>3889</v>
      </c>
      <c r="N1987" s="115"/>
      <c r="O1987" s="116"/>
      <c r="P1987" s="183">
        <v>5</v>
      </c>
      <c r="Q1987" s="185"/>
      <c r="R1987" s="112">
        <v>9</v>
      </c>
      <c r="S1987" s="113"/>
      <c r="T1987" s="183">
        <v>7</v>
      </c>
      <c r="U1987" s="185"/>
      <c r="V1987" s="173" t="s">
        <v>4036</v>
      </c>
      <c r="W1987" s="174"/>
      <c r="X1987" s="252">
        <v>89</v>
      </c>
      <c r="Y1987" s="253"/>
      <c r="Z1987" s="254"/>
      <c r="AA1987" s="192" t="s">
        <v>729</v>
      </c>
      <c r="AB1987" s="193"/>
      <c r="AC1987" s="162"/>
      <c r="AD1987" s="163"/>
      <c r="AE1987" s="43"/>
      <c r="AF1987" s="167"/>
      <c r="AG1987" s="168"/>
      <c r="AH1987" s="169"/>
      <c r="AI1987" s="167"/>
      <c r="AJ1987" s="48"/>
      <c r="AK1987" s="15"/>
      <c r="AL1987" s="15"/>
    </row>
    <row r="1988" spans="1:38" ht="75" x14ac:dyDescent="0.3">
      <c r="A1988" s="179"/>
      <c r="B1988" s="292"/>
      <c r="C1988" s="314"/>
      <c r="D1988" s="293"/>
      <c r="E1988" s="28" t="s">
        <v>5642</v>
      </c>
      <c r="F1988" s="272"/>
      <c r="G1988" s="282"/>
      <c r="H1988" s="273"/>
      <c r="I1988" s="110" t="s">
        <v>1033</v>
      </c>
      <c r="J1988" s="111"/>
      <c r="K1988" s="104" t="s">
        <v>5641</v>
      </c>
      <c r="L1988" s="105"/>
      <c r="M1988" s="114" t="s">
        <v>3889</v>
      </c>
      <c r="N1988" s="115"/>
      <c r="O1988" s="116"/>
      <c r="P1988" s="183">
        <v>5</v>
      </c>
      <c r="Q1988" s="185"/>
      <c r="R1988" s="155">
        <v>9</v>
      </c>
      <c r="S1988" s="157"/>
      <c r="T1988" s="183">
        <v>7</v>
      </c>
      <c r="U1988" s="185"/>
      <c r="V1988" s="173" t="s">
        <v>4036</v>
      </c>
      <c r="W1988" s="174"/>
      <c r="X1988" s="255"/>
      <c r="Y1988" s="256"/>
      <c r="Z1988" s="257"/>
      <c r="AA1988" s="194"/>
      <c r="AB1988" s="195"/>
      <c r="AC1988" s="162"/>
      <c r="AD1988" s="163"/>
      <c r="AE1988" s="43"/>
      <c r="AF1988" s="167"/>
      <c r="AG1988" s="168"/>
      <c r="AH1988" s="169"/>
      <c r="AI1988" s="167"/>
      <c r="AJ1988" s="48"/>
      <c r="AK1988" s="15"/>
      <c r="AL1988" s="15"/>
    </row>
    <row r="1989" spans="1:38" ht="90" x14ac:dyDescent="0.3">
      <c r="A1989" s="230"/>
      <c r="B1989" s="290"/>
      <c r="C1989" s="345"/>
      <c r="D1989" s="291"/>
      <c r="E1989" s="28" t="s">
        <v>5643</v>
      </c>
      <c r="F1989" s="194"/>
      <c r="G1989" s="197"/>
      <c r="H1989" s="195"/>
      <c r="I1989" s="110" t="s">
        <v>1033</v>
      </c>
      <c r="J1989" s="111"/>
      <c r="K1989" s="146" t="s">
        <v>5641</v>
      </c>
      <c r="L1989" s="148"/>
      <c r="M1989" s="114" t="s">
        <v>2673</v>
      </c>
      <c r="N1989" s="115"/>
      <c r="O1989" s="116"/>
      <c r="P1989" s="183">
        <v>5</v>
      </c>
      <c r="Q1989" s="185"/>
      <c r="R1989" s="160">
        <v>9</v>
      </c>
      <c r="S1989" s="161"/>
      <c r="T1989" s="183">
        <v>7</v>
      </c>
      <c r="U1989" s="185"/>
      <c r="V1989" s="173" t="s">
        <v>2107</v>
      </c>
      <c r="W1989" s="174"/>
      <c r="X1989" s="227">
        <v>91</v>
      </c>
      <c r="Y1989" s="228"/>
      <c r="Z1989" s="229"/>
      <c r="AA1989" s="110" t="s">
        <v>1442</v>
      </c>
      <c r="AB1989" s="111"/>
      <c r="AC1989" s="212"/>
      <c r="AD1989" s="213"/>
      <c r="AE1989" s="43"/>
      <c r="AF1989" s="214"/>
      <c r="AG1989" s="215"/>
      <c r="AH1989" s="216"/>
      <c r="AI1989" s="167"/>
      <c r="AJ1989" s="48"/>
      <c r="AK1989" s="15"/>
      <c r="AL1989" s="15"/>
    </row>
    <row r="1990" spans="1:38" ht="75" x14ac:dyDescent="0.25">
      <c r="A1990" s="178"/>
      <c r="B1990" s="303" t="s">
        <v>5644</v>
      </c>
      <c r="C1990" s="344"/>
      <c r="D1990" s="304"/>
      <c r="E1990" s="28" t="s">
        <v>5645</v>
      </c>
      <c r="F1990" s="233" t="s">
        <v>1459</v>
      </c>
      <c r="G1990" s="305"/>
      <c r="H1990" s="234"/>
      <c r="I1990" s="110" t="s">
        <v>2510</v>
      </c>
      <c r="J1990" s="111"/>
      <c r="K1990" s="143" t="s">
        <v>5646</v>
      </c>
      <c r="L1990" s="145"/>
      <c r="M1990" s="114" t="s">
        <v>4835</v>
      </c>
      <c r="N1990" s="115"/>
      <c r="O1990" s="116"/>
      <c r="P1990" s="173" t="s">
        <v>5449</v>
      </c>
      <c r="Q1990" s="174"/>
      <c r="R1990" s="88" t="s">
        <v>1463</v>
      </c>
      <c r="S1990" s="89"/>
      <c r="T1990" s="183">
        <v>2</v>
      </c>
      <c r="U1990" s="185"/>
      <c r="V1990" s="180" t="s">
        <v>1396</v>
      </c>
      <c r="W1990" s="181"/>
      <c r="X1990" s="432" t="s">
        <v>1396</v>
      </c>
      <c r="Y1990" s="433"/>
      <c r="Z1990" s="434"/>
      <c r="AA1990" s="192" t="s">
        <v>5647</v>
      </c>
      <c r="AB1990" s="193"/>
      <c r="AC1990" s="171" t="s">
        <v>675</v>
      </c>
      <c r="AD1990" s="172"/>
      <c r="AE1990" s="24" t="s">
        <v>5649</v>
      </c>
      <c r="AF1990" s="303" t="s">
        <v>2811</v>
      </c>
      <c r="AG1990" s="344"/>
      <c r="AH1990" s="304"/>
      <c r="AI1990" s="167"/>
      <c r="AJ1990" s="48"/>
      <c r="AK1990" s="15"/>
      <c r="AL1990" s="15"/>
    </row>
    <row r="1991" spans="1:38" ht="60" x14ac:dyDescent="0.25">
      <c r="A1991" s="179"/>
      <c r="B1991" s="292"/>
      <c r="C1991" s="314"/>
      <c r="D1991" s="293"/>
      <c r="E1991" s="28" t="s">
        <v>5651</v>
      </c>
      <c r="F1991" s="235"/>
      <c r="G1991" s="270"/>
      <c r="H1991" s="236"/>
      <c r="I1991" s="110" t="s">
        <v>2510</v>
      </c>
      <c r="J1991" s="111"/>
      <c r="K1991" s="104" t="s">
        <v>5646</v>
      </c>
      <c r="L1991" s="105"/>
      <c r="M1991" s="114" t="s">
        <v>4835</v>
      </c>
      <c r="N1991" s="115"/>
      <c r="O1991" s="116"/>
      <c r="P1991" s="173" t="s">
        <v>5449</v>
      </c>
      <c r="Q1991" s="174"/>
      <c r="R1991" s="126" t="s">
        <v>1463</v>
      </c>
      <c r="S1991" s="127"/>
      <c r="T1991" s="183">
        <v>2</v>
      </c>
      <c r="U1991" s="185"/>
      <c r="V1991" s="180" t="s">
        <v>1396</v>
      </c>
      <c r="W1991" s="181"/>
      <c r="X1991" s="435"/>
      <c r="Y1991" s="436"/>
      <c r="Z1991" s="437"/>
      <c r="AA1991" s="194"/>
      <c r="AB1991" s="195"/>
      <c r="AC1991" s="162" t="s">
        <v>5648</v>
      </c>
      <c r="AD1991" s="163"/>
      <c r="AE1991" s="31" t="s">
        <v>848</v>
      </c>
      <c r="AF1991" s="292" t="s">
        <v>3401</v>
      </c>
      <c r="AG1991" s="314"/>
      <c r="AH1991" s="293"/>
      <c r="AI1991" s="167"/>
      <c r="AJ1991" s="48"/>
      <c r="AK1991" s="15"/>
      <c r="AL1991" s="15"/>
    </row>
    <row r="1992" spans="1:38" ht="60" x14ac:dyDescent="0.25">
      <c r="A1992" s="179"/>
      <c r="B1992" s="292"/>
      <c r="C1992" s="314"/>
      <c r="D1992" s="293"/>
      <c r="E1992" s="28" t="s">
        <v>5652</v>
      </c>
      <c r="F1992" s="235"/>
      <c r="G1992" s="270"/>
      <c r="H1992" s="236"/>
      <c r="I1992" s="110" t="s">
        <v>4798</v>
      </c>
      <c r="J1992" s="111"/>
      <c r="K1992" s="104" t="s">
        <v>5646</v>
      </c>
      <c r="L1992" s="105"/>
      <c r="M1992" s="114" t="s">
        <v>4103</v>
      </c>
      <c r="N1992" s="115"/>
      <c r="O1992" s="116"/>
      <c r="P1992" s="173" t="s">
        <v>5449</v>
      </c>
      <c r="Q1992" s="174"/>
      <c r="R1992" s="126" t="s">
        <v>1463</v>
      </c>
      <c r="S1992" s="127"/>
      <c r="T1992" s="183">
        <v>2</v>
      </c>
      <c r="U1992" s="185"/>
      <c r="V1992" s="180" t="s">
        <v>3334</v>
      </c>
      <c r="W1992" s="181"/>
      <c r="X1992" s="432" t="s">
        <v>1479</v>
      </c>
      <c r="Y1992" s="433"/>
      <c r="Z1992" s="434"/>
      <c r="AA1992" s="192" t="s">
        <v>989</v>
      </c>
      <c r="AB1992" s="193"/>
      <c r="AC1992" s="162"/>
      <c r="AD1992" s="163"/>
      <c r="AE1992" s="31" t="s">
        <v>1356</v>
      </c>
      <c r="AF1992" s="292"/>
      <c r="AG1992" s="314"/>
      <c r="AH1992" s="293"/>
      <c r="AI1992" s="167"/>
      <c r="AJ1992" s="48"/>
      <c r="AK1992" s="15"/>
      <c r="AL1992" s="15"/>
    </row>
    <row r="1993" spans="1:38" ht="60" x14ac:dyDescent="0.25">
      <c r="A1993" s="179"/>
      <c r="B1993" s="292"/>
      <c r="C1993" s="314"/>
      <c r="D1993" s="293"/>
      <c r="E1993" s="28" t="s">
        <v>5653</v>
      </c>
      <c r="F1993" s="235"/>
      <c r="G1993" s="270"/>
      <c r="H1993" s="236"/>
      <c r="I1993" s="110" t="s">
        <v>4798</v>
      </c>
      <c r="J1993" s="111"/>
      <c r="K1993" s="104" t="s">
        <v>5646</v>
      </c>
      <c r="L1993" s="105"/>
      <c r="M1993" s="114" t="s">
        <v>4103</v>
      </c>
      <c r="N1993" s="115"/>
      <c r="O1993" s="116"/>
      <c r="P1993" s="173" t="s">
        <v>5449</v>
      </c>
      <c r="Q1993" s="174"/>
      <c r="R1993" s="126" t="s">
        <v>1463</v>
      </c>
      <c r="S1993" s="127"/>
      <c r="T1993" s="183">
        <v>2</v>
      </c>
      <c r="U1993" s="185"/>
      <c r="V1993" s="180" t="s">
        <v>3334</v>
      </c>
      <c r="W1993" s="181"/>
      <c r="X1993" s="435"/>
      <c r="Y1993" s="436"/>
      <c r="Z1993" s="437"/>
      <c r="AA1993" s="194"/>
      <c r="AB1993" s="195"/>
      <c r="AC1993" s="162"/>
      <c r="AD1993" s="163"/>
      <c r="AE1993" s="31" t="s">
        <v>5650</v>
      </c>
      <c r="AF1993" s="292"/>
      <c r="AG1993" s="314"/>
      <c r="AH1993" s="293"/>
      <c r="AI1993" s="167"/>
      <c r="AJ1993" s="48"/>
      <c r="AK1993" s="15"/>
      <c r="AL1993" s="15"/>
    </row>
    <row r="1994" spans="1:38" ht="60" x14ac:dyDescent="0.25">
      <c r="A1994" s="179"/>
      <c r="B1994" s="292"/>
      <c r="C1994" s="314"/>
      <c r="D1994" s="293"/>
      <c r="E1994" s="28" t="s">
        <v>5654</v>
      </c>
      <c r="F1994" s="235"/>
      <c r="G1994" s="270"/>
      <c r="H1994" s="236"/>
      <c r="I1994" s="110" t="s">
        <v>5655</v>
      </c>
      <c r="J1994" s="111"/>
      <c r="K1994" s="104" t="s">
        <v>5646</v>
      </c>
      <c r="L1994" s="105"/>
      <c r="M1994" s="114" t="s">
        <v>5656</v>
      </c>
      <c r="N1994" s="115"/>
      <c r="O1994" s="116"/>
      <c r="P1994" s="173" t="s">
        <v>5449</v>
      </c>
      <c r="Q1994" s="174"/>
      <c r="R1994" s="126" t="s">
        <v>1463</v>
      </c>
      <c r="S1994" s="127"/>
      <c r="T1994" s="183">
        <v>2</v>
      </c>
      <c r="U1994" s="185"/>
      <c r="V1994" s="180" t="s">
        <v>4250</v>
      </c>
      <c r="W1994" s="181"/>
      <c r="X1994" s="186" t="s">
        <v>1488</v>
      </c>
      <c r="Y1994" s="187"/>
      <c r="Z1994" s="188"/>
      <c r="AA1994" s="192" t="s">
        <v>826</v>
      </c>
      <c r="AB1994" s="193"/>
      <c r="AC1994" s="162"/>
      <c r="AD1994" s="163"/>
      <c r="AE1994" s="31"/>
      <c r="AF1994" s="292"/>
      <c r="AG1994" s="314"/>
      <c r="AH1994" s="293"/>
      <c r="AI1994" s="167"/>
      <c r="AJ1994" s="48"/>
      <c r="AK1994" s="15"/>
      <c r="AL1994" s="15"/>
    </row>
    <row r="1995" spans="1:38" ht="60" x14ac:dyDescent="0.25">
      <c r="A1995" s="179"/>
      <c r="B1995" s="292"/>
      <c r="C1995" s="314"/>
      <c r="D1995" s="293"/>
      <c r="E1995" s="28" t="s">
        <v>5657</v>
      </c>
      <c r="F1995" s="235"/>
      <c r="G1995" s="270"/>
      <c r="H1995" s="236"/>
      <c r="I1995" s="110" t="s">
        <v>5655</v>
      </c>
      <c r="J1995" s="111"/>
      <c r="K1995" s="104" t="s">
        <v>5646</v>
      </c>
      <c r="L1995" s="105"/>
      <c r="M1995" s="114" t="s">
        <v>5656</v>
      </c>
      <c r="N1995" s="115"/>
      <c r="O1995" s="116"/>
      <c r="P1995" s="173" t="s">
        <v>5449</v>
      </c>
      <c r="Q1995" s="174"/>
      <c r="R1995" s="126" t="s">
        <v>1463</v>
      </c>
      <c r="S1995" s="127"/>
      <c r="T1995" s="183">
        <v>2</v>
      </c>
      <c r="U1995" s="185"/>
      <c r="V1995" s="180" t="s">
        <v>4250</v>
      </c>
      <c r="W1995" s="181"/>
      <c r="X1995" s="189"/>
      <c r="Y1995" s="190"/>
      <c r="Z1995" s="191"/>
      <c r="AA1995" s="194"/>
      <c r="AB1995" s="195"/>
      <c r="AC1995" s="162"/>
      <c r="AD1995" s="163"/>
      <c r="AE1995" s="31"/>
      <c r="AF1995" s="292"/>
      <c r="AG1995" s="314"/>
      <c r="AH1995" s="293"/>
      <c r="AI1995" s="167"/>
      <c r="AJ1995" s="48"/>
      <c r="AK1995" s="15"/>
      <c r="AL1995" s="15"/>
    </row>
    <row r="1996" spans="1:38" ht="60" x14ac:dyDescent="0.25">
      <c r="A1996" s="179"/>
      <c r="B1996" s="292"/>
      <c r="C1996" s="314"/>
      <c r="D1996" s="293"/>
      <c r="E1996" s="28" t="s">
        <v>5658</v>
      </c>
      <c r="F1996" s="235"/>
      <c r="G1996" s="270"/>
      <c r="H1996" s="236"/>
      <c r="I1996" s="110" t="s">
        <v>706</v>
      </c>
      <c r="J1996" s="111"/>
      <c r="K1996" s="104" t="s">
        <v>5646</v>
      </c>
      <c r="L1996" s="105"/>
      <c r="M1996" s="114" t="s">
        <v>3838</v>
      </c>
      <c r="N1996" s="115"/>
      <c r="O1996" s="116"/>
      <c r="P1996" s="173" t="s">
        <v>5449</v>
      </c>
      <c r="Q1996" s="174"/>
      <c r="R1996" s="126" t="s">
        <v>1463</v>
      </c>
      <c r="S1996" s="127"/>
      <c r="T1996" s="183">
        <v>2</v>
      </c>
      <c r="U1996" s="185"/>
      <c r="V1996" s="180" t="s">
        <v>1503</v>
      </c>
      <c r="W1996" s="181"/>
      <c r="X1996" s="186" t="s">
        <v>1496</v>
      </c>
      <c r="Y1996" s="187"/>
      <c r="Z1996" s="188"/>
      <c r="AA1996" s="192" t="s">
        <v>674</v>
      </c>
      <c r="AB1996" s="193"/>
      <c r="AC1996" s="162"/>
      <c r="AD1996" s="163"/>
      <c r="AE1996" s="31"/>
      <c r="AF1996" s="292"/>
      <c r="AG1996" s="314"/>
      <c r="AH1996" s="293"/>
      <c r="AI1996" s="167"/>
      <c r="AJ1996" s="48"/>
      <c r="AK1996" s="15"/>
      <c r="AL1996" s="15"/>
    </row>
    <row r="1997" spans="1:38" ht="60" x14ac:dyDescent="0.25">
      <c r="A1997" s="179"/>
      <c r="B1997" s="292"/>
      <c r="C1997" s="314"/>
      <c r="D1997" s="293"/>
      <c r="E1997" s="28" t="s">
        <v>5659</v>
      </c>
      <c r="F1997" s="235"/>
      <c r="G1997" s="270"/>
      <c r="H1997" s="236"/>
      <c r="I1997" s="110" t="s">
        <v>706</v>
      </c>
      <c r="J1997" s="111"/>
      <c r="K1997" s="104" t="s">
        <v>5646</v>
      </c>
      <c r="L1997" s="105"/>
      <c r="M1997" s="114" t="s">
        <v>3838</v>
      </c>
      <c r="N1997" s="115"/>
      <c r="O1997" s="116"/>
      <c r="P1997" s="173" t="s">
        <v>5449</v>
      </c>
      <c r="Q1997" s="174"/>
      <c r="R1997" s="126" t="s">
        <v>1463</v>
      </c>
      <c r="S1997" s="127"/>
      <c r="T1997" s="183">
        <v>2</v>
      </c>
      <c r="U1997" s="185"/>
      <c r="V1997" s="180" t="s">
        <v>1503</v>
      </c>
      <c r="W1997" s="181"/>
      <c r="X1997" s="189"/>
      <c r="Y1997" s="190"/>
      <c r="Z1997" s="191"/>
      <c r="AA1997" s="194"/>
      <c r="AB1997" s="195"/>
      <c r="AC1997" s="162"/>
      <c r="AD1997" s="163"/>
      <c r="AE1997" s="31"/>
      <c r="AF1997" s="292"/>
      <c r="AG1997" s="314"/>
      <c r="AH1997" s="293"/>
      <c r="AI1997" s="167"/>
      <c r="AJ1997" s="48"/>
      <c r="AK1997" s="15"/>
      <c r="AL1997" s="15"/>
    </row>
    <row r="1998" spans="1:38" ht="60" x14ac:dyDescent="0.25">
      <c r="A1998" s="179"/>
      <c r="B1998" s="292"/>
      <c r="C1998" s="314"/>
      <c r="D1998" s="293"/>
      <c r="E1998" s="28" t="s">
        <v>5660</v>
      </c>
      <c r="F1998" s="235"/>
      <c r="G1998" s="270"/>
      <c r="H1998" s="236"/>
      <c r="I1998" s="110" t="s">
        <v>768</v>
      </c>
      <c r="J1998" s="111"/>
      <c r="K1998" s="104" t="s">
        <v>5646</v>
      </c>
      <c r="L1998" s="105"/>
      <c r="M1998" s="114" t="s">
        <v>1465</v>
      </c>
      <c r="N1998" s="115"/>
      <c r="O1998" s="116"/>
      <c r="P1998" s="173" t="s">
        <v>5449</v>
      </c>
      <c r="Q1998" s="174"/>
      <c r="R1998" s="126" t="s">
        <v>1463</v>
      </c>
      <c r="S1998" s="127"/>
      <c r="T1998" s="183">
        <v>2</v>
      </c>
      <c r="U1998" s="185"/>
      <c r="V1998" s="180" t="s">
        <v>5661</v>
      </c>
      <c r="W1998" s="181"/>
      <c r="X1998" s="432" t="s">
        <v>1504</v>
      </c>
      <c r="Y1998" s="433"/>
      <c r="Z1998" s="434"/>
      <c r="AA1998" s="192" t="s">
        <v>688</v>
      </c>
      <c r="AB1998" s="193"/>
      <c r="AC1998" s="162"/>
      <c r="AD1998" s="163"/>
      <c r="AE1998" s="31"/>
      <c r="AF1998" s="292"/>
      <c r="AG1998" s="314"/>
      <c r="AH1998" s="293"/>
      <c r="AI1998" s="167"/>
      <c r="AJ1998" s="48"/>
      <c r="AK1998" s="15"/>
      <c r="AL1998" s="15"/>
    </row>
    <row r="1999" spans="1:38" ht="60" x14ac:dyDescent="0.25">
      <c r="A1999" s="179"/>
      <c r="B1999" s="292"/>
      <c r="C1999" s="314"/>
      <c r="D1999" s="293"/>
      <c r="E1999" s="28" t="s">
        <v>5662</v>
      </c>
      <c r="F1999" s="235"/>
      <c r="G1999" s="270"/>
      <c r="H1999" s="236"/>
      <c r="I1999" s="110" t="s">
        <v>768</v>
      </c>
      <c r="J1999" s="111"/>
      <c r="K1999" s="104" t="s">
        <v>5646</v>
      </c>
      <c r="L1999" s="105"/>
      <c r="M1999" s="114" t="s">
        <v>1465</v>
      </c>
      <c r="N1999" s="115"/>
      <c r="O1999" s="116"/>
      <c r="P1999" s="173" t="s">
        <v>5449</v>
      </c>
      <c r="Q1999" s="174"/>
      <c r="R1999" s="126" t="s">
        <v>1463</v>
      </c>
      <c r="S1999" s="127"/>
      <c r="T1999" s="183">
        <v>2</v>
      </c>
      <c r="U1999" s="185"/>
      <c r="V1999" s="180" t="s">
        <v>5661</v>
      </c>
      <c r="W1999" s="181"/>
      <c r="X1999" s="435"/>
      <c r="Y1999" s="436"/>
      <c r="Z1999" s="437"/>
      <c r="AA1999" s="194"/>
      <c r="AB1999" s="195"/>
      <c r="AC1999" s="162"/>
      <c r="AD1999" s="163"/>
      <c r="AE1999" s="31"/>
      <c r="AF1999" s="292"/>
      <c r="AG1999" s="314"/>
      <c r="AH1999" s="293"/>
      <c r="AI1999" s="167"/>
      <c r="AJ1999" s="48"/>
      <c r="AK1999" s="15"/>
      <c r="AL1999" s="15"/>
    </row>
    <row r="2000" spans="1:38" ht="60" x14ac:dyDescent="0.25">
      <c r="A2000" s="179"/>
      <c r="B2000" s="292"/>
      <c r="C2000" s="314"/>
      <c r="D2000" s="293"/>
      <c r="E2000" s="28" t="s">
        <v>5663</v>
      </c>
      <c r="F2000" s="235"/>
      <c r="G2000" s="270"/>
      <c r="H2000" s="236"/>
      <c r="I2000" s="110" t="s">
        <v>674</v>
      </c>
      <c r="J2000" s="111"/>
      <c r="K2000" s="104" t="s">
        <v>5646</v>
      </c>
      <c r="L2000" s="105"/>
      <c r="M2000" s="114" t="s">
        <v>1474</v>
      </c>
      <c r="N2000" s="115"/>
      <c r="O2000" s="116"/>
      <c r="P2000" s="173" t="s">
        <v>5449</v>
      </c>
      <c r="Q2000" s="174"/>
      <c r="R2000" s="126" t="s">
        <v>1463</v>
      </c>
      <c r="S2000" s="127"/>
      <c r="T2000" s="183">
        <v>2</v>
      </c>
      <c r="U2000" s="185"/>
      <c r="V2000" s="180" t="s">
        <v>5664</v>
      </c>
      <c r="W2000" s="181"/>
      <c r="X2000" s="432" t="s">
        <v>1512</v>
      </c>
      <c r="Y2000" s="433"/>
      <c r="Z2000" s="434"/>
      <c r="AA2000" s="192" t="s">
        <v>722</v>
      </c>
      <c r="AB2000" s="193"/>
      <c r="AC2000" s="162"/>
      <c r="AD2000" s="163"/>
      <c r="AE2000" s="31"/>
      <c r="AF2000" s="292"/>
      <c r="AG2000" s="314"/>
      <c r="AH2000" s="293"/>
      <c r="AI2000" s="167"/>
      <c r="AJ2000" s="48"/>
      <c r="AK2000" s="15"/>
      <c r="AL2000" s="15"/>
    </row>
    <row r="2001" spans="1:38" ht="60" x14ac:dyDescent="0.25">
      <c r="A2001" s="179"/>
      <c r="B2001" s="292"/>
      <c r="C2001" s="314"/>
      <c r="D2001" s="293"/>
      <c r="E2001" s="28" t="s">
        <v>5665</v>
      </c>
      <c r="F2001" s="235"/>
      <c r="G2001" s="270"/>
      <c r="H2001" s="236"/>
      <c r="I2001" s="110" t="s">
        <v>674</v>
      </c>
      <c r="J2001" s="111"/>
      <c r="K2001" s="104" t="s">
        <v>5646</v>
      </c>
      <c r="L2001" s="105"/>
      <c r="M2001" s="114" t="s">
        <v>1474</v>
      </c>
      <c r="N2001" s="115"/>
      <c r="O2001" s="116"/>
      <c r="P2001" s="173" t="s">
        <v>5449</v>
      </c>
      <c r="Q2001" s="174"/>
      <c r="R2001" s="126" t="s">
        <v>1463</v>
      </c>
      <c r="S2001" s="127"/>
      <c r="T2001" s="183">
        <v>2</v>
      </c>
      <c r="U2001" s="185"/>
      <c r="V2001" s="180" t="s">
        <v>5664</v>
      </c>
      <c r="W2001" s="181"/>
      <c r="X2001" s="435"/>
      <c r="Y2001" s="436"/>
      <c r="Z2001" s="437"/>
      <c r="AA2001" s="194"/>
      <c r="AB2001" s="195"/>
      <c r="AC2001" s="162"/>
      <c r="AD2001" s="163"/>
      <c r="AE2001" s="31"/>
      <c r="AF2001" s="292"/>
      <c r="AG2001" s="314"/>
      <c r="AH2001" s="293"/>
      <c r="AI2001" s="167"/>
      <c r="AJ2001" s="48"/>
      <c r="AK2001" s="15"/>
      <c r="AL2001" s="15"/>
    </row>
    <row r="2002" spans="1:38" ht="60" x14ac:dyDescent="0.25">
      <c r="A2002" s="179"/>
      <c r="B2002" s="292"/>
      <c r="C2002" s="314"/>
      <c r="D2002" s="293"/>
      <c r="E2002" s="28" t="s">
        <v>5666</v>
      </c>
      <c r="F2002" s="235"/>
      <c r="G2002" s="270"/>
      <c r="H2002" s="236"/>
      <c r="I2002" s="110" t="s">
        <v>2510</v>
      </c>
      <c r="J2002" s="111"/>
      <c r="K2002" s="104" t="s">
        <v>5646</v>
      </c>
      <c r="L2002" s="105"/>
      <c r="M2002" s="183">
        <v>15</v>
      </c>
      <c r="N2002" s="184"/>
      <c r="O2002" s="185"/>
      <c r="P2002" s="173" t="s">
        <v>5449</v>
      </c>
      <c r="Q2002" s="174"/>
      <c r="R2002" s="126" t="s">
        <v>1463</v>
      </c>
      <c r="S2002" s="127"/>
      <c r="T2002" s="183">
        <v>2</v>
      </c>
      <c r="U2002" s="185"/>
      <c r="V2002" s="180" t="s">
        <v>2121</v>
      </c>
      <c r="W2002" s="181"/>
      <c r="X2002" s="175" t="s">
        <v>5667</v>
      </c>
      <c r="Y2002" s="176"/>
      <c r="Z2002" s="177"/>
      <c r="AA2002" s="110" t="s">
        <v>1023</v>
      </c>
      <c r="AB2002" s="111"/>
      <c r="AC2002" s="162"/>
      <c r="AD2002" s="163"/>
      <c r="AE2002" s="31"/>
      <c r="AF2002" s="292"/>
      <c r="AG2002" s="314"/>
      <c r="AH2002" s="293"/>
      <c r="AI2002" s="167"/>
      <c r="AJ2002" s="48"/>
      <c r="AK2002" s="15"/>
      <c r="AL2002" s="15"/>
    </row>
    <row r="2003" spans="1:38" ht="60" x14ac:dyDescent="0.25">
      <c r="A2003" s="179"/>
      <c r="B2003" s="292"/>
      <c r="C2003" s="314"/>
      <c r="D2003" s="293"/>
      <c r="E2003" s="28" t="s">
        <v>5668</v>
      </c>
      <c r="F2003" s="235"/>
      <c r="G2003" s="270"/>
      <c r="H2003" s="236"/>
      <c r="I2003" s="110" t="s">
        <v>4798</v>
      </c>
      <c r="J2003" s="111"/>
      <c r="K2003" s="104" t="s">
        <v>5646</v>
      </c>
      <c r="L2003" s="105"/>
      <c r="M2003" s="183">
        <v>18</v>
      </c>
      <c r="N2003" s="184"/>
      <c r="O2003" s="185"/>
      <c r="P2003" s="173" t="s">
        <v>5449</v>
      </c>
      <c r="Q2003" s="174"/>
      <c r="R2003" s="126" t="s">
        <v>1463</v>
      </c>
      <c r="S2003" s="127"/>
      <c r="T2003" s="183">
        <v>2</v>
      </c>
      <c r="U2003" s="185"/>
      <c r="V2003" s="180" t="s">
        <v>5669</v>
      </c>
      <c r="W2003" s="181"/>
      <c r="X2003" s="175" t="s">
        <v>1484</v>
      </c>
      <c r="Y2003" s="176"/>
      <c r="Z2003" s="177"/>
      <c r="AA2003" s="110" t="s">
        <v>1023</v>
      </c>
      <c r="AB2003" s="111"/>
      <c r="AC2003" s="162"/>
      <c r="AD2003" s="163"/>
      <c r="AE2003" s="31"/>
      <c r="AF2003" s="292"/>
      <c r="AG2003" s="314"/>
      <c r="AH2003" s="293"/>
      <c r="AI2003" s="167"/>
      <c r="AJ2003" s="48"/>
      <c r="AK2003" s="15"/>
      <c r="AL2003" s="15"/>
    </row>
    <row r="2004" spans="1:38" ht="60" x14ac:dyDescent="0.25">
      <c r="A2004" s="179"/>
      <c r="B2004" s="292"/>
      <c r="C2004" s="314"/>
      <c r="D2004" s="293"/>
      <c r="E2004" s="28" t="s">
        <v>5670</v>
      </c>
      <c r="F2004" s="235"/>
      <c r="G2004" s="270"/>
      <c r="H2004" s="236"/>
      <c r="I2004" s="110" t="s">
        <v>5655</v>
      </c>
      <c r="J2004" s="111"/>
      <c r="K2004" s="104" t="s">
        <v>5646</v>
      </c>
      <c r="L2004" s="105"/>
      <c r="M2004" s="183">
        <v>24</v>
      </c>
      <c r="N2004" s="184"/>
      <c r="O2004" s="185"/>
      <c r="P2004" s="173" t="s">
        <v>5449</v>
      </c>
      <c r="Q2004" s="174"/>
      <c r="R2004" s="126" t="s">
        <v>1463</v>
      </c>
      <c r="S2004" s="127"/>
      <c r="T2004" s="183">
        <v>2</v>
      </c>
      <c r="U2004" s="185"/>
      <c r="V2004" s="180" t="s">
        <v>3231</v>
      </c>
      <c r="W2004" s="181"/>
      <c r="X2004" s="175" t="s">
        <v>1492</v>
      </c>
      <c r="Y2004" s="176"/>
      <c r="Z2004" s="177"/>
      <c r="AA2004" s="110" t="s">
        <v>842</v>
      </c>
      <c r="AB2004" s="111"/>
      <c r="AC2004" s="162"/>
      <c r="AD2004" s="163"/>
      <c r="AE2004" s="31"/>
      <c r="AF2004" s="292"/>
      <c r="AG2004" s="314"/>
      <c r="AH2004" s="293"/>
      <c r="AI2004" s="167"/>
      <c r="AJ2004" s="48"/>
      <c r="AK2004" s="15"/>
      <c r="AL2004" s="15"/>
    </row>
    <row r="2005" spans="1:38" ht="60" x14ac:dyDescent="0.25">
      <c r="A2005" s="179"/>
      <c r="B2005" s="292"/>
      <c r="C2005" s="314"/>
      <c r="D2005" s="293"/>
      <c r="E2005" s="28" t="s">
        <v>5671</v>
      </c>
      <c r="F2005" s="235"/>
      <c r="G2005" s="270"/>
      <c r="H2005" s="236"/>
      <c r="I2005" s="110" t="s">
        <v>706</v>
      </c>
      <c r="J2005" s="111"/>
      <c r="K2005" s="104" t="s">
        <v>5646</v>
      </c>
      <c r="L2005" s="105"/>
      <c r="M2005" s="183">
        <v>27</v>
      </c>
      <c r="N2005" s="184"/>
      <c r="O2005" s="185"/>
      <c r="P2005" s="173" t="s">
        <v>5449</v>
      </c>
      <c r="Q2005" s="174"/>
      <c r="R2005" s="126" t="s">
        <v>1463</v>
      </c>
      <c r="S2005" s="127"/>
      <c r="T2005" s="183">
        <v>2</v>
      </c>
      <c r="U2005" s="185"/>
      <c r="V2005" s="180" t="s">
        <v>5672</v>
      </c>
      <c r="W2005" s="181"/>
      <c r="X2005" s="175" t="s">
        <v>1500</v>
      </c>
      <c r="Y2005" s="176"/>
      <c r="Z2005" s="177"/>
      <c r="AA2005" s="110" t="s">
        <v>879</v>
      </c>
      <c r="AB2005" s="111"/>
      <c r="AC2005" s="162"/>
      <c r="AD2005" s="163"/>
      <c r="AE2005" s="31"/>
      <c r="AF2005" s="292"/>
      <c r="AG2005" s="314"/>
      <c r="AH2005" s="293"/>
      <c r="AI2005" s="167"/>
      <c r="AJ2005" s="48"/>
      <c r="AK2005" s="15"/>
      <c r="AL2005" s="15"/>
    </row>
    <row r="2006" spans="1:38" ht="60" x14ac:dyDescent="0.25">
      <c r="A2006" s="179"/>
      <c r="B2006" s="292"/>
      <c r="C2006" s="314"/>
      <c r="D2006" s="293"/>
      <c r="E2006" s="28" t="s">
        <v>5673</v>
      </c>
      <c r="F2006" s="235"/>
      <c r="G2006" s="270"/>
      <c r="H2006" s="236"/>
      <c r="I2006" s="110" t="s">
        <v>768</v>
      </c>
      <c r="J2006" s="111"/>
      <c r="K2006" s="104" t="s">
        <v>5646</v>
      </c>
      <c r="L2006" s="105"/>
      <c r="M2006" s="183">
        <v>33</v>
      </c>
      <c r="N2006" s="184"/>
      <c r="O2006" s="185"/>
      <c r="P2006" s="173" t="s">
        <v>5449</v>
      </c>
      <c r="Q2006" s="174"/>
      <c r="R2006" s="126" t="s">
        <v>1463</v>
      </c>
      <c r="S2006" s="127"/>
      <c r="T2006" s="183">
        <v>2</v>
      </c>
      <c r="U2006" s="185"/>
      <c r="V2006" s="180" t="s">
        <v>5674</v>
      </c>
      <c r="W2006" s="181"/>
      <c r="X2006" s="175" t="s">
        <v>1508</v>
      </c>
      <c r="Y2006" s="176"/>
      <c r="Z2006" s="177"/>
      <c r="AA2006" s="110" t="s">
        <v>879</v>
      </c>
      <c r="AB2006" s="111"/>
      <c r="AC2006" s="162"/>
      <c r="AD2006" s="163"/>
      <c r="AE2006" s="31"/>
      <c r="AF2006" s="292"/>
      <c r="AG2006" s="314"/>
      <c r="AH2006" s="293"/>
      <c r="AI2006" s="167"/>
      <c r="AJ2006" s="48"/>
      <c r="AK2006" s="15"/>
      <c r="AL2006" s="15"/>
    </row>
    <row r="2007" spans="1:38" ht="60" x14ac:dyDescent="0.25">
      <c r="A2007" s="230"/>
      <c r="B2007" s="290"/>
      <c r="C2007" s="345"/>
      <c r="D2007" s="291"/>
      <c r="E2007" s="28" t="s">
        <v>5675</v>
      </c>
      <c r="F2007" s="237"/>
      <c r="G2007" s="306"/>
      <c r="H2007" s="238"/>
      <c r="I2007" s="110" t="s">
        <v>674</v>
      </c>
      <c r="J2007" s="111"/>
      <c r="K2007" s="146" t="s">
        <v>5646</v>
      </c>
      <c r="L2007" s="148"/>
      <c r="M2007" s="183">
        <v>36</v>
      </c>
      <c r="N2007" s="184"/>
      <c r="O2007" s="185"/>
      <c r="P2007" s="173" t="s">
        <v>5449</v>
      </c>
      <c r="Q2007" s="174"/>
      <c r="R2007" s="117" t="s">
        <v>1463</v>
      </c>
      <c r="S2007" s="118"/>
      <c r="T2007" s="183">
        <v>2</v>
      </c>
      <c r="U2007" s="185"/>
      <c r="V2007" s="180" t="s">
        <v>5676</v>
      </c>
      <c r="W2007" s="181"/>
      <c r="X2007" s="175" t="s">
        <v>1344</v>
      </c>
      <c r="Y2007" s="176"/>
      <c r="Z2007" s="177"/>
      <c r="AA2007" s="110" t="s">
        <v>768</v>
      </c>
      <c r="AB2007" s="111"/>
      <c r="AC2007" s="212"/>
      <c r="AD2007" s="213"/>
      <c r="AE2007" s="31"/>
      <c r="AF2007" s="290"/>
      <c r="AG2007" s="345"/>
      <c r="AH2007" s="291"/>
      <c r="AI2007" s="167"/>
      <c r="AJ2007" s="48"/>
      <c r="AK2007" s="15"/>
      <c r="AL2007" s="15"/>
    </row>
    <row r="2008" spans="1:38" ht="75" x14ac:dyDescent="0.3">
      <c r="A2008" s="178"/>
      <c r="B2008" s="303" t="s">
        <v>5677</v>
      </c>
      <c r="C2008" s="344"/>
      <c r="D2008" s="304"/>
      <c r="E2008" s="28" t="s">
        <v>5678</v>
      </c>
      <c r="F2008" s="233" t="s">
        <v>5679</v>
      </c>
      <c r="G2008" s="305"/>
      <c r="H2008" s="234"/>
      <c r="I2008" s="110" t="s">
        <v>1140</v>
      </c>
      <c r="J2008" s="111"/>
      <c r="K2008" s="143" t="s">
        <v>5680</v>
      </c>
      <c r="L2008" s="145"/>
      <c r="M2008" s="183">
        <v>72</v>
      </c>
      <c r="N2008" s="184"/>
      <c r="O2008" s="185"/>
      <c r="P2008" s="173" t="s">
        <v>5681</v>
      </c>
      <c r="Q2008" s="174"/>
      <c r="R2008" s="112">
        <v>23</v>
      </c>
      <c r="S2008" s="113"/>
      <c r="T2008" s="183">
        <v>9</v>
      </c>
      <c r="U2008" s="185"/>
      <c r="V2008" s="173" t="s">
        <v>5682</v>
      </c>
      <c r="W2008" s="174"/>
      <c r="X2008" s="462"/>
      <c r="Y2008" s="463"/>
      <c r="Z2008" s="464"/>
      <c r="AA2008" s="460"/>
      <c r="AB2008" s="461"/>
      <c r="AC2008" s="171" t="s">
        <v>3194</v>
      </c>
      <c r="AD2008" s="172"/>
      <c r="AE2008" s="24" t="s">
        <v>5684</v>
      </c>
      <c r="AF2008" s="164"/>
      <c r="AG2008" s="165"/>
      <c r="AH2008" s="166"/>
      <c r="AI2008" s="167"/>
      <c r="AJ2008" s="48"/>
      <c r="AK2008" s="15"/>
      <c r="AL2008" s="15"/>
    </row>
    <row r="2009" spans="1:38" ht="60" x14ac:dyDescent="0.3">
      <c r="A2009" s="179"/>
      <c r="B2009" s="292"/>
      <c r="C2009" s="314"/>
      <c r="D2009" s="293"/>
      <c r="E2009" s="28" t="s">
        <v>5686</v>
      </c>
      <c r="F2009" s="235"/>
      <c r="G2009" s="270"/>
      <c r="H2009" s="236"/>
      <c r="I2009" s="110" t="s">
        <v>1140</v>
      </c>
      <c r="J2009" s="111"/>
      <c r="K2009" s="104" t="s">
        <v>5680</v>
      </c>
      <c r="L2009" s="105"/>
      <c r="M2009" s="183">
        <v>72</v>
      </c>
      <c r="N2009" s="184"/>
      <c r="O2009" s="185"/>
      <c r="P2009" s="173" t="s">
        <v>5681</v>
      </c>
      <c r="Q2009" s="174"/>
      <c r="R2009" s="155">
        <v>23</v>
      </c>
      <c r="S2009" s="157"/>
      <c r="T2009" s="183">
        <v>9</v>
      </c>
      <c r="U2009" s="185"/>
      <c r="V2009" s="173" t="s">
        <v>5682</v>
      </c>
      <c r="W2009" s="174"/>
      <c r="X2009" s="465"/>
      <c r="Y2009" s="466"/>
      <c r="Z2009" s="467"/>
      <c r="AA2009" s="460"/>
      <c r="AB2009" s="461"/>
      <c r="AC2009" s="162" t="s">
        <v>5683</v>
      </c>
      <c r="AD2009" s="163"/>
      <c r="AE2009" s="31" t="s">
        <v>1356</v>
      </c>
      <c r="AF2009" s="167"/>
      <c r="AG2009" s="168"/>
      <c r="AH2009" s="169"/>
      <c r="AI2009" s="167"/>
      <c r="AJ2009" s="48"/>
      <c r="AK2009" s="15"/>
      <c r="AL2009" s="15"/>
    </row>
    <row r="2010" spans="1:38" ht="60" x14ac:dyDescent="0.3">
      <c r="A2010" s="179"/>
      <c r="B2010" s="292"/>
      <c r="C2010" s="314"/>
      <c r="D2010" s="293"/>
      <c r="E2010" s="28" t="s">
        <v>5687</v>
      </c>
      <c r="F2010" s="235"/>
      <c r="G2010" s="270"/>
      <c r="H2010" s="236"/>
      <c r="I2010" s="110" t="s">
        <v>1140</v>
      </c>
      <c r="J2010" s="111"/>
      <c r="K2010" s="104" t="s">
        <v>5680</v>
      </c>
      <c r="L2010" s="105"/>
      <c r="M2010" s="183">
        <v>79</v>
      </c>
      <c r="N2010" s="184"/>
      <c r="O2010" s="185"/>
      <c r="P2010" s="173" t="s">
        <v>5681</v>
      </c>
      <c r="Q2010" s="174"/>
      <c r="R2010" s="155">
        <v>23</v>
      </c>
      <c r="S2010" s="157"/>
      <c r="T2010" s="183">
        <v>9</v>
      </c>
      <c r="U2010" s="185"/>
      <c r="V2010" s="173" t="s">
        <v>5688</v>
      </c>
      <c r="W2010" s="174"/>
      <c r="X2010" s="468"/>
      <c r="Y2010" s="469"/>
      <c r="Z2010" s="470"/>
      <c r="AA2010" s="460"/>
      <c r="AB2010" s="461"/>
      <c r="AC2010" s="162"/>
      <c r="AD2010" s="163"/>
      <c r="AE2010" s="31" t="s">
        <v>5685</v>
      </c>
      <c r="AF2010" s="167"/>
      <c r="AG2010" s="168"/>
      <c r="AH2010" s="169"/>
      <c r="AI2010" s="167"/>
      <c r="AJ2010" s="48"/>
      <c r="AK2010" s="15"/>
      <c r="AL2010" s="15"/>
    </row>
    <row r="2011" spans="1:38" ht="60" x14ac:dyDescent="0.3">
      <c r="A2011" s="179"/>
      <c r="B2011" s="292"/>
      <c r="C2011" s="314"/>
      <c r="D2011" s="293"/>
      <c r="E2011" s="28" t="s">
        <v>5689</v>
      </c>
      <c r="F2011" s="235"/>
      <c r="G2011" s="270"/>
      <c r="H2011" s="236"/>
      <c r="I2011" s="183">
        <v>8</v>
      </c>
      <c r="J2011" s="185"/>
      <c r="K2011" s="104" t="s">
        <v>5680</v>
      </c>
      <c r="L2011" s="105"/>
      <c r="M2011" s="183">
        <v>89</v>
      </c>
      <c r="N2011" s="184"/>
      <c r="O2011" s="185"/>
      <c r="P2011" s="173" t="s">
        <v>5681</v>
      </c>
      <c r="Q2011" s="174"/>
      <c r="R2011" s="155">
        <v>23</v>
      </c>
      <c r="S2011" s="157"/>
      <c r="T2011" s="183">
        <v>9</v>
      </c>
      <c r="U2011" s="185"/>
      <c r="V2011" s="173" t="s">
        <v>1994</v>
      </c>
      <c r="W2011" s="174"/>
      <c r="X2011" s="252">
        <v>129</v>
      </c>
      <c r="Y2011" s="253"/>
      <c r="Z2011" s="254"/>
      <c r="AA2011" s="233" t="s">
        <v>3575</v>
      </c>
      <c r="AB2011" s="234"/>
      <c r="AC2011" s="162"/>
      <c r="AD2011" s="163"/>
      <c r="AE2011" s="31"/>
      <c r="AF2011" s="167"/>
      <c r="AG2011" s="168"/>
      <c r="AH2011" s="169"/>
      <c r="AI2011" s="167"/>
      <c r="AJ2011" s="48"/>
      <c r="AK2011" s="15"/>
      <c r="AL2011" s="15"/>
    </row>
    <row r="2012" spans="1:38" ht="60" x14ac:dyDescent="0.3">
      <c r="A2012" s="179"/>
      <c r="B2012" s="292"/>
      <c r="C2012" s="314"/>
      <c r="D2012" s="293"/>
      <c r="E2012" s="28" t="s">
        <v>5690</v>
      </c>
      <c r="F2012" s="235"/>
      <c r="G2012" s="270"/>
      <c r="H2012" s="236"/>
      <c r="I2012" s="183">
        <v>8</v>
      </c>
      <c r="J2012" s="185"/>
      <c r="K2012" s="104" t="s">
        <v>5680</v>
      </c>
      <c r="L2012" s="105"/>
      <c r="M2012" s="183">
        <v>89</v>
      </c>
      <c r="N2012" s="184"/>
      <c r="O2012" s="185"/>
      <c r="P2012" s="173" t="s">
        <v>5681</v>
      </c>
      <c r="Q2012" s="174"/>
      <c r="R2012" s="155">
        <v>23</v>
      </c>
      <c r="S2012" s="157"/>
      <c r="T2012" s="183">
        <v>9</v>
      </c>
      <c r="U2012" s="185"/>
      <c r="V2012" s="173" t="s">
        <v>1994</v>
      </c>
      <c r="W2012" s="174"/>
      <c r="X2012" s="255"/>
      <c r="Y2012" s="256"/>
      <c r="Z2012" s="257"/>
      <c r="AA2012" s="237"/>
      <c r="AB2012" s="238"/>
      <c r="AC2012" s="162"/>
      <c r="AD2012" s="163"/>
      <c r="AE2012" s="31"/>
      <c r="AF2012" s="167"/>
      <c r="AG2012" s="168"/>
      <c r="AH2012" s="169"/>
      <c r="AI2012" s="167"/>
      <c r="AJ2012" s="48"/>
      <c r="AK2012" s="15"/>
      <c r="AL2012" s="15"/>
    </row>
    <row r="2013" spans="1:38" ht="60" x14ac:dyDescent="0.3">
      <c r="A2013" s="230"/>
      <c r="B2013" s="290"/>
      <c r="C2013" s="345"/>
      <c r="D2013" s="291"/>
      <c r="E2013" s="28" t="s">
        <v>5691</v>
      </c>
      <c r="F2013" s="237"/>
      <c r="G2013" s="306"/>
      <c r="H2013" s="238"/>
      <c r="I2013" s="183">
        <v>8</v>
      </c>
      <c r="J2013" s="185"/>
      <c r="K2013" s="146" t="s">
        <v>5680</v>
      </c>
      <c r="L2013" s="148"/>
      <c r="M2013" s="183">
        <v>98</v>
      </c>
      <c r="N2013" s="184"/>
      <c r="O2013" s="185"/>
      <c r="P2013" s="173" t="s">
        <v>5681</v>
      </c>
      <c r="Q2013" s="174"/>
      <c r="R2013" s="160">
        <v>23</v>
      </c>
      <c r="S2013" s="161"/>
      <c r="T2013" s="183">
        <v>9</v>
      </c>
      <c r="U2013" s="185"/>
      <c r="V2013" s="173" t="s">
        <v>5692</v>
      </c>
      <c r="W2013" s="174"/>
      <c r="X2013" s="227">
        <v>139</v>
      </c>
      <c r="Y2013" s="228"/>
      <c r="Z2013" s="229"/>
      <c r="AA2013" s="110" t="s">
        <v>1495</v>
      </c>
      <c r="AB2013" s="111"/>
      <c r="AC2013" s="212"/>
      <c r="AD2013" s="213"/>
      <c r="AE2013" s="31"/>
      <c r="AF2013" s="214"/>
      <c r="AG2013" s="215"/>
      <c r="AH2013" s="216"/>
      <c r="AI2013" s="214"/>
      <c r="AJ2013" s="48"/>
      <c r="AK2013" s="15"/>
      <c r="AL2013" s="15"/>
    </row>
    <row r="2014" spans="1:38" ht="75" x14ac:dyDescent="0.3">
      <c r="A2014" s="178"/>
      <c r="B2014" s="303" t="s">
        <v>5693</v>
      </c>
      <c r="C2014" s="344"/>
      <c r="D2014" s="304"/>
      <c r="E2014" s="28" t="s">
        <v>4223</v>
      </c>
      <c r="F2014" s="192" t="s">
        <v>4224</v>
      </c>
      <c r="G2014" s="196"/>
      <c r="H2014" s="193"/>
      <c r="I2014" s="183">
        <v>16</v>
      </c>
      <c r="J2014" s="185"/>
      <c r="K2014" s="88" t="s">
        <v>4225</v>
      </c>
      <c r="L2014" s="89"/>
      <c r="M2014" s="173" t="s">
        <v>4226</v>
      </c>
      <c r="N2014" s="276"/>
      <c r="O2014" s="174"/>
      <c r="P2014" s="183">
        <v>21</v>
      </c>
      <c r="Q2014" s="185"/>
      <c r="R2014" s="183">
        <v>61</v>
      </c>
      <c r="S2014" s="185"/>
      <c r="T2014" s="183">
        <v>6</v>
      </c>
      <c r="U2014" s="185"/>
      <c r="V2014" s="173" t="s">
        <v>4227</v>
      </c>
      <c r="W2014" s="174"/>
      <c r="X2014" s="252">
        <v>258</v>
      </c>
      <c r="Y2014" s="253"/>
      <c r="Z2014" s="254"/>
      <c r="AA2014" s="192" t="s">
        <v>1222</v>
      </c>
      <c r="AB2014" s="193"/>
      <c r="AC2014" s="223" t="s">
        <v>675</v>
      </c>
      <c r="AD2014" s="224"/>
      <c r="AE2014" s="24" t="s">
        <v>5696</v>
      </c>
      <c r="AF2014" s="164"/>
      <c r="AG2014" s="165"/>
      <c r="AH2014" s="166"/>
      <c r="AI2014" s="24" t="s">
        <v>4233</v>
      </c>
      <c r="AJ2014" s="48"/>
      <c r="AK2014" s="15"/>
      <c r="AL2014" s="15"/>
    </row>
    <row r="2015" spans="1:38" ht="75" x14ac:dyDescent="0.3">
      <c r="A2015" s="179"/>
      <c r="B2015" s="292"/>
      <c r="C2015" s="314"/>
      <c r="D2015" s="293"/>
      <c r="E2015" s="28" t="s">
        <v>4236</v>
      </c>
      <c r="F2015" s="194"/>
      <c r="G2015" s="197"/>
      <c r="H2015" s="195"/>
      <c r="I2015" s="183">
        <v>16</v>
      </c>
      <c r="J2015" s="185"/>
      <c r="K2015" s="117" t="s">
        <v>4225</v>
      </c>
      <c r="L2015" s="118"/>
      <c r="M2015" s="173" t="s">
        <v>4226</v>
      </c>
      <c r="N2015" s="276"/>
      <c r="O2015" s="174"/>
      <c r="P2015" s="183">
        <v>21</v>
      </c>
      <c r="Q2015" s="185"/>
      <c r="R2015" s="183">
        <v>61</v>
      </c>
      <c r="S2015" s="185"/>
      <c r="T2015" s="183">
        <v>6</v>
      </c>
      <c r="U2015" s="185"/>
      <c r="V2015" s="173" t="s">
        <v>4227</v>
      </c>
      <c r="W2015" s="174"/>
      <c r="X2015" s="255"/>
      <c r="Y2015" s="256"/>
      <c r="Z2015" s="257"/>
      <c r="AA2015" s="194"/>
      <c r="AB2015" s="195"/>
      <c r="AC2015" s="239" t="s">
        <v>5694</v>
      </c>
      <c r="AD2015" s="240"/>
      <c r="AE2015" s="31" t="s">
        <v>1356</v>
      </c>
      <c r="AF2015" s="167"/>
      <c r="AG2015" s="168"/>
      <c r="AH2015" s="169"/>
      <c r="AI2015" s="31" t="s">
        <v>5698</v>
      </c>
      <c r="AJ2015" s="48"/>
      <c r="AK2015" s="15"/>
      <c r="AL2015" s="15"/>
    </row>
    <row r="2016" spans="1:38" ht="75" x14ac:dyDescent="0.3">
      <c r="A2016" s="179"/>
      <c r="B2016" s="292"/>
      <c r="C2016" s="314"/>
      <c r="D2016" s="293"/>
      <c r="E2016" s="28" t="s">
        <v>5700</v>
      </c>
      <c r="F2016" s="192" t="s">
        <v>5701</v>
      </c>
      <c r="G2016" s="196"/>
      <c r="H2016" s="193"/>
      <c r="I2016" s="183">
        <v>26</v>
      </c>
      <c r="J2016" s="185"/>
      <c r="K2016" s="88" t="s">
        <v>5702</v>
      </c>
      <c r="L2016" s="89"/>
      <c r="M2016" s="285">
        <v>210</v>
      </c>
      <c r="N2016" s="400"/>
      <c r="O2016" s="286"/>
      <c r="P2016" s="183">
        <v>38</v>
      </c>
      <c r="Q2016" s="185"/>
      <c r="R2016" s="183">
        <v>95</v>
      </c>
      <c r="S2016" s="185"/>
      <c r="T2016" s="183">
        <v>6</v>
      </c>
      <c r="U2016" s="185"/>
      <c r="V2016" s="173" t="s">
        <v>5703</v>
      </c>
      <c r="W2016" s="174"/>
      <c r="X2016" s="252">
        <v>519</v>
      </c>
      <c r="Y2016" s="253"/>
      <c r="Z2016" s="254"/>
      <c r="AA2016" s="192" t="s">
        <v>826</v>
      </c>
      <c r="AB2016" s="193"/>
      <c r="AC2016" s="239" t="s">
        <v>677</v>
      </c>
      <c r="AD2016" s="240"/>
      <c r="AE2016" s="31" t="s">
        <v>5697</v>
      </c>
      <c r="AF2016" s="167"/>
      <c r="AG2016" s="168"/>
      <c r="AH2016" s="169"/>
      <c r="AI2016" s="31" t="s">
        <v>5699</v>
      </c>
      <c r="AJ2016" s="48"/>
      <c r="AK2016" s="15"/>
      <c r="AL2016" s="15"/>
    </row>
    <row r="2017" spans="1:38" ht="120" x14ac:dyDescent="0.3">
      <c r="A2017" s="179"/>
      <c r="B2017" s="292"/>
      <c r="C2017" s="314"/>
      <c r="D2017" s="293"/>
      <c r="E2017" s="28" t="s">
        <v>5704</v>
      </c>
      <c r="F2017" s="194"/>
      <c r="G2017" s="197"/>
      <c r="H2017" s="195"/>
      <c r="I2017" s="183">
        <v>26</v>
      </c>
      <c r="J2017" s="185"/>
      <c r="K2017" s="117" t="s">
        <v>5702</v>
      </c>
      <c r="L2017" s="118"/>
      <c r="M2017" s="285">
        <v>210</v>
      </c>
      <c r="N2017" s="400"/>
      <c r="O2017" s="286"/>
      <c r="P2017" s="183">
        <v>38</v>
      </c>
      <c r="Q2017" s="185"/>
      <c r="R2017" s="183">
        <v>95</v>
      </c>
      <c r="S2017" s="185"/>
      <c r="T2017" s="183">
        <v>6</v>
      </c>
      <c r="U2017" s="185"/>
      <c r="V2017" s="173" t="s">
        <v>5703</v>
      </c>
      <c r="W2017" s="174"/>
      <c r="X2017" s="255"/>
      <c r="Y2017" s="256"/>
      <c r="Z2017" s="257"/>
      <c r="AA2017" s="194"/>
      <c r="AB2017" s="195"/>
      <c r="AC2017" s="239" t="s">
        <v>678</v>
      </c>
      <c r="AD2017" s="240"/>
      <c r="AE2017" s="31"/>
      <c r="AF2017" s="167"/>
      <c r="AG2017" s="168"/>
      <c r="AH2017" s="169"/>
      <c r="AI2017" s="31" t="s">
        <v>4235</v>
      </c>
      <c r="AJ2017" s="48"/>
      <c r="AK2017" s="15"/>
      <c r="AL2017" s="15"/>
    </row>
    <row r="2018" spans="1:38" ht="75" x14ac:dyDescent="0.3">
      <c r="A2018" s="179"/>
      <c r="B2018" s="292"/>
      <c r="C2018" s="314"/>
      <c r="D2018" s="293"/>
      <c r="E2018" s="28" t="s">
        <v>5705</v>
      </c>
      <c r="F2018" s="233" t="s">
        <v>5706</v>
      </c>
      <c r="G2018" s="305"/>
      <c r="H2018" s="234"/>
      <c r="I2018" s="183">
        <v>38</v>
      </c>
      <c r="J2018" s="185"/>
      <c r="K2018" s="88" t="s">
        <v>5707</v>
      </c>
      <c r="L2018" s="89"/>
      <c r="M2018" s="285">
        <v>268</v>
      </c>
      <c r="N2018" s="400"/>
      <c r="O2018" s="286"/>
      <c r="P2018" s="183">
        <v>53</v>
      </c>
      <c r="Q2018" s="185"/>
      <c r="R2018" s="88">
        <v>121</v>
      </c>
      <c r="S2018" s="89"/>
      <c r="T2018" s="183">
        <v>6</v>
      </c>
      <c r="U2018" s="185"/>
      <c r="V2018" s="173" t="s">
        <v>1877</v>
      </c>
      <c r="W2018" s="174"/>
      <c r="X2018" s="252">
        <v>689</v>
      </c>
      <c r="Y2018" s="253"/>
      <c r="Z2018" s="254"/>
      <c r="AA2018" s="233" t="s">
        <v>758</v>
      </c>
      <c r="AB2018" s="234"/>
      <c r="AC2018" s="239" t="s">
        <v>5695</v>
      </c>
      <c r="AD2018" s="240"/>
      <c r="AE2018" s="31"/>
      <c r="AF2018" s="167"/>
      <c r="AG2018" s="168"/>
      <c r="AH2018" s="169"/>
      <c r="AI2018" s="31"/>
      <c r="AJ2018" s="48"/>
      <c r="AK2018" s="15"/>
      <c r="AL2018" s="15"/>
    </row>
    <row r="2019" spans="1:38" ht="75" x14ac:dyDescent="0.3">
      <c r="A2019" s="230"/>
      <c r="B2019" s="290"/>
      <c r="C2019" s="345"/>
      <c r="D2019" s="291"/>
      <c r="E2019" s="28" t="s">
        <v>5708</v>
      </c>
      <c r="F2019" s="237"/>
      <c r="G2019" s="306"/>
      <c r="H2019" s="238"/>
      <c r="I2019" s="183">
        <v>38</v>
      </c>
      <c r="J2019" s="185"/>
      <c r="K2019" s="117" t="s">
        <v>5707</v>
      </c>
      <c r="L2019" s="118"/>
      <c r="M2019" s="285">
        <v>268</v>
      </c>
      <c r="N2019" s="400"/>
      <c r="O2019" s="286"/>
      <c r="P2019" s="183">
        <v>53</v>
      </c>
      <c r="Q2019" s="185"/>
      <c r="R2019" s="117">
        <v>121</v>
      </c>
      <c r="S2019" s="118"/>
      <c r="T2019" s="183">
        <v>6</v>
      </c>
      <c r="U2019" s="185"/>
      <c r="V2019" s="173" t="s">
        <v>1877</v>
      </c>
      <c r="W2019" s="174"/>
      <c r="X2019" s="255"/>
      <c r="Y2019" s="256"/>
      <c r="Z2019" s="257"/>
      <c r="AA2019" s="237"/>
      <c r="AB2019" s="238"/>
      <c r="AC2019" s="225"/>
      <c r="AD2019" s="226"/>
      <c r="AE2019" s="31"/>
      <c r="AF2019" s="214"/>
      <c r="AG2019" s="215"/>
      <c r="AH2019" s="216"/>
      <c r="AI2019" s="31"/>
      <c r="AJ2019" s="48"/>
      <c r="AK2019" s="15"/>
      <c r="AL2019" s="15"/>
    </row>
    <row r="2020" spans="1:38" ht="75" x14ac:dyDescent="0.3">
      <c r="A2020" s="178"/>
      <c r="B2020" s="303" t="s">
        <v>5709</v>
      </c>
      <c r="C2020" s="344"/>
      <c r="D2020" s="304"/>
      <c r="E2020" s="28" t="s">
        <v>5710</v>
      </c>
      <c r="F2020" s="192" t="s">
        <v>5711</v>
      </c>
      <c r="G2020" s="196"/>
      <c r="H2020" s="193"/>
      <c r="I2020" s="110" t="s">
        <v>1985</v>
      </c>
      <c r="J2020" s="111"/>
      <c r="K2020" s="143" t="s">
        <v>5593</v>
      </c>
      <c r="L2020" s="145"/>
      <c r="M2020" s="183">
        <v>68</v>
      </c>
      <c r="N2020" s="184"/>
      <c r="O2020" s="185"/>
      <c r="P2020" s="114" t="s">
        <v>989</v>
      </c>
      <c r="Q2020" s="116"/>
      <c r="R2020" s="112">
        <v>9</v>
      </c>
      <c r="S2020" s="113"/>
      <c r="T2020" s="183">
        <v>8</v>
      </c>
      <c r="U2020" s="185"/>
      <c r="V2020" s="173" t="s">
        <v>5712</v>
      </c>
      <c r="W2020" s="174"/>
      <c r="X2020" s="241">
        <v>99</v>
      </c>
      <c r="Y2020" s="242"/>
      <c r="Z2020" s="243"/>
      <c r="AA2020" s="192" t="s">
        <v>1087</v>
      </c>
      <c r="AB2020" s="193"/>
      <c r="AC2020" s="171" t="s">
        <v>3194</v>
      </c>
      <c r="AD2020" s="172"/>
      <c r="AE2020" s="178"/>
      <c r="AF2020" s="164"/>
      <c r="AG2020" s="165"/>
      <c r="AH2020" s="166"/>
      <c r="AI2020" s="164"/>
      <c r="AJ2020" s="48"/>
      <c r="AK2020" s="15"/>
      <c r="AL2020" s="15"/>
    </row>
    <row r="2021" spans="1:38" ht="75" x14ac:dyDescent="0.3">
      <c r="A2021" s="179"/>
      <c r="B2021" s="292"/>
      <c r="C2021" s="314"/>
      <c r="D2021" s="293"/>
      <c r="E2021" s="28" t="s">
        <v>5714</v>
      </c>
      <c r="F2021" s="194"/>
      <c r="G2021" s="197"/>
      <c r="H2021" s="195"/>
      <c r="I2021" s="110" t="s">
        <v>1985</v>
      </c>
      <c r="J2021" s="111"/>
      <c r="K2021" s="146" t="s">
        <v>5593</v>
      </c>
      <c r="L2021" s="148"/>
      <c r="M2021" s="183">
        <v>68</v>
      </c>
      <c r="N2021" s="184"/>
      <c r="O2021" s="185"/>
      <c r="P2021" s="114" t="s">
        <v>989</v>
      </c>
      <c r="Q2021" s="116"/>
      <c r="R2021" s="160">
        <v>9</v>
      </c>
      <c r="S2021" s="161"/>
      <c r="T2021" s="183">
        <v>8</v>
      </c>
      <c r="U2021" s="185"/>
      <c r="V2021" s="173" t="s">
        <v>5712</v>
      </c>
      <c r="W2021" s="174"/>
      <c r="X2021" s="244"/>
      <c r="Y2021" s="245"/>
      <c r="Z2021" s="246"/>
      <c r="AA2021" s="194"/>
      <c r="AB2021" s="195"/>
      <c r="AC2021" s="162" t="s">
        <v>5713</v>
      </c>
      <c r="AD2021" s="163"/>
      <c r="AE2021" s="179"/>
      <c r="AF2021" s="167"/>
      <c r="AG2021" s="168"/>
      <c r="AH2021" s="169"/>
      <c r="AI2021" s="167"/>
      <c r="AJ2021" s="48"/>
      <c r="AK2021" s="15"/>
      <c r="AL2021" s="15"/>
    </row>
    <row r="2022" spans="1:38" ht="75" x14ac:dyDescent="0.3">
      <c r="A2022" s="179"/>
      <c r="B2022" s="292"/>
      <c r="C2022" s="314"/>
      <c r="D2022" s="293"/>
      <c r="E2022" s="28" t="s">
        <v>5715</v>
      </c>
      <c r="F2022" s="192" t="s">
        <v>5711</v>
      </c>
      <c r="G2022" s="196"/>
      <c r="H2022" s="193"/>
      <c r="I2022" s="110" t="s">
        <v>1336</v>
      </c>
      <c r="J2022" s="111"/>
      <c r="K2022" s="143" t="s">
        <v>5593</v>
      </c>
      <c r="L2022" s="145"/>
      <c r="M2022" s="183">
        <v>73</v>
      </c>
      <c r="N2022" s="184"/>
      <c r="O2022" s="185"/>
      <c r="P2022" s="114" t="s">
        <v>989</v>
      </c>
      <c r="Q2022" s="116"/>
      <c r="R2022" s="88" t="s">
        <v>3532</v>
      </c>
      <c r="S2022" s="89"/>
      <c r="T2022" s="183">
        <v>8</v>
      </c>
      <c r="U2022" s="185"/>
      <c r="V2022" s="173" t="s">
        <v>2091</v>
      </c>
      <c r="W2022" s="174"/>
      <c r="X2022" s="241">
        <v>102</v>
      </c>
      <c r="Y2022" s="242"/>
      <c r="Z2022" s="243"/>
      <c r="AA2022" s="192" t="s">
        <v>4094</v>
      </c>
      <c r="AB2022" s="193"/>
      <c r="AC2022" s="162"/>
      <c r="AD2022" s="163"/>
      <c r="AE2022" s="179"/>
      <c r="AF2022" s="167"/>
      <c r="AG2022" s="168"/>
      <c r="AH2022" s="169"/>
      <c r="AI2022" s="167"/>
      <c r="AJ2022" s="48"/>
      <c r="AK2022" s="15"/>
      <c r="AL2022" s="15"/>
    </row>
    <row r="2023" spans="1:38" ht="75" x14ac:dyDescent="0.3">
      <c r="A2023" s="179"/>
      <c r="B2023" s="292"/>
      <c r="C2023" s="314"/>
      <c r="D2023" s="293"/>
      <c r="E2023" s="28" t="s">
        <v>5716</v>
      </c>
      <c r="F2023" s="194"/>
      <c r="G2023" s="197"/>
      <c r="H2023" s="195"/>
      <c r="I2023" s="110" t="s">
        <v>1336</v>
      </c>
      <c r="J2023" s="111"/>
      <c r="K2023" s="146" t="s">
        <v>5593</v>
      </c>
      <c r="L2023" s="148"/>
      <c r="M2023" s="183">
        <v>73</v>
      </c>
      <c r="N2023" s="184"/>
      <c r="O2023" s="185"/>
      <c r="P2023" s="114" t="s">
        <v>989</v>
      </c>
      <c r="Q2023" s="116"/>
      <c r="R2023" s="126" t="s">
        <v>3532</v>
      </c>
      <c r="S2023" s="127"/>
      <c r="T2023" s="183">
        <v>8</v>
      </c>
      <c r="U2023" s="185"/>
      <c r="V2023" s="173" t="s">
        <v>2091</v>
      </c>
      <c r="W2023" s="174"/>
      <c r="X2023" s="244"/>
      <c r="Y2023" s="245"/>
      <c r="Z2023" s="246"/>
      <c r="AA2023" s="194"/>
      <c r="AB2023" s="195"/>
      <c r="AC2023" s="162"/>
      <c r="AD2023" s="163"/>
      <c r="AE2023" s="179"/>
      <c r="AF2023" s="167"/>
      <c r="AG2023" s="168"/>
      <c r="AH2023" s="169"/>
      <c r="AI2023" s="167"/>
      <c r="AJ2023" s="48"/>
      <c r="AK2023" s="15"/>
      <c r="AL2023" s="15"/>
    </row>
    <row r="2024" spans="1:38" ht="75" x14ac:dyDescent="0.3">
      <c r="A2024" s="179"/>
      <c r="B2024" s="292"/>
      <c r="C2024" s="314"/>
      <c r="D2024" s="293"/>
      <c r="E2024" s="28" t="s">
        <v>5717</v>
      </c>
      <c r="F2024" s="192" t="s">
        <v>5711</v>
      </c>
      <c r="G2024" s="196"/>
      <c r="H2024" s="193"/>
      <c r="I2024" s="110" t="s">
        <v>1759</v>
      </c>
      <c r="J2024" s="111"/>
      <c r="K2024" s="143" t="s">
        <v>5593</v>
      </c>
      <c r="L2024" s="145"/>
      <c r="M2024" s="183">
        <v>73</v>
      </c>
      <c r="N2024" s="184"/>
      <c r="O2024" s="185"/>
      <c r="P2024" s="114" t="s">
        <v>989</v>
      </c>
      <c r="Q2024" s="116"/>
      <c r="R2024" s="126" t="s">
        <v>3532</v>
      </c>
      <c r="S2024" s="127"/>
      <c r="T2024" s="183">
        <v>8</v>
      </c>
      <c r="U2024" s="185"/>
      <c r="V2024" s="173" t="s">
        <v>2091</v>
      </c>
      <c r="W2024" s="174"/>
      <c r="X2024" s="241">
        <v>105</v>
      </c>
      <c r="Y2024" s="242"/>
      <c r="Z2024" s="243"/>
      <c r="AA2024" s="192" t="s">
        <v>4070</v>
      </c>
      <c r="AB2024" s="193"/>
      <c r="AC2024" s="162"/>
      <c r="AD2024" s="163"/>
      <c r="AE2024" s="179"/>
      <c r="AF2024" s="167"/>
      <c r="AG2024" s="168"/>
      <c r="AH2024" s="169"/>
      <c r="AI2024" s="167"/>
      <c r="AJ2024" s="48"/>
      <c r="AK2024" s="15"/>
      <c r="AL2024" s="15"/>
    </row>
    <row r="2025" spans="1:38" ht="75" x14ac:dyDescent="0.3">
      <c r="A2025" s="179"/>
      <c r="B2025" s="292"/>
      <c r="C2025" s="314"/>
      <c r="D2025" s="293"/>
      <c r="E2025" s="28" t="s">
        <v>5718</v>
      </c>
      <c r="F2025" s="194"/>
      <c r="G2025" s="197"/>
      <c r="H2025" s="195"/>
      <c r="I2025" s="110" t="s">
        <v>1759</v>
      </c>
      <c r="J2025" s="111"/>
      <c r="K2025" s="146" t="s">
        <v>5593</v>
      </c>
      <c r="L2025" s="148"/>
      <c r="M2025" s="183">
        <v>73</v>
      </c>
      <c r="N2025" s="184"/>
      <c r="O2025" s="185"/>
      <c r="P2025" s="114" t="s">
        <v>989</v>
      </c>
      <c r="Q2025" s="116"/>
      <c r="R2025" s="117" t="s">
        <v>3532</v>
      </c>
      <c r="S2025" s="118"/>
      <c r="T2025" s="183">
        <v>8</v>
      </c>
      <c r="U2025" s="185"/>
      <c r="V2025" s="173" t="s">
        <v>2091</v>
      </c>
      <c r="W2025" s="174"/>
      <c r="X2025" s="244"/>
      <c r="Y2025" s="245"/>
      <c r="Z2025" s="246"/>
      <c r="AA2025" s="194"/>
      <c r="AB2025" s="195"/>
      <c r="AC2025" s="162"/>
      <c r="AD2025" s="163"/>
      <c r="AE2025" s="179"/>
      <c r="AF2025" s="167"/>
      <c r="AG2025" s="168"/>
      <c r="AH2025" s="169"/>
      <c r="AI2025" s="167"/>
      <c r="AJ2025" s="48"/>
      <c r="AK2025" s="15"/>
      <c r="AL2025" s="15"/>
    </row>
    <row r="2026" spans="1:38" ht="75" x14ac:dyDescent="0.3">
      <c r="A2026" s="179"/>
      <c r="B2026" s="292"/>
      <c r="C2026" s="314"/>
      <c r="D2026" s="293"/>
      <c r="E2026" s="28" t="s">
        <v>5719</v>
      </c>
      <c r="F2026" s="192" t="s">
        <v>5720</v>
      </c>
      <c r="G2026" s="196"/>
      <c r="H2026" s="193"/>
      <c r="I2026" s="110" t="s">
        <v>1124</v>
      </c>
      <c r="J2026" s="111"/>
      <c r="K2026" s="143" t="s">
        <v>2152</v>
      </c>
      <c r="L2026" s="145"/>
      <c r="M2026" s="183">
        <v>73</v>
      </c>
      <c r="N2026" s="184"/>
      <c r="O2026" s="185"/>
      <c r="P2026" s="114" t="s">
        <v>3646</v>
      </c>
      <c r="Q2026" s="116"/>
      <c r="R2026" s="183">
        <v>20</v>
      </c>
      <c r="S2026" s="185"/>
      <c r="T2026" s="183">
        <v>8</v>
      </c>
      <c r="U2026" s="185"/>
      <c r="V2026" s="180" t="s">
        <v>5721</v>
      </c>
      <c r="W2026" s="181"/>
      <c r="X2026" s="241">
        <v>108</v>
      </c>
      <c r="Y2026" s="242"/>
      <c r="Z2026" s="243"/>
      <c r="AA2026" s="192" t="s">
        <v>5722</v>
      </c>
      <c r="AB2026" s="193"/>
      <c r="AC2026" s="162"/>
      <c r="AD2026" s="163"/>
      <c r="AE2026" s="179"/>
      <c r="AF2026" s="167"/>
      <c r="AG2026" s="168"/>
      <c r="AH2026" s="169"/>
      <c r="AI2026" s="167"/>
      <c r="AJ2026" s="48"/>
      <c r="AK2026" s="15"/>
      <c r="AL2026" s="15"/>
    </row>
    <row r="2027" spans="1:38" ht="75" x14ac:dyDescent="0.3">
      <c r="A2027" s="179"/>
      <c r="B2027" s="292"/>
      <c r="C2027" s="314"/>
      <c r="D2027" s="293"/>
      <c r="E2027" s="28" t="s">
        <v>5723</v>
      </c>
      <c r="F2027" s="194"/>
      <c r="G2027" s="197"/>
      <c r="H2027" s="195"/>
      <c r="I2027" s="110" t="s">
        <v>1124</v>
      </c>
      <c r="J2027" s="111"/>
      <c r="K2027" s="146" t="s">
        <v>2152</v>
      </c>
      <c r="L2027" s="148"/>
      <c r="M2027" s="183">
        <v>73</v>
      </c>
      <c r="N2027" s="184"/>
      <c r="O2027" s="185"/>
      <c r="P2027" s="114" t="s">
        <v>3646</v>
      </c>
      <c r="Q2027" s="116"/>
      <c r="R2027" s="183">
        <v>20</v>
      </c>
      <c r="S2027" s="185"/>
      <c r="T2027" s="183">
        <v>8</v>
      </c>
      <c r="U2027" s="185"/>
      <c r="V2027" s="180" t="s">
        <v>5721</v>
      </c>
      <c r="W2027" s="181"/>
      <c r="X2027" s="244"/>
      <c r="Y2027" s="245"/>
      <c r="Z2027" s="246"/>
      <c r="AA2027" s="194"/>
      <c r="AB2027" s="195"/>
      <c r="AC2027" s="162"/>
      <c r="AD2027" s="163"/>
      <c r="AE2027" s="179"/>
      <c r="AF2027" s="167"/>
      <c r="AG2027" s="168"/>
      <c r="AH2027" s="169"/>
      <c r="AI2027" s="167"/>
      <c r="AJ2027" s="48"/>
      <c r="AK2027" s="15"/>
      <c r="AL2027" s="15"/>
    </row>
    <row r="2028" spans="1:38" ht="75" x14ac:dyDescent="0.3">
      <c r="A2028" s="179"/>
      <c r="B2028" s="292"/>
      <c r="C2028" s="314"/>
      <c r="D2028" s="293"/>
      <c r="E2028" s="28" t="s">
        <v>5724</v>
      </c>
      <c r="F2028" s="124" t="s">
        <v>5711</v>
      </c>
      <c r="G2028" s="182"/>
      <c r="H2028" s="125"/>
      <c r="I2028" s="110" t="s">
        <v>1985</v>
      </c>
      <c r="J2028" s="111"/>
      <c r="K2028" s="110" t="s">
        <v>5593</v>
      </c>
      <c r="L2028" s="111"/>
      <c r="M2028" s="183">
        <v>75</v>
      </c>
      <c r="N2028" s="184"/>
      <c r="O2028" s="185"/>
      <c r="P2028" s="114" t="s">
        <v>989</v>
      </c>
      <c r="Q2028" s="116"/>
      <c r="R2028" s="183">
        <v>9</v>
      </c>
      <c r="S2028" s="185"/>
      <c r="T2028" s="183">
        <v>8</v>
      </c>
      <c r="U2028" s="185"/>
      <c r="V2028" s="173" t="s">
        <v>1318</v>
      </c>
      <c r="W2028" s="174"/>
      <c r="X2028" s="227">
        <v>99</v>
      </c>
      <c r="Y2028" s="228"/>
      <c r="Z2028" s="229"/>
      <c r="AA2028" s="110" t="s">
        <v>5725</v>
      </c>
      <c r="AB2028" s="111"/>
      <c r="AC2028" s="162"/>
      <c r="AD2028" s="163"/>
      <c r="AE2028" s="179"/>
      <c r="AF2028" s="167"/>
      <c r="AG2028" s="168"/>
      <c r="AH2028" s="169"/>
      <c r="AI2028" s="167"/>
      <c r="AJ2028" s="48"/>
      <c r="AK2028" s="15"/>
      <c r="AL2028" s="15"/>
    </row>
    <row r="2029" spans="1:38" ht="75" x14ac:dyDescent="0.3">
      <c r="A2029" s="179"/>
      <c r="B2029" s="292"/>
      <c r="C2029" s="314"/>
      <c r="D2029" s="293"/>
      <c r="E2029" s="28" t="s">
        <v>5726</v>
      </c>
      <c r="F2029" s="124" t="s">
        <v>5711</v>
      </c>
      <c r="G2029" s="182"/>
      <c r="H2029" s="125"/>
      <c r="I2029" s="110" t="s">
        <v>1336</v>
      </c>
      <c r="J2029" s="111"/>
      <c r="K2029" s="110" t="s">
        <v>5593</v>
      </c>
      <c r="L2029" s="111"/>
      <c r="M2029" s="183">
        <v>80</v>
      </c>
      <c r="N2029" s="184"/>
      <c r="O2029" s="185"/>
      <c r="P2029" s="114" t="s">
        <v>989</v>
      </c>
      <c r="Q2029" s="116"/>
      <c r="R2029" s="88" t="s">
        <v>3532</v>
      </c>
      <c r="S2029" s="89"/>
      <c r="T2029" s="183">
        <v>8</v>
      </c>
      <c r="U2029" s="185"/>
      <c r="V2029" s="173" t="s">
        <v>5727</v>
      </c>
      <c r="W2029" s="174"/>
      <c r="X2029" s="227">
        <v>102</v>
      </c>
      <c r="Y2029" s="228"/>
      <c r="Z2029" s="229"/>
      <c r="AA2029" s="124" t="s">
        <v>5728</v>
      </c>
      <c r="AB2029" s="125"/>
      <c r="AC2029" s="162"/>
      <c r="AD2029" s="163"/>
      <c r="AE2029" s="179"/>
      <c r="AF2029" s="167"/>
      <c r="AG2029" s="168"/>
      <c r="AH2029" s="169"/>
      <c r="AI2029" s="167"/>
      <c r="AJ2029" s="48"/>
      <c r="AK2029" s="15"/>
      <c r="AL2029" s="15"/>
    </row>
    <row r="2030" spans="1:38" ht="75" x14ac:dyDescent="0.3">
      <c r="A2030" s="179"/>
      <c r="B2030" s="292"/>
      <c r="C2030" s="314"/>
      <c r="D2030" s="293"/>
      <c r="E2030" s="28" t="s">
        <v>5729</v>
      </c>
      <c r="F2030" s="124" t="s">
        <v>5711</v>
      </c>
      <c r="G2030" s="182"/>
      <c r="H2030" s="125"/>
      <c r="I2030" s="110" t="s">
        <v>1759</v>
      </c>
      <c r="J2030" s="111"/>
      <c r="K2030" s="110" t="s">
        <v>5593</v>
      </c>
      <c r="L2030" s="111"/>
      <c r="M2030" s="183">
        <v>80</v>
      </c>
      <c r="N2030" s="184"/>
      <c r="O2030" s="185"/>
      <c r="P2030" s="114" t="s">
        <v>989</v>
      </c>
      <c r="Q2030" s="116"/>
      <c r="R2030" s="117" t="s">
        <v>3532</v>
      </c>
      <c r="S2030" s="118"/>
      <c r="T2030" s="183">
        <v>8</v>
      </c>
      <c r="U2030" s="185"/>
      <c r="V2030" s="173" t="s">
        <v>5727</v>
      </c>
      <c r="W2030" s="174"/>
      <c r="X2030" s="227">
        <v>105</v>
      </c>
      <c r="Y2030" s="228"/>
      <c r="Z2030" s="229"/>
      <c r="AA2030" s="110" t="s">
        <v>5250</v>
      </c>
      <c r="AB2030" s="111"/>
      <c r="AC2030" s="162"/>
      <c r="AD2030" s="163"/>
      <c r="AE2030" s="179"/>
      <c r="AF2030" s="167"/>
      <c r="AG2030" s="168"/>
      <c r="AH2030" s="169"/>
      <c r="AI2030" s="167"/>
      <c r="AJ2030" s="48"/>
      <c r="AK2030" s="15"/>
      <c r="AL2030" s="15"/>
    </row>
    <row r="2031" spans="1:38" ht="75" x14ac:dyDescent="0.3">
      <c r="A2031" s="230"/>
      <c r="B2031" s="290"/>
      <c r="C2031" s="345"/>
      <c r="D2031" s="291"/>
      <c r="E2031" s="28" t="s">
        <v>5730</v>
      </c>
      <c r="F2031" s="124" t="s">
        <v>5720</v>
      </c>
      <c r="G2031" s="182"/>
      <c r="H2031" s="125"/>
      <c r="I2031" s="110" t="s">
        <v>1124</v>
      </c>
      <c r="J2031" s="111"/>
      <c r="K2031" s="110" t="s">
        <v>2152</v>
      </c>
      <c r="L2031" s="111"/>
      <c r="M2031" s="183">
        <v>80</v>
      </c>
      <c r="N2031" s="184"/>
      <c r="O2031" s="185"/>
      <c r="P2031" s="114" t="s">
        <v>3646</v>
      </c>
      <c r="Q2031" s="116"/>
      <c r="R2031" s="183">
        <v>20</v>
      </c>
      <c r="S2031" s="185"/>
      <c r="T2031" s="183">
        <v>8</v>
      </c>
      <c r="U2031" s="185"/>
      <c r="V2031" s="180" t="s">
        <v>5731</v>
      </c>
      <c r="W2031" s="181"/>
      <c r="X2031" s="227">
        <v>108</v>
      </c>
      <c r="Y2031" s="228"/>
      <c r="Z2031" s="229"/>
      <c r="AA2031" s="124" t="s">
        <v>5732</v>
      </c>
      <c r="AB2031" s="125"/>
      <c r="AC2031" s="212"/>
      <c r="AD2031" s="213"/>
      <c r="AE2031" s="230"/>
      <c r="AF2031" s="214"/>
      <c r="AG2031" s="215"/>
      <c r="AH2031" s="216"/>
      <c r="AI2031" s="167"/>
      <c r="AJ2031" s="48"/>
      <c r="AK2031" s="15"/>
      <c r="AL2031" s="15"/>
    </row>
    <row r="2032" spans="1:38" ht="105" x14ac:dyDescent="0.3">
      <c r="A2032" s="178"/>
      <c r="B2032" s="303" t="s">
        <v>5733</v>
      </c>
      <c r="C2032" s="344"/>
      <c r="D2032" s="304"/>
      <c r="E2032" s="28" t="s">
        <v>5734</v>
      </c>
      <c r="F2032" s="303" t="s">
        <v>5735</v>
      </c>
      <c r="G2032" s="344"/>
      <c r="H2032" s="304"/>
      <c r="I2032" s="183">
        <v>5</v>
      </c>
      <c r="J2032" s="185"/>
      <c r="K2032" s="110" t="s">
        <v>5736</v>
      </c>
      <c r="L2032" s="111"/>
      <c r="M2032" s="173" t="s">
        <v>5737</v>
      </c>
      <c r="N2032" s="276"/>
      <c r="O2032" s="174"/>
      <c r="P2032" s="173" t="s">
        <v>5738</v>
      </c>
      <c r="Q2032" s="174"/>
      <c r="R2032" s="183">
        <v>8</v>
      </c>
      <c r="S2032" s="185"/>
      <c r="T2032" s="458">
        <v>5</v>
      </c>
      <c r="U2032" s="459"/>
      <c r="V2032" s="173" t="s">
        <v>4027</v>
      </c>
      <c r="W2032" s="174"/>
      <c r="X2032" s="294">
        <v>79</v>
      </c>
      <c r="Y2032" s="295"/>
      <c r="Z2032" s="296"/>
      <c r="AA2032" s="233" t="s">
        <v>989</v>
      </c>
      <c r="AB2032" s="234"/>
      <c r="AC2032" s="171" t="s">
        <v>3194</v>
      </c>
      <c r="AD2032" s="172"/>
      <c r="AE2032" s="178"/>
      <c r="AF2032" s="164"/>
      <c r="AG2032" s="165"/>
      <c r="AH2032" s="166"/>
      <c r="AI2032" s="167"/>
      <c r="AJ2032" s="48"/>
      <c r="AK2032" s="15"/>
      <c r="AL2032" s="15"/>
    </row>
    <row r="2033" spans="1:38" ht="105" x14ac:dyDescent="0.3">
      <c r="A2033" s="179"/>
      <c r="B2033" s="292"/>
      <c r="C2033" s="314"/>
      <c r="D2033" s="293"/>
      <c r="E2033" s="28" t="s">
        <v>5740</v>
      </c>
      <c r="F2033" s="292"/>
      <c r="G2033" s="314"/>
      <c r="H2033" s="293"/>
      <c r="I2033" s="183">
        <v>5</v>
      </c>
      <c r="J2033" s="185"/>
      <c r="K2033" s="110" t="s">
        <v>5736</v>
      </c>
      <c r="L2033" s="111"/>
      <c r="M2033" s="173" t="s">
        <v>5737</v>
      </c>
      <c r="N2033" s="276"/>
      <c r="O2033" s="174"/>
      <c r="P2033" s="173" t="s">
        <v>5738</v>
      </c>
      <c r="Q2033" s="174"/>
      <c r="R2033" s="183">
        <v>8</v>
      </c>
      <c r="S2033" s="185"/>
      <c r="T2033" s="454">
        <v>5</v>
      </c>
      <c r="U2033" s="455"/>
      <c r="V2033" s="173" t="s">
        <v>4027</v>
      </c>
      <c r="W2033" s="174"/>
      <c r="X2033" s="297"/>
      <c r="Y2033" s="298"/>
      <c r="Z2033" s="299"/>
      <c r="AA2033" s="235"/>
      <c r="AB2033" s="236"/>
      <c r="AC2033" s="162" t="s">
        <v>5739</v>
      </c>
      <c r="AD2033" s="163"/>
      <c r="AE2033" s="179"/>
      <c r="AF2033" s="167"/>
      <c r="AG2033" s="168"/>
      <c r="AH2033" s="169"/>
      <c r="AI2033" s="167"/>
      <c r="AJ2033" s="48"/>
      <c r="AK2033" s="15"/>
      <c r="AL2033" s="15"/>
    </row>
    <row r="2034" spans="1:38" ht="105" x14ac:dyDescent="0.3">
      <c r="A2034" s="179"/>
      <c r="B2034" s="292"/>
      <c r="C2034" s="314"/>
      <c r="D2034" s="293"/>
      <c r="E2034" s="28" t="s">
        <v>5741</v>
      </c>
      <c r="F2034" s="292"/>
      <c r="G2034" s="314"/>
      <c r="H2034" s="293"/>
      <c r="I2034" s="183">
        <v>5</v>
      </c>
      <c r="J2034" s="185"/>
      <c r="K2034" s="110" t="s">
        <v>5736</v>
      </c>
      <c r="L2034" s="111"/>
      <c r="M2034" s="173" t="s">
        <v>5737</v>
      </c>
      <c r="N2034" s="276"/>
      <c r="O2034" s="174"/>
      <c r="P2034" s="173" t="s">
        <v>5738</v>
      </c>
      <c r="Q2034" s="174"/>
      <c r="R2034" s="183">
        <v>8</v>
      </c>
      <c r="S2034" s="185"/>
      <c r="T2034" s="454">
        <v>5</v>
      </c>
      <c r="U2034" s="455"/>
      <c r="V2034" s="173" t="s">
        <v>4027</v>
      </c>
      <c r="W2034" s="174"/>
      <c r="X2034" s="297"/>
      <c r="Y2034" s="298"/>
      <c r="Z2034" s="299"/>
      <c r="AA2034" s="235"/>
      <c r="AB2034" s="236"/>
      <c r="AC2034" s="162"/>
      <c r="AD2034" s="163"/>
      <c r="AE2034" s="179"/>
      <c r="AF2034" s="167"/>
      <c r="AG2034" s="168"/>
      <c r="AH2034" s="169"/>
      <c r="AI2034" s="167"/>
      <c r="AJ2034" s="48"/>
      <c r="AK2034" s="15"/>
      <c r="AL2034" s="15"/>
    </row>
    <row r="2035" spans="1:38" ht="105" x14ac:dyDescent="0.3">
      <c r="A2035" s="179"/>
      <c r="B2035" s="292"/>
      <c r="C2035" s="314"/>
      <c r="D2035" s="293"/>
      <c r="E2035" s="28" t="s">
        <v>5742</v>
      </c>
      <c r="F2035" s="292"/>
      <c r="G2035" s="314"/>
      <c r="H2035" s="293"/>
      <c r="I2035" s="183">
        <v>5</v>
      </c>
      <c r="J2035" s="185"/>
      <c r="K2035" s="110" t="s">
        <v>5736</v>
      </c>
      <c r="L2035" s="111"/>
      <c r="M2035" s="173" t="s">
        <v>5737</v>
      </c>
      <c r="N2035" s="276"/>
      <c r="O2035" s="174"/>
      <c r="P2035" s="173" t="s">
        <v>5738</v>
      </c>
      <c r="Q2035" s="174"/>
      <c r="R2035" s="183">
        <v>8</v>
      </c>
      <c r="S2035" s="185"/>
      <c r="T2035" s="454">
        <v>5</v>
      </c>
      <c r="U2035" s="455"/>
      <c r="V2035" s="173" t="s">
        <v>4027</v>
      </c>
      <c r="W2035" s="174"/>
      <c r="X2035" s="297"/>
      <c r="Y2035" s="298"/>
      <c r="Z2035" s="299"/>
      <c r="AA2035" s="235"/>
      <c r="AB2035" s="236"/>
      <c r="AC2035" s="162"/>
      <c r="AD2035" s="163"/>
      <c r="AE2035" s="179"/>
      <c r="AF2035" s="167"/>
      <c r="AG2035" s="168"/>
      <c r="AH2035" s="169"/>
      <c r="AI2035" s="167"/>
      <c r="AJ2035" s="48"/>
      <c r="AK2035" s="15"/>
      <c r="AL2035" s="15"/>
    </row>
    <row r="2036" spans="1:38" ht="105" x14ac:dyDescent="0.3">
      <c r="A2036" s="179"/>
      <c r="B2036" s="292"/>
      <c r="C2036" s="314"/>
      <c r="D2036" s="293"/>
      <c r="E2036" s="28" t="s">
        <v>5743</v>
      </c>
      <c r="F2036" s="292"/>
      <c r="G2036" s="314"/>
      <c r="H2036" s="293"/>
      <c r="I2036" s="183">
        <v>5</v>
      </c>
      <c r="J2036" s="185"/>
      <c r="K2036" s="110" t="s">
        <v>5736</v>
      </c>
      <c r="L2036" s="111"/>
      <c r="M2036" s="173" t="s">
        <v>5737</v>
      </c>
      <c r="N2036" s="276"/>
      <c r="O2036" s="174"/>
      <c r="P2036" s="173" t="s">
        <v>5738</v>
      </c>
      <c r="Q2036" s="174"/>
      <c r="R2036" s="183">
        <v>8</v>
      </c>
      <c r="S2036" s="185"/>
      <c r="T2036" s="454">
        <v>5</v>
      </c>
      <c r="U2036" s="455"/>
      <c r="V2036" s="173" t="s">
        <v>4027</v>
      </c>
      <c r="W2036" s="174"/>
      <c r="X2036" s="297"/>
      <c r="Y2036" s="298"/>
      <c r="Z2036" s="299"/>
      <c r="AA2036" s="235"/>
      <c r="AB2036" s="236"/>
      <c r="AC2036" s="162"/>
      <c r="AD2036" s="163"/>
      <c r="AE2036" s="179"/>
      <c r="AF2036" s="167"/>
      <c r="AG2036" s="168"/>
      <c r="AH2036" s="169"/>
      <c r="AI2036" s="167"/>
      <c r="AJ2036" s="48"/>
      <c r="AK2036" s="15"/>
      <c r="AL2036" s="15"/>
    </row>
    <row r="2037" spans="1:38" ht="105" x14ac:dyDescent="0.3">
      <c r="A2037" s="179"/>
      <c r="B2037" s="292"/>
      <c r="C2037" s="314"/>
      <c r="D2037" s="293"/>
      <c r="E2037" s="28" t="s">
        <v>5744</v>
      </c>
      <c r="F2037" s="292"/>
      <c r="G2037" s="314"/>
      <c r="H2037" s="293"/>
      <c r="I2037" s="183">
        <v>5</v>
      </c>
      <c r="J2037" s="185"/>
      <c r="K2037" s="110" t="s">
        <v>5736</v>
      </c>
      <c r="L2037" s="111"/>
      <c r="M2037" s="173" t="s">
        <v>5737</v>
      </c>
      <c r="N2037" s="276"/>
      <c r="O2037" s="174"/>
      <c r="P2037" s="173" t="s">
        <v>5738</v>
      </c>
      <c r="Q2037" s="174"/>
      <c r="R2037" s="183">
        <v>8</v>
      </c>
      <c r="S2037" s="185"/>
      <c r="T2037" s="456">
        <v>5</v>
      </c>
      <c r="U2037" s="457"/>
      <c r="V2037" s="173" t="s">
        <v>4027</v>
      </c>
      <c r="W2037" s="174"/>
      <c r="X2037" s="297"/>
      <c r="Y2037" s="298"/>
      <c r="Z2037" s="299"/>
      <c r="AA2037" s="235"/>
      <c r="AB2037" s="236"/>
      <c r="AC2037" s="162"/>
      <c r="AD2037" s="163"/>
      <c r="AE2037" s="179"/>
      <c r="AF2037" s="167"/>
      <c r="AG2037" s="168"/>
      <c r="AH2037" s="169"/>
      <c r="AI2037" s="167"/>
      <c r="AJ2037" s="48"/>
      <c r="AK2037" s="15"/>
      <c r="AL2037" s="15"/>
    </row>
    <row r="2038" spans="1:38" ht="105" x14ac:dyDescent="0.3">
      <c r="A2038" s="179"/>
      <c r="B2038" s="292"/>
      <c r="C2038" s="314"/>
      <c r="D2038" s="293"/>
      <c r="E2038" s="28" t="s">
        <v>5745</v>
      </c>
      <c r="F2038" s="292"/>
      <c r="G2038" s="314"/>
      <c r="H2038" s="293"/>
      <c r="I2038" s="183">
        <v>5</v>
      </c>
      <c r="J2038" s="185"/>
      <c r="K2038" s="110" t="s">
        <v>5736</v>
      </c>
      <c r="L2038" s="111"/>
      <c r="M2038" s="173" t="s">
        <v>5746</v>
      </c>
      <c r="N2038" s="276"/>
      <c r="O2038" s="174"/>
      <c r="P2038" s="173" t="s">
        <v>5738</v>
      </c>
      <c r="Q2038" s="174"/>
      <c r="R2038" s="183">
        <v>8</v>
      </c>
      <c r="S2038" s="185"/>
      <c r="T2038" s="458">
        <v>5</v>
      </c>
      <c r="U2038" s="459"/>
      <c r="V2038" s="173" t="s">
        <v>5476</v>
      </c>
      <c r="W2038" s="174"/>
      <c r="X2038" s="297"/>
      <c r="Y2038" s="298"/>
      <c r="Z2038" s="299"/>
      <c r="AA2038" s="235"/>
      <c r="AB2038" s="236"/>
      <c r="AC2038" s="162"/>
      <c r="AD2038" s="163"/>
      <c r="AE2038" s="179"/>
      <c r="AF2038" s="167"/>
      <c r="AG2038" s="168"/>
      <c r="AH2038" s="169"/>
      <c r="AI2038" s="167"/>
      <c r="AJ2038" s="48"/>
      <c r="AK2038" s="15"/>
      <c r="AL2038" s="15"/>
    </row>
    <row r="2039" spans="1:38" ht="105" x14ac:dyDescent="0.3">
      <c r="A2039" s="179"/>
      <c r="B2039" s="292"/>
      <c r="C2039" s="314"/>
      <c r="D2039" s="293"/>
      <c r="E2039" s="28" t="s">
        <v>5747</v>
      </c>
      <c r="F2039" s="292"/>
      <c r="G2039" s="314"/>
      <c r="H2039" s="293"/>
      <c r="I2039" s="183">
        <v>5</v>
      </c>
      <c r="J2039" s="185"/>
      <c r="K2039" s="110" t="s">
        <v>5736</v>
      </c>
      <c r="L2039" s="111"/>
      <c r="M2039" s="173" t="s">
        <v>5746</v>
      </c>
      <c r="N2039" s="276"/>
      <c r="O2039" s="174"/>
      <c r="P2039" s="173" t="s">
        <v>5738</v>
      </c>
      <c r="Q2039" s="174"/>
      <c r="R2039" s="183">
        <v>8</v>
      </c>
      <c r="S2039" s="185"/>
      <c r="T2039" s="454">
        <v>5</v>
      </c>
      <c r="U2039" s="455"/>
      <c r="V2039" s="173" t="s">
        <v>5476</v>
      </c>
      <c r="W2039" s="174"/>
      <c r="X2039" s="297"/>
      <c r="Y2039" s="298"/>
      <c r="Z2039" s="299"/>
      <c r="AA2039" s="235"/>
      <c r="AB2039" s="236"/>
      <c r="AC2039" s="162"/>
      <c r="AD2039" s="163"/>
      <c r="AE2039" s="179"/>
      <c r="AF2039" s="167"/>
      <c r="AG2039" s="168"/>
      <c r="AH2039" s="169"/>
      <c r="AI2039" s="167"/>
      <c r="AJ2039" s="48"/>
      <c r="AK2039" s="15"/>
      <c r="AL2039" s="15"/>
    </row>
    <row r="2040" spans="1:38" ht="105" x14ac:dyDescent="0.3">
      <c r="A2040" s="230"/>
      <c r="B2040" s="290"/>
      <c r="C2040" s="345"/>
      <c r="D2040" s="291"/>
      <c r="E2040" s="28" t="s">
        <v>5748</v>
      </c>
      <c r="F2040" s="290"/>
      <c r="G2040" s="345"/>
      <c r="H2040" s="291"/>
      <c r="I2040" s="183">
        <v>5</v>
      </c>
      <c r="J2040" s="185"/>
      <c r="K2040" s="110" t="s">
        <v>5736</v>
      </c>
      <c r="L2040" s="111"/>
      <c r="M2040" s="173" t="s">
        <v>5746</v>
      </c>
      <c r="N2040" s="276"/>
      <c r="O2040" s="174"/>
      <c r="P2040" s="173" t="s">
        <v>5738</v>
      </c>
      <c r="Q2040" s="174"/>
      <c r="R2040" s="183">
        <v>8</v>
      </c>
      <c r="S2040" s="185"/>
      <c r="T2040" s="456">
        <v>5</v>
      </c>
      <c r="U2040" s="457"/>
      <c r="V2040" s="173" t="s">
        <v>5476</v>
      </c>
      <c r="W2040" s="174"/>
      <c r="X2040" s="300"/>
      <c r="Y2040" s="301"/>
      <c r="Z2040" s="302"/>
      <c r="AA2040" s="237"/>
      <c r="AB2040" s="238"/>
      <c r="AC2040" s="212"/>
      <c r="AD2040" s="213"/>
      <c r="AE2040" s="230"/>
      <c r="AF2040" s="214"/>
      <c r="AG2040" s="215"/>
      <c r="AH2040" s="216"/>
      <c r="AI2040" s="167"/>
      <c r="AJ2040" s="48"/>
      <c r="AK2040" s="15"/>
      <c r="AL2040" s="15"/>
    </row>
    <row r="2041" spans="1:38" ht="105" x14ac:dyDescent="0.3">
      <c r="A2041" s="178"/>
      <c r="B2041" s="233" t="s">
        <v>5749</v>
      </c>
      <c r="C2041" s="305"/>
      <c r="D2041" s="234"/>
      <c r="E2041" s="19" t="s">
        <v>5750</v>
      </c>
      <c r="F2041" s="233" t="s">
        <v>5751</v>
      </c>
      <c r="G2041" s="305"/>
      <c r="H2041" s="234"/>
      <c r="I2041" s="349">
        <v>6</v>
      </c>
      <c r="J2041" s="350"/>
      <c r="K2041" s="88" t="s">
        <v>5752</v>
      </c>
      <c r="L2041" s="89"/>
      <c r="M2041" s="349">
        <v>60</v>
      </c>
      <c r="N2041" s="423"/>
      <c r="O2041" s="350"/>
      <c r="P2041" s="356">
        <v>6</v>
      </c>
      <c r="Q2041" s="357"/>
      <c r="R2041" s="88" t="s">
        <v>903</v>
      </c>
      <c r="S2041" s="89"/>
      <c r="T2041" s="349">
        <v>3</v>
      </c>
      <c r="U2041" s="350"/>
      <c r="V2041" s="332" t="s">
        <v>4411</v>
      </c>
      <c r="W2041" s="333"/>
      <c r="X2041" s="294">
        <v>89</v>
      </c>
      <c r="Y2041" s="295"/>
      <c r="Z2041" s="296"/>
      <c r="AA2041" s="409" t="s">
        <v>5753</v>
      </c>
      <c r="AB2041" s="411"/>
      <c r="AC2041" s="171" t="s">
        <v>3194</v>
      </c>
      <c r="AD2041" s="172"/>
      <c r="AE2041" s="16" t="s">
        <v>5756</v>
      </c>
      <c r="AF2041" s="164"/>
      <c r="AG2041" s="165"/>
      <c r="AH2041" s="166"/>
      <c r="AI2041" s="167"/>
      <c r="AJ2041" s="48"/>
      <c r="AK2041" s="15"/>
      <c r="AL2041" s="15"/>
    </row>
    <row r="2042" spans="1:38" ht="60" x14ac:dyDescent="0.3">
      <c r="A2042" s="179"/>
      <c r="B2042" s="235"/>
      <c r="C2042" s="270"/>
      <c r="D2042" s="236"/>
      <c r="E2042" s="19" t="s">
        <v>5758</v>
      </c>
      <c r="F2042" s="235"/>
      <c r="G2042" s="270"/>
      <c r="H2042" s="236"/>
      <c r="I2042" s="349">
        <v>6</v>
      </c>
      <c r="J2042" s="350"/>
      <c r="K2042" s="126" t="s">
        <v>5752</v>
      </c>
      <c r="L2042" s="127"/>
      <c r="M2042" s="349">
        <v>60</v>
      </c>
      <c r="N2042" s="423"/>
      <c r="O2042" s="350"/>
      <c r="P2042" s="356">
        <v>6</v>
      </c>
      <c r="Q2042" s="357"/>
      <c r="R2042" s="126" t="s">
        <v>903</v>
      </c>
      <c r="S2042" s="127"/>
      <c r="T2042" s="349">
        <v>3</v>
      </c>
      <c r="U2042" s="350"/>
      <c r="V2042" s="332" t="s">
        <v>4411</v>
      </c>
      <c r="W2042" s="333"/>
      <c r="X2042" s="297"/>
      <c r="Y2042" s="298"/>
      <c r="Z2042" s="299"/>
      <c r="AA2042" s="401"/>
      <c r="AB2042" s="403"/>
      <c r="AC2042" s="162" t="s">
        <v>5754</v>
      </c>
      <c r="AD2042" s="163"/>
      <c r="AE2042" s="43" t="s">
        <v>5757</v>
      </c>
      <c r="AF2042" s="167"/>
      <c r="AG2042" s="168"/>
      <c r="AH2042" s="169"/>
      <c r="AI2042" s="167"/>
      <c r="AJ2042" s="48"/>
      <c r="AK2042" s="15"/>
      <c r="AL2042" s="15"/>
    </row>
    <row r="2043" spans="1:38" ht="60" x14ac:dyDescent="0.3">
      <c r="A2043" s="179"/>
      <c r="B2043" s="235"/>
      <c r="C2043" s="270"/>
      <c r="D2043" s="236"/>
      <c r="E2043" s="19" t="s">
        <v>5759</v>
      </c>
      <c r="F2043" s="235"/>
      <c r="G2043" s="270"/>
      <c r="H2043" s="236"/>
      <c r="I2043" s="349">
        <v>6</v>
      </c>
      <c r="J2043" s="350"/>
      <c r="K2043" s="126" t="s">
        <v>5752</v>
      </c>
      <c r="L2043" s="127"/>
      <c r="M2043" s="349">
        <v>60</v>
      </c>
      <c r="N2043" s="423"/>
      <c r="O2043" s="350"/>
      <c r="P2043" s="356">
        <v>6</v>
      </c>
      <c r="Q2043" s="357"/>
      <c r="R2043" s="126" t="s">
        <v>903</v>
      </c>
      <c r="S2043" s="127"/>
      <c r="T2043" s="349">
        <v>3</v>
      </c>
      <c r="U2043" s="350"/>
      <c r="V2043" s="332" t="s">
        <v>4411</v>
      </c>
      <c r="W2043" s="333"/>
      <c r="X2043" s="297"/>
      <c r="Y2043" s="298"/>
      <c r="Z2043" s="299"/>
      <c r="AA2043" s="401"/>
      <c r="AB2043" s="403"/>
      <c r="AC2043" s="162" t="s">
        <v>5755</v>
      </c>
      <c r="AD2043" s="163"/>
      <c r="AE2043" s="43"/>
      <c r="AF2043" s="167"/>
      <c r="AG2043" s="168"/>
      <c r="AH2043" s="169"/>
      <c r="AI2043" s="167"/>
      <c r="AJ2043" s="48"/>
      <c r="AK2043" s="15"/>
      <c r="AL2043" s="15"/>
    </row>
    <row r="2044" spans="1:38" ht="45" x14ac:dyDescent="0.3">
      <c r="A2044" s="230"/>
      <c r="B2044" s="237"/>
      <c r="C2044" s="306"/>
      <c r="D2044" s="238"/>
      <c r="E2044" s="19" t="s">
        <v>5760</v>
      </c>
      <c r="F2044" s="237"/>
      <c r="G2044" s="306"/>
      <c r="H2044" s="238"/>
      <c r="I2044" s="349">
        <v>6</v>
      </c>
      <c r="J2044" s="350"/>
      <c r="K2044" s="117" t="s">
        <v>5752</v>
      </c>
      <c r="L2044" s="118"/>
      <c r="M2044" s="349">
        <v>60</v>
      </c>
      <c r="N2044" s="423"/>
      <c r="O2044" s="350"/>
      <c r="P2044" s="356">
        <v>6</v>
      </c>
      <c r="Q2044" s="357"/>
      <c r="R2044" s="117" t="s">
        <v>903</v>
      </c>
      <c r="S2044" s="118"/>
      <c r="T2044" s="349">
        <v>3</v>
      </c>
      <c r="U2044" s="350"/>
      <c r="V2044" s="332" t="s">
        <v>4411</v>
      </c>
      <c r="W2044" s="333"/>
      <c r="X2044" s="300"/>
      <c r="Y2044" s="301"/>
      <c r="Z2044" s="302"/>
      <c r="AA2044" s="404"/>
      <c r="AB2044" s="406"/>
      <c r="AC2044" s="212"/>
      <c r="AD2044" s="213"/>
      <c r="AE2044" s="43"/>
      <c r="AF2044" s="214"/>
      <c r="AG2044" s="215"/>
      <c r="AH2044" s="216"/>
      <c r="AI2044" s="167"/>
      <c r="AJ2044" s="48"/>
      <c r="AK2044" s="15"/>
      <c r="AL2044" s="15"/>
    </row>
    <row r="2045" spans="1:38" ht="105" x14ac:dyDescent="0.3">
      <c r="A2045" s="178"/>
      <c r="B2045" s="303" t="s">
        <v>5761</v>
      </c>
      <c r="C2045" s="344"/>
      <c r="D2045" s="304"/>
      <c r="E2045" s="28" t="s">
        <v>5762</v>
      </c>
      <c r="F2045" s="303" t="s">
        <v>5763</v>
      </c>
      <c r="G2045" s="344"/>
      <c r="H2045" s="304"/>
      <c r="I2045" s="110" t="s">
        <v>1062</v>
      </c>
      <c r="J2045" s="111"/>
      <c r="K2045" s="143" t="s">
        <v>5764</v>
      </c>
      <c r="L2045" s="145"/>
      <c r="M2045" s="173" t="s">
        <v>5765</v>
      </c>
      <c r="N2045" s="276"/>
      <c r="O2045" s="174"/>
      <c r="P2045" s="173" t="s">
        <v>4339</v>
      </c>
      <c r="Q2045" s="174"/>
      <c r="R2045" s="112">
        <v>9</v>
      </c>
      <c r="S2045" s="113"/>
      <c r="T2045" s="183">
        <v>6</v>
      </c>
      <c r="U2045" s="185"/>
      <c r="V2045" s="173" t="s">
        <v>3631</v>
      </c>
      <c r="W2045" s="174"/>
      <c r="X2045" s="252">
        <v>69</v>
      </c>
      <c r="Y2045" s="253"/>
      <c r="Z2045" s="254"/>
      <c r="AA2045" s="192" t="s">
        <v>1124</v>
      </c>
      <c r="AB2045" s="193"/>
      <c r="AC2045" s="171" t="s">
        <v>3194</v>
      </c>
      <c r="AD2045" s="172"/>
      <c r="AE2045" s="16" t="s">
        <v>1356</v>
      </c>
      <c r="AF2045" s="164"/>
      <c r="AG2045" s="165"/>
      <c r="AH2045" s="166"/>
      <c r="AI2045" s="167"/>
      <c r="AJ2045" s="48"/>
      <c r="AK2045" s="15"/>
      <c r="AL2045" s="15"/>
    </row>
    <row r="2046" spans="1:38" ht="90" x14ac:dyDescent="0.3">
      <c r="A2046" s="179"/>
      <c r="B2046" s="292"/>
      <c r="C2046" s="314"/>
      <c r="D2046" s="293"/>
      <c r="E2046" s="28" t="s">
        <v>5769</v>
      </c>
      <c r="F2046" s="292"/>
      <c r="G2046" s="314"/>
      <c r="H2046" s="293"/>
      <c r="I2046" s="110" t="s">
        <v>1062</v>
      </c>
      <c r="J2046" s="111"/>
      <c r="K2046" s="104" t="s">
        <v>5764</v>
      </c>
      <c r="L2046" s="105"/>
      <c r="M2046" s="173" t="s">
        <v>5765</v>
      </c>
      <c r="N2046" s="276"/>
      <c r="O2046" s="174"/>
      <c r="P2046" s="173" t="s">
        <v>4339</v>
      </c>
      <c r="Q2046" s="174"/>
      <c r="R2046" s="155">
        <v>9</v>
      </c>
      <c r="S2046" s="157"/>
      <c r="T2046" s="183">
        <v>6</v>
      </c>
      <c r="U2046" s="185"/>
      <c r="V2046" s="173" t="s">
        <v>3631</v>
      </c>
      <c r="W2046" s="174"/>
      <c r="X2046" s="311"/>
      <c r="Y2046" s="312"/>
      <c r="Z2046" s="313"/>
      <c r="AA2046" s="272"/>
      <c r="AB2046" s="273"/>
      <c r="AC2046" s="162" t="s">
        <v>5766</v>
      </c>
      <c r="AD2046" s="163"/>
      <c r="AE2046" s="43" t="s">
        <v>5768</v>
      </c>
      <c r="AF2046" s="167"/>
      <c r="AG2046" s="168"/>
      <c r="AH2046" s="169"/>
      <c r="AI2046" s="167"/>
      <c r="AJ2046" s="48"/>
      <c r="AK2046" s="15"/>
      <c r="AL2046" s="15"/>
    </row>
    <row r="2047" spans="1:38" ht="90" x14ac:dyDescent="0.3">
      <c r="A2047" s="179"/>
      <c r="B2047" s="292"/>
      <c r="C2047" s="314"/>
      <c r="D2047" s="293"/>
      <c r="E2047" s="28" t="s">
        <v>5770</v>
      </c>
      <c r="F2047" s="292"/>
      <c r="G2047" s="314"/>
      <c r="H2047" s="293"/>
      <c r="I2047" s="110" t="s">
        <v>1062</v>
      </c>
      <c r="J2047" s="111"/>
      <c r="K2047" s="104" t="s">
        <v>5764</v>
      </c>
      <c r="L2047" s="105"/>
      <c r="M2047" s="173" t="s">
        <v>5765</v>
      </c>
      <c r="N2047" s="276"/>
      <c r="O2047" s="174"/>
      <c r="P2047" s="173" t="s">
        <v>4339</v>
      </c>
      <c r="Q2047" s="174"/>
      <c r="R2047" s="155">
        <v>9</v>
      </c>
      <c r="S2047" s="157"/>
      <c r="T2047" s="183">
        <v>6</v>
      </c>
      <c r="U2047" s="185"/>
      <c r="V2047" s="173" t="s">
        <v>3631</v>
      </c>
      <c r="W2047" s="174"/>
      <c r="X2047" s="311"/>
      <c r="Y2047" s="312"/>
      <c r="Z2047" s="313"/>
      <c r="AA2047" s="272"/>
      <c r="AB2047" s="273"/>
      <c r="AC2047" s="162" t="s">
        <v>2211</v>
      </c>
      <c r="AD2047" s="163"/>
      <c r="AE2047" s="43"/>
      <c r="AF2047" s="167"/>
      <c r="AG2047" s="168"/>
      <c r="AH2047" s="169"/>
      <c r="AI2047" s="167"/>
      <c r="AJ2047" s="48"/>
      <c r="AK2047" s="15"/>
      <c r="AL2047" s="15"/>
    </row>
    <row r="2048" spans="1:38" ht="90" x14ac:dyDescent="0.3">
      <c r="A2048" s="179"/>
      <c r="B2048" s="292"/>
      <c r="C2048" s="314"/>
      <c r="D2048" s="293"/>
      <c r="E2048" s="28" t="s">
        <v>5771</v>
      </c>
      <c r="F2048" s="292"/>
      <c r="G2048" s="314"/>
      <c r="H2048" s="293"/>
      <c r="I2048" s="110" t="s">
        <v>1062</v>
      </c>
      <c r="J2048" s="111"/>
      <c r="K2048" s="104" t="s">
        <v>5764</v>
      </c>
      <c r="L2048" s="105"/>
      <c r="M2048" s="173" t="s">
        <v>5765</v>
      </c>
      <c r="N2048" s="276"/>
      <c r="O2048" s="174"/>
      <c r="P2048" s="173" t="s">
        <v>4339</v>
      </c>
      <c r="Q2048" s="174"/>
      <c r="R2048" s="155">
        <v>9</v>
      </c>
      <c r="S2048" s="157"/>
      <c r="T2048" s="183">
        <v>6</v>
      </c>
      <c r="U2048" s="185"/>
      <c r="V2048" s="173" t="s">
        <v>3631</v>
      </c>
      <c r="W2048" s="174"/>
      <c r="X2048" s="311"/>
      <c r="Y2048" s="312"/>
      <c r="Z2048" s="313"/>
      <c r="AA2048" s="272"/>
      <c r="AB2048" s="273"/>
      <c r="AC2048" s="162" t="s">
        <v>5767</v>
      </c>
      <c r="AD2048" s="163"/>
      <c r="AE2048" s="43"/>
      <c r="AF2048" s="167"/>
      <c r="AG2048" s="168"/>
      <c r="AH2048" s="169"/>
      <c r="AI2048" s="167"/>
      <c r="AJ2048" s="48"/>
      <c r="AK2048" s="15"/>
      <c r="AL2048" s="15"/>
    </row>
    <row r="2049" spans="1:38" ht="105" x14ac:dyDescent="0.3">
      <c r="A2049" s="179"/>
      <c r="B2049" s="292"/>
      <c r="C2049" s="314"/>
      <c r="D2049" s="293"/>
      <c r="E2049" s="28" t="s">
        <v>5772</v>
      </c>
      <c r="F2049" s="292"/>
      <c r="G2049" s="314"/>
      <c r="H2049" s="293"/>
      <c r="I2049" s="110" t="s">
        <v>1062</v>
      </c>
      <c r="J2049" s="111"/>
      <c r="K2049" s="104" t="s">
        <v>5764</v>
      </c>
      <c r="L2049" s="105"/>
      <c r="M2049" s="173" t="s">
        <v>5765</v>
      </c>
      <c r="N2049" s="276"/>
      <c r="O2049" s="174"/>
      <c r="P2049" s="173" t="s">
        <v>4339</v>
      </c>
      <c r="Q2049" s="174"/>
      <c r="R2049" s="155">
        <v>9</v>
      </c>
      <c r="S2049" s="157"/>
      <c r="T2049" s="183">
        <v>6</v>
      </c>
      <c r="U2049" s="185"/>
      <c r="V2049" s="173" t="s">
        <v>3631</v>
      </c>
      <c r="W2049" s="174"/>
      <c r="X2049" s="311"/>
      <c r="Y2049" s="312"/>
      <c r="Z2049" s="313"/>
      <c r="AA2049" s="272"/>
      <c r="AB2049" s="273"/>
      <c r="AC2049" s="162"/>
      <c r="AD2049" s="163"/>
      <c r="AE2049" s="43"/>
      <c r="AF2049" s="167"/>
      <c r="AG2049" s="168"/>
      <c r="AH2049" s="169"/>
      <c r="AI2049" s="167"/>
      <c r="AJ2049" s="48"/>
      <c r="AK2049" s="15"/>
      <c r="AL2049" s="15"/>
    </row>
    <row r="2050" spans="1:38" ht="90" x14ac:dyDescent="0.3">
      <c r="A2050" s="179"/>
      <c r="B2050" s="292"/>
      <c r="C2050" s="314"/>
      <c r="D2050" s="293"/>
      <c r="E2050" s="28" t="s">
        <v>5773</v>
      </c>
      <c r="F2050" s="292"/>
      <c r="G2050" s="314"/>
      <c r="H2050" s="293"/>
      <c r="I2050" s="110" t="s">
        <v>1062</v>
      </c>
      <c r="J2050" s="111"/>
      <c r="K2050" s="104" t="s">
        <v>5764</v>
      </c>
      <c r="L2050" s="105"/>
      <c r="M2050" s="173" t="s">
        <v>5765</v>
      </c>
      <c r="N2050" s="276"/>
      <c r="O2050" s="174"/>
      <c r="P2050" s="173" t="s">
        <v>4339</v>
      </c>
      <c r="Q2050" s="174"/>
      <c r="R2050" s="155">
        <v>9</v>
      </c>
      <c r="S2050" s="157"/>
      <c r="T2050" s="183">
        <v>6</v>
      </c>
      <c r="U2050" s="185"/>
      <c r="V2050" s="173" t="s">
        <v>3631</v>
      </c>
      <c r="W2050" s="174"/>
      <c r="X2050" s="255"/>
      <c r="Y2050" s="256"/>
      <c r="Z2050" s="257"/>
      <c r="AA2050" s="194"/>
      <c r="AB2050" s="195"/>
      <c r="AC2050" s="162"/>
      <c r="AD2050" s="163"/>
      <c r="AE2050" s="43"/>
      <c r="AF2050" s="167"/>
      <c r="AG2050" s="168"/>
      <c r="AH2050" s="169"/>
      <c r="AI2050" s="167"/>
      <c r="AJ2050" s="48"/>
      <c r="AK2050" s="15"/>
      <c r="AL2050" s="15"/>
    </row>
    <row r="2051" spans="1:38" ht="105" x14ac:dyDescent="0.3">
      <c r="A2051" s="179"/>
      <c r="B2051" s="292"/>
      <c r="C2051" s="314"/>
      <c r="D2051" s="293"/>
      <c r="E2051" s="28" t="s">
        <v>5774</v>
      </c>
      <c r="F2051" s="292"/>
      <c r="G2051" s="314"/>
      <c r="H2051" s="293"/>
      <c r="I2051" s="110" t="s">
        <v>1062</v>
      </c>
      <c r="J2051" s="111"/>
      <c r="K2051" s="104" t="s">
        <v>5764</v>
      </c>
      <c r="L2051" s="105"/>
      <c r="M2051" s="173" t="s">
        <v>5775</v>
      </c>
      <c r="N2051" s="276"/>
      <c r="O2051" s="174"/>
      <c r="P2051" s="173" t="s">
        <v>4339</v>
      </c>
      <c r="Q2051" s="174"/>
      <c r="R2051" s="155">
        <v>9</v>
      </c>
      <c r="S2051" s="157"/>
      <c r="T2051" s="183">
        <v>6</v>
      </c>
      <c r="U2051" s="185"/>
      <c r="V2051" s="173" t="s">
        <v>4389</v>
      </c>
      <c r="W2051" s="174"/>
      <c r="X2051" s="252">
        <v>89</v>
      </c>
      <c r="Y2051" s="253"/>
      <c r="Z2051" s="254"/>
      <c r="AA2051" s="192" t="s">
        <v>1023</v>
      </c>
      <c r="AB2051" s="193"/>
      <c r="AC2051" s="162"/>
      <c r="AD2051" s="163"/>
      <c r="AE2051" s="43"/>
      <c r="AF2051" s="167"/>
      <c r="AG2051" s="168"/>
      <c r="AH2051" s="169"/>
      <c r="AI2051" s="167"/>
      <c r="AJ2051" s="48"/>
      <c r="AK2051" s="15"/>
      <c r="AL2051" s="15"/>
    </row>
    <row r="2052" spans="1:38" ht="105" x14ac:dyDescent="0.3">
      <c r="A2052" s="179"/>
      <c r="B2052" s="292"/>
      <c r="C2052" s="314"/>
      <c r="D2052" s="293"/>
      <c r="E2052" s="28" t="s">
        <v>5776</v>
      </c>
      <c r="F2052" s="292"/>
      <c r="G2052" s="314"/>
      <c r="H2052" s="293"/>
      <c r="I2052" s="110" t="s">
        <v>1062</v>
      </c>
      <c r="J2052" s="111"/>
      <c r="K2052" s="104" t="s">
        <v>5764</v>
      </c>
      <c r="L2052" s="105"/>
      <c r="M2052" s="173" t="s">
        <v>5775</v>
      </c>
      <c r="N2052" s="276"/>
      <c r="O2052" s="174"/>
      <c r="P2052" s="173" t="s">
        <v>4339</v>
      </c>
      <c r="Q2052" s="174"/>
      <c r="R2052" s="155">
        <v>9</v>
      </c>
      <c r="S2052" s="157"/>
      <c r="T2052" s="183">
        <v>6</v>
      </c>
      <c r="U2052" s="185"/>
      <c r="V2052" s="173" t="s">
        <v>4389</v>
      </c>
      <c r="W2052" s="174"/>
      <c r="X2052" s="311"/>
      <c r="Y2052" s="312"/>
      <c r="Z2052" s="313"/>
      <c r="AA2052" s="272"/>
      <c r="AB2052" s="273"/>
      <c r="AC2052" s="162"/>
      <c r="AD2052" s="163"/>
      <c r="AE2052" s="43"/>
      <c r="AF2052" s="167"/>
      <c r="AG2052" s="168"/>
      <c r="AH2052" s="169"/>
      <c r="AI2052" s="167"/>
      <c r="AJ2052" s="48"/>
      <c r="AK2052" s="15"/>
      <c r="AL2052" s="15"/>
    </row>
    <row r="2053" spans="1:38" ht="90" x14ac:dyDescent="0.3">
      <c r="A2053" s="230"/>
      <c r="B2053" s="290"/>
      <c r="C2053" s="345"/>
      <c r="D2053" s="291"/>
      <c r="E2053" s="28" t="s">
        <v>5777</v>
      </c>
      <c r="F2053" s="290"/>
      <c r="G2053" s="345"/>
      <c r="H2053" s="291"/>
      <c r="I2053" s="110" t="s">
        <v>1062</v>
      </c>
      <c r="J2053" s="111"/>
      <c r="K2053" s="146" t="s">
        <v>5764</v>
      </c>
      <c r="L2053" s="148"/>
      <c r="M2053" s="173" t="s">
        <v>5775</v>
      </c>
      <c r="N2053" s="276"/>
      <c r="O2053" s="174"/>
      <c r="P2053" s="173" t="s">
        <v>4339</v>
      </c>
      <c r="Q2053" s="174"/>
      <c r="R2053" s="160">
        <v>9</v>
      </c>
      <c r="S2053" s="161"/>
      <c r="T2053" s="183">
        <v>6</v>
      </c>
      <c r="U2053" s="185"/>
      <c r="V2053" s="173" t="s">
        <v>4389</v>
      </c>
      <c r="W2053" s="174"/>
      <c r="X2053" s="255"/>
      <c r="Y2053" s="256"/>
      <c r="Z2053" s="257"/>
      <c r="AA2053" s="194"/>
      <c r="AB2053" s="195"/>
      <c r="AC2053" s="212"/>
      <c r="AD2053" s="213"/>
      <c r="AE2053" s="43"/>
      <c r="AF2053" s="214"/>
      <c r="AG2053" s="215"/>
      <c r="AH2053" s="216"/>
      <c r="AI2053" s="214"/>
      <c r="AJ2053" s="48"/>
      <c r="AK2053" s="15"/>
      <c r="AL2053" s="15"/>
    </row>
    <row r="2054" spans="1:38" ht="90" x14ac:dyDescent="0.3">
      <c r="A2054" s="178"/>
      <c r="B2054" s="303" t="s">
        <v>5778</v>
      </c>
      <c r="C2054" s="344"/>
      <c r="D2054" s="304"/>
      <c r="E2054" s="28" t="s">
        <v>5779</v>
      </c>
      <c r="F2054" s="233" t="s">
        <v>5780</v>
      </c>
      <c r="G2054" s="305"/>
      <c r="H2054" s="234"/>
      <c r="I2054" s="110" t="s">
        <v>842</v>
      </c>
      <c r="J2054" s="111"/>
      <c r="K2054" s="143" t="s">
        <v>5622</v>
      </c>
      <c r="L2054" s="145"/>
      <c r="M2054" s="180" t="s">
        <v>5781</v>
      </c>
      <c r="N2054" s="450"/>
      <c r="O2054" s="181"/>
      <c r="P2054" s="173" t="s">
        <v>5782</v>
      </c>
      <c r="Q2054" s="174"/>
      <c r="R2054" s="88" t="s">
        <v>1764</v>
      </c>
      <c r="S2054" s="89"/>
      <c r="T2054" s="183">
        <v>3</v>
      </c>
      <c r="U2054" s="185"/>
      <c r="V2054" s="180" t="s">
        <v>2712</v>
      </c>
      <c r="W2054" s="181"/>
      <c r="X2054" s="432" t="s">
        <v>5068</v>
      </c>
      <c r="Y2054" s="433"/>
      <c r="Z2054" s="434"/>
      <c r="AA2054" s="192" t="s">
        <v>1742</v>
      </c>
      <c r="AB2054" s="193"/>
      <c r="AC2054" s="223" t="s">
        <v>5783</v>
      </c>
      <c r="AD2054" s="224"/>
      <c r="AE2054" s="24" t="s">
        <v>5785</v>
      </c>
      <c r="AF2054" s="171" t="s">
        <v>2628</v>
      </c>
      <c r="AG2054" s="407"/>
      <c r="AH2054" s="172"/>
      <c r="AI2054" s="24" t="s">
        <v>5787</v>
      </c>
      <c r="AJ2054" s="48"/>
      <c r="AK2054" s="15"/>
      <c r="AL2054" s="15"/>
    </row>
    <row r="2055" spans="1:38" ht="90" x14ac:dyDescent="0.3">
      <c r="A2055" s="179"/>
      <c r="B2055" s="292"/>
      <c r="C2055" s="314"/>
      <c r="D2055" s="293"/>
      <c r="E2055" s="28" t="s">
        <v>5790</v>
      </c>
      <c r="F2055" s="235"/>
      <c r="G2055" s="270"/>
      <c r="H2055" s="236"/>
      <c r="I2055" s="110" t="s">
        <v>842</v>
      </c>
      <c r="J2055" s="111"/>
      <c r="K2055" s="104" t="s">
        <v>5622</v>
      </c>
      <c r="L2055" s="105"/>
      <c r="M2055" s="180" t="s">
        <v>5781</v>
      </c>
      <c r="N2055" s="450"/>
      <c r="O2055" s="181"/>
      <c r="P2055" s="173" t="s">
        <v>5782</v>
      </c>
      <c r="Q2055" s="174"/>
      <c r="R2055" s="126" t="s">
        <v>1764</v>
      </c>
      <c r="S2055" s="127"/>
      <c r="T2055" s="183">
        <v>3</v>
      </c>
      <c r="U2055" s="185"/>
      <c r="V2055" s="180" t="s">
        <v>2712</v>
      </c>
      <c r="W2055" s="181"/>
      <c r="X2055" s="451"/>
      <c r="Y2055" s="452"/>
      <c r="Z2055" s="453"/>
      <c r="AA2055" s="272"/>
      <c r="AB2055" s="273"/>
      <c r="AC2055" s="239" t="s">
        <v>5784</v>
      </c>
      <c r="AD2055" s="240"/>
      <c r="AE2055" s="31" t="s">
        <v>1356</v>
      </c>
      <c r="AF2055" s="162" t="s">
        <v>3401</v>
      </c>
      <c r="AG2055" s="170"/>
      <c r="AH2055" s="163"/>
      <c r="AI2055" s="31" t="s">
        <v>5788</v>
      </c>
      <c r="AJ2055" s="48"/>
      <c r="AK2055" s="15"/>
      <c r="AL2055" s="15"/>
    </row>
    <row r="2056" spans="1:38" ht="120" x14ac:dyDescent="0.3">
      <c r="A2056" s="179"/>
      <c r="B2056" s="292"/>
      <c r="C2056" s="314"/>
      <c r="D2056" s="293"/>
      <c r="E2056" s="28" t="s">
        <v>5791</v>
      </c>
      <c r="F2056" s="235"/>
      <c r="G2056" s="270"/>
      <c r="H2056" s="236"/>
      <c r="I2056" s="110" t="s">
        <v>842</v>
      </c>
      <c r="J2056" s="111"/>
      <c r="K2056" s="104" t="s">
        <v>5622</v>
      </c>
      <c r="L2056" s="105"/>
      <c r="M2056" s="180" t="s">
        <v>5781</v>
      </c>
      <c r="N2056" s="450"/>
      <c r="O2056" s="181"/>
      <c r="P2056" s="173" t="s">
        <v>5782</v>
      </c>
      <c r="Q2056" s="174"/>
      <c r="R2056" s="126" t="s">
        <v>1764</v>
      </c>
      <c r="S2056" s="127"/>
      <c r="T2056" s="183">
        <v>3</v>
      </c>
      <c r="U2056" s="185"/>
      <c r="V2056" s="180" t="s">
        <v>2712</v>
      </c>
      <c r="W2056" s="181"/>
      <c r="X2056" s="451"/>
      <c r="Y2056" s="452"/>
      <c r="Z2056" s="453"/>
      <c r="AA2056" s="272"/>
      <c r="AB2056" s="273"/>
      <c r="AC2056" s="239"/>
      <c r="AD2056" s="240"/>
      <c r="AE2056" s="31" t="s">
        <v>5786</v>
      </c>
      <c r="AF2056" s="162"/>
      <c r="AG2056" s="170"/>
      <c r="AH2056" s="163"/>
      <c r="AI2056" s="31" t="s">
        <v>5789</v>
      </c>
      <c r="AJ2056" s="48"/>
      <c r="AK2056" s="15"/>
      <c r="AL2056" s="15"/>
    </row>
    <row r="2057" spans="1:38" ht="90" x14ac:dyDescent="0.3">
      <c r="A2057" s="179"/>
      <c r="B2057" s="292"/>
      <c r="C2057" s="314"/>
      <c r="D2057" s="293"/>
      <c r="E2057" s="28" t="s">
        <v>5792</v>
      </c>
      <c r="F2057" s="235"/>
      <c r="G2057" s="270"/>
      <c r="H2057" s="236"/>
      <c r="I2057" s="110" t="s">
        <v>842</v>
      </c>
      <c r="J2057" s="111"/>
      <c r="K2057" s="104" t="s">
        <v>5622</v>
      </c>
      <c r="L2057" s="105"/>
      <c r="M2057" s="180" t="s">
        <v>5781</v>
      </c>
      <c r="N2057" s="450"/>
      <c r="O2057" s="181"/>
      <c r="P2057" s="173" t="s">
        <v>5782</v>
      </c>
      <c r="Q2057" s="174"/>
      <c r="R2057" s="126" t="s">
        <v>1764</v>
      </c>
      <c r="S2057" s="127"/>
      <c r="T2057" s="183">
        <v>3</v>
      </c>
      <c r="U2057" s="185"/>
      <c r="V2057" s="180" t="s">
        <v>2712</v>
      </c>
      <c r="W2057" s="181"/>
      <c r="X2057" s="451"/>
      <c r="Y2057" s="452"/>
      <c r="Z2057" s="453"/>
      <c r="AA2057" s="272"/>
      <c r="AB2057" s="273"/>
      <c r="AC2057" s="225"/>
      <c r="AD2057" s="226"/>
      <c r="AE2057" s="31"/>
      <c r="AF2057" s="162"/>
      <c r="AG2057" s="170"/>
      <c r="AH2057" s="163"/>
      <c r="AI2057" s="31"/>
      <c r="AJ2057" s="48"/>
      <c r="AK2057" s="15"/>
      <c r="AL2057" s="15"/>
    </row>
    <row r="2058" spans="1:38" ht="90" x14ac:dyDescent="0.3">
      <c r="A2058" s="179"/>
      <c r="B2058" s="292"/>
      <c r="C2058" s="314"/>
      <c r="D2058" s="293"/>
      <c r="E2058" s="28" t="s">
        <v>5793</v>
      </c>
      <c r="F2058" s="235"/>
      <c r="G2058" s="270"/>
      <c r="H2058" s="236"/>
      <c r="I2058" s="110" t="s">
        <v>842</v>
      </c>
      <c r="J2058" s="111"/>
      <c r="K2058" s="104" t="s">
        <v>5622</v>
      </c>
      <c r="L2058" s="105"/>
      <c r="M2058" s="180" t="s">
        <v>5781</v>
      </c>
      <c r="N2058" s="450"/>
      <c r="O2058" s="181"/>
      <c r="P2058" s="173" t="s">
        <v>5782</v>
      </c>
      <c r="Q2058" s="174"/>
      <c r="R2058" s="126" t="s">
        <v>1764</v>
      </c>
      <c r="S2058" s="127"/>
      <c r="T2058" s="183">
        <v>3</v>
      </c>
      <c r="U2058" s="185"/>
      <c r="V2058" s="180" t="s">
        <v>2712</v>
      </c>
      <c r="W2058" s="181"/>
      <c r="X2058" s="451"/>
      <c r="Y2058" s="452"/>
      <c r="Z2058" s="453"/>
      <c r="AA2058" s="272"/>
      <c r="AB2058" s="273"/>
      <c r="AC2058" s="223" t="s">
        <v>5794</v>
      </c>
      <c r="AD2058" s="224"/>
      <c r="AE2058" s="31"/>
      <c r="AF2058" s="162"/>
      <c r="AG2058" s="170"/>
      <c r="AH2058" s="163"/>
      <c r="AI2058" s="31"/>
      <c r="AJ2058" s="48"/>
      <c r="AK2058" s="15"/>
      <c r="AL2058" s="15"/>
    </row>
    <row r="2059" spans="1:38" ht="90" x14ac:dyDescent="0.3">
      <c r="A2059" s="179"/>
      <c r="B2059" s="292"/>
      <c r="C2059" s="314"/>
      <c r="D2059" s="293"/>
      <c r="E2059" s="28" t="s">
        <v>5796</v>
      </c>
      <c r="F2059" s="235"/>
      <c r="G2059" s="270"/>
      <c r="H2059" s="236"/>
      <c r="I2059" s="110" t="s">
        <v>842</v>
      </c>
      <c r="J2059" s="111"/>
      <c r="K2059" s="104" t="s">
        <v>5622</v>
      </c>
      <c r="L2059" s="105"/>
      <c r="M2059" s="180" t="s">
        <v>5781</v>
      </c>
      <c r="N2059" s="450"/>
      <c r="O2059" s="181"/>
      <c r="P2059" s="173" t="s">
        <v>5782</v>
      </c>
      <c r="Q2059" s="174"/>
      <c r="R2059" s="126" t="s">
        <v>1764</v>
      </c>
      <c r="S2059" s="127"/>
      <c r="T2059" s="183">
        <v>3</v>
      </c>
      <c r="U2059" s="185"/>
      <c r="V2059" s="180" t="s">
        <v>2712</v>
      </c>
      <c r="W2059" s="181"/>
      <c r="X2059" s="435"/>
      <c r="Y2059" s="436"/>
      <c r="Z2059" s="437"/>
      <c r="AA2059" s="194"/>
      <c r="AB2059" s="195"/>
      <c r="AC2059" s="239" t="s">
        <v>5795</v>
      </c>
      <c r="AD2059" s="240"/>
      <c r="AE2059" s="31"/>
      <c r="AF2059" s="162"/>
      <c r="AG2059" s="170"/>
      <c r="AH2059" s="163"/>
      <c r="AI2059" s="31"/>
      <c r="AJ2059" s="48"/>
      <c r="AK2059" s="15"/>
      <c r="AL2059" s="15"/>
    </row>
    <row r="2060" spans="1:38" ht="90" x14ac:dyDescent="0.3">
      <c r="A2060" s="179"/>
      <c r="B2060" s="292"/>
      <c r="C2060" s="314"/>
      <c r="D2060" s="293"/>
      <c r="E2060" s="28" t="s">
        <v>5797</v>
      </c>
      <c r="F2060" s="235"/>
      <c r="G2060" s="270"/>
      <c r="H2060" s="236"/>
      <c r="I2060" s="110" t="s">
        <v>842</v>
      </c>
      <c r="J2060" s="111"/>
      <c r="K2060" s="104" t="s">
        <v>5622</v>
      </c>
      <c r="L2060" s="105"/>
      <c r="M2060" s="180" t="s">
        <v>5798</v>
      </c>
      <c r="N2060" s="450"/>
      <c r="O2060" s="181"/>
      <c r="P2060" s="173" t="s">
        <v>5782</v>
      </c>
      <c r="Q2060" s="174"/>
      <c r="R2060" s="126" t="s">
        <v>1764</v>
      </c>
      <c r="S2060" s="127"/>
      <c r="T2060" s="183">
        <v>3</v>
      </c>
      <c r="U2060" s="185"/>
      <c r="V2060" s="180" t="s">
        <v>4963</v>
      </c>
      <c r="W2060" s="181"/>
      <c r="X2060" s="432" t="s">
        <v>5799</v>
      </c>
      <c r="Y2060" s="433"/>
      <c r="Z2060" s="434"/>
      <c r="AA2060" s="192" t="s">
        <v>1159</v>
      </c>
      <c r="AB2060" s="193"/>
      <c r="AC2060" s="239"/>
      <c r="AD2060" s="240"/>
      <c r="AE2060" s="31"/>
      <c r="AF2060" s="162"/>
      <c r="AG2060" s="170"/>
      <c r="AH2060" s="163"/>
      <c r="AI2060" s="31"/>
      <c r="AJ2060" s="48"/>
      <c r="AK2060" s="15"/>
      <c r="AL2060" s="15"/>
    </row>
    <row r="2061" spans="1:38" ht="90" x14ac:dyDescent="0.3">
      <c r="A2061" s="179"/>
      <c r="B2061" s="292"/>
      <c r="C2061" s="314"/>
      <c r="D2061" s="293"/>
      <c r="E2061" s="28" t="s">
        <v>5800</v>
      </c>
      <c r="F2061" s="235"/>
      <c r="G2061" s="270"/>
      <c r="H2061" s="236"/>
      <c r="I2061" s="110" t="s">
        <v>842</v>
      </c>
      <c r="J2061" s="111"/>
      <c r="K2061" s="104" t="s">
        <v>5622</v>
      </c>
      <c r="L2061" s="105"/>
      <c r="M2061" s="180" t="s">
        <v>5798</v>
      </c>
      <c r="N2061" s="450"/>
      <c r="O2061" s="181"/>
      <c r="P2061" s="173" t="s">
        <v>5782</v>
      </c>
      <c r="Q2061" s="174"/>
      <c r="R2061" s="126" t="s">
        <v>1764</v>
      </c>
      <c r="S2061" s="127"/>
      <c r="T2061" s="183">
        <v>3</v>
      </c>
      <c r="U2061" s="185"/>
      <c r="V2061" s="180" t="s">
        <v>4963</v>
      </c>
      <c r="W2061" s="181"/>
      <c r="X2061" s="451"/>
      <c r="Y2061" s="452"/>
      <c r="Z2061" s="453"/>
      <c r="AA2061" s="272"/>
      <c r="AB2061" s="273"/>
      <c r="AC2061" s="239"/>
      <c r="AD2061" s="240"/>
      <c r="AE2061" s="31"/>
      <c r="AF2061" s="162"/>
      <c r="AG2061" s="170"/>
      <c r="AH2061" s="163"/>
      <c r="AI2061" s="31"/>
      <c r="AJ2061" s="48"/>
      <c r="AK2061" s="15"/>
      <c r="AL2061" s="15"/>
    </row>
    <row r="2062" spans="1:38" ht="90" x14ac:dyDescent="0.3">
      <c r="A2062" s="230"/>
      <c r="B2062" s="290"/>
      <c r="C2062" s="345"/>
      <c r="D2062" s="291"/>
      <c r="E2062" s="28" t="s">
        <v>5801</v>
      </c>
      <c r="F2062" s="237"/>
      <c r="G2062" s="306"/>
      <c r="H2062" s="238"/>
      <c r="I2062" s="110" t="s">
        <v>842</v>
      </c>
      <c r="J2062" s="111"/>
      <c r="K2062" s="146" t="s">
        <v>5622</v>
      </c>
      <c r="L2062" s="148"/>
      <c r="M2062" s="180" t="s">
        <v>5798</v>
      </c>
      <c r="N2062" s="450"/>
      <c r="O2062" s="181"/>
      <c r="P2062" s="173" t="s">
        <v>5782</v>
      </c>
      <c r="Q2062" s="174"/>
      <c r="R2062" s="117" t="s">
        <v>1764</v>
      </c>
      <c r="S2062" s="118"/>
      <c r="T2062" s="183">
        <v>3</v>
      </c>
      <c r="U2062" s="185"/>
      <c r="V2062" s="180" t="s">
        <v>4963</v>
      </c>
      <c r="W2062" s="181"/>
      <c r="X2062" s="435"/>
      <c r="Y2062" s="436"/>
      <c r="Z2062" s="437"/>
      <c r="AA2062" s="194"/>
      <c r="AB2062" s="195"/>
      <c r="AC2062" s="225"/>
      <c r="AD2062" s="226"/>
      <c r="AE2062" s="31"/>
      <c r="AF2062" s="212"/>
      <c r="AG2062" s="408"/>
      <c r="AH2062" s="213"/>
      <c r="AI2062" s="31"/>
      <c r="AJ2062" s="48"/>
      <c r="AK2062" s="15"/>
      <c r="AL2062" s="15"/>
    </row>
    <row r="2063" spans="1:38" ht="105" x14ac:dyDescent="0.25">
      <c r="A2063" s="178"/>
      <c r="B2063" s="303" t="s">
        <v>5802</v>
      </c>
      <c r="C2063" s="344"/>
      <c r="D2063" s="304"/>
      <c r="E2063" s="28" t="s">
        <v>5803</v>
      </c>
      <c r="F2063" s="233" t="s">
        <v>5780</v>
      </c>
      <c r="G2063" s="305"/>
      <c r="H2063" s="234"/>
      <c r="I2063" s="183">
        <v>4</v>
      </c>
      <c r="J2063" s="185"/>
      <c r="K2063" s="143" t="s">
        <v>5622</v>
      </c>
      <c r="L2063" s="145"/>
      <c r="M2063" s="173" t="s">
        <v>5804</v>
      </c>
      <c r="N2063" s="276"/>
      <c r="O2063" s="174"/>
      <c r="P2063" s="173" t="s">
        <v>5782</v>
      </c>
      <c r="Q2063" s="174"/>
      <c r="R2063" s="112">
        <v>7</v>
      </c>
      <c r="S2063" s="113"/>
      <c r="T2063" s="285">
        <v>3</v>
      </c>
      <c r="U2063" s="286"/>
      <c r="V2063" s="173" t="s">
        <v>5805</v>
      </c>
      <c r="W2063" s="174"/>
      <c r="X2063" s="252">
        <v>34</v>
      </c>
      <c r="Y2063" s="253"/>
      <c r="Z2063" s="254"/>
      <c r="AA2063" s="192" t="s">
        <v>3628</v>
      </c>
      <c r="AB2063" s="193"/>
      <c r="AC2063" s="223" t="s">
        <v>3194</v>
      </c>
      <c r="AD2063" s="224"/>
      <c r="AE2063" s="24" t="s">
        <v>5809</v>
      </c>
      <c r="AF2063" s="164"/>
      <c r="AG2063" s="165"/>
      <c r="AH2063" s="166"/>
      <c r="AI2063" s="164"/>
      <c r="AJ2063" s="48"/>
      <c r="AK2063" s="15"/>
      <c r="AL2063" s="15"/>
    </row>
    <row r="2064" spans="1:38" ht="105" x14ac:dyDescent="0.25">
      <c r="A2064" s="179"/>
      <c r="B2064" s="292" t="s">
        <v>5507</v>
      </c>
      <c r="C2064" s="314"/>
      <c r="D2064" s="293"/>
      <c r="E2064" s="28" t="s">
        <v>5811</v>
      </c>
      <c r="F2064" s="235"/>
      <c r="G2064" s="270"/>
      <c r="H2064" s="236"/>
      <c r="I2064" s="183">
        <v>4</v>
      </c>
      <c r="J2064" s="185"/>
      <c r="K2064" s="104" t="s">
        <v>5622</v>
      </c>
      <c r="L2064" s="105"/>
      <c r="M2064" s="173" t="s">
        <v>5804</v>
      </c>
      <c r="N2064" s="276"/>
      <c r="O2064" s="174"/>
      <c r="P2064" s="173" t="s">
        <v>5782</v>
      </c>
      <c r="Q2064" s="174"/>
      <c r="R2064" s="155">
        <v>7</v>
      </c>
      <c r="S2064" s="157"/>
      <c r="T2064" s="285">
        <v>3</v>
      </c>
      <c r="U2064" s="286"/>
      <c r="V2064" s="173" t="s">
        <v>5805</v>
      </c>
      <c r="W2064" s="174"/>
      <c r="X2064" s="311"/>
      <c r="Y2064" s="312"/>
      <c r="Z2064" s="313"/>
      <c r="AA2064" s="272"/>
      <c r="AB2064" s="273"/>
      <c r="AC2064" s="239" t="s">
        <v>5806</v>
      </c>
      <c r="AD2064" s="240"/>
      <c r="AE2064" s="31" t="s">
        <v>1356</v>
      </c>
      <c r="AF2064" s="167"/>
      <c r="AG2064" s="168"/>
      <c r="AH2064" s="169"/>
      <c r="AI2064" s="167"/>
      <c r="AJ2064" s="48"/>
      <c r="AK2064" s="15"/>
      <c r="AL2064" s="15"/>
    </row>
    <row r="2065" spans="1:38" ht="105" x14ac:dyDescent="0.25">
      <c r="A2065" s="179"/>
      <c r="B2065" s="292"/>
      <c r="C2065" s="314"/>
      <c r="D2065" s="293"/>
      <c r="E2065" s="28" t="s">
        <v>5812</v>
      </c>
      <c r="F2065" s="235"/>
      <c r="G2065" s="270"/>
      <c r="H2065" s="236"/>
      <c r="I2065" s="183">
        <v>4</v>
      </c>
      <c r="J2065" s="185"/>
      <c r="K2065" s="104" t="s">
        <v>5622</v>
      </c>
      <c r="L2065" s="105"/>
      <c r="M2065" s="173" t="s">
        <v>5804</v>
      </c>
      <c r="N2065" s="276"/>
      <c r="O2065" s="174"/>
      <c r="P2065" s="173" t="s">
        <v>5782</v>
      </c>
      <c r="Q2065" s="174"/>
      <c r="R2065" s="155">
        <v>7</v>
      </c>
      <c r="S2065" s="157"/>
      <c r="T2065" s="285">
        <v>3</v>
      </c>
      <c r="U2065" s="286"/>
      <c r="V2065" s="173" t="s">
        <v>5805</v>
      </c>
      <c r="W2065" s="174"/>
      <c r="X2065" s="311"/>
      <c r="Y2065" s="312"/>
      <c r="Z2065" s="313"/>
      <c r="AA2065" s="272"/>
      <c r="AB2065" s="273"/>
      <c r="AC2065" s="239" t="s">
        <v>5807</v>
      </c>
      <c r="AD2065" s="240"/>
      <c r="AE2065" s="31" t="s">
        <v>5810</v>
      </c>
      <c r="AF2065" s="167"/>
      <c r="AG2065" s="168"/>
      <c r="AH2065" s="169"/>
      <c r="AI2065" s="167"/>
      <c r="AJ2065" s="48"/>
      <c r="AK2065" s="15"/>
      <c r="AL2065" s="15"/>
    </row>
    <row r="2066" spans="1:38" ht="105" x14ac:dyDescent="0.25">
      <c r="A2066" s="179"/>
      <c r="B2066" s="292"/>
      <c r="C2066" s="314"/>
      <c r="D2066" s="293"/>
      <c r="E2066" s="28" t="s">
        <v>5813</v>
      </c>
      <c r="F2066" s="235"/>
      <c r="G2066" s="270"/>
      <c r="H2066" s="236"/>
      <c r="I2066" s="183">
        <v>4</v>
      </c>
      <c r="J2066" s="185"/>
      <c r="K2066" s="104" t="s">
        <v>5622</v>
      </c>
      <c r="L2066" s="105"/>
      <c r="M2066" s="173" t="s">
        <v>5804</v>
      </c>
      <c r="N2066" s="276"/>
      <c r="O2066" s="174"/>
      <c r="P2066" s="173" t="s">
        <v>5782</v>
      </c>
      <c r="Q2066" s="174"/>
      <c r="R2066" s="155">
        <v>7</v>
      </c>
      <c r="S2066" s="157"/>
      <c r="T2066" s="285">
        <v>3</v>
      </c>
      <c r="U2066" s="286"/>
      <c r="V2066" s="173" t="s">
        <v>5805</v>
      </c>
      <c r="W2066" s="174"/>
      <c r="X2066" s="311"/>
      <c r="Y2066" s="312"/>
      <c r="Z2066" s="313"/>
      <c r="AA2066" s="272"/>
      <c r="AB2066" s="273"/>
      <c r="AC2066" s="239" t="s">
        <v>5808</v>
      </c>
      <c r="AD2066" s="240"/>
      <c r="AE2066" s="31"/>
      <c r="AF2066" s="167"/>
      <c r="AG2066" s="168"/>
      <c r="AH2066" s="169"/>
      <c r="AI2066" s="167"/>
      <c r="AJ2066" s="48"/>
      <c r="AK2066" s="15"/>
      <c r="AL2066" s="15"/>
    </row>
    <row r="2067" spans="1:38" ht="105" x14ac:dyDescent="0.25">
      <c r="A2067" s="179"/>
      <c r="B2067" s="292"/>
      <c r="C2067" s="314"/>
      <c r="D2067" s="293"/>
      <c r="E2067" s="28" t="s">
        <v>5814</v>
      </c>
      <c r="F2067" s="235"/>
      <c r="G2067" s="270"/>
      <c r="H2067" s="236"/>
      <c r="I2067" s="183">
        <v>4</v>
      </c>
      <c r="J2067" s="185"/>
      <c r="K2067" s="104" t="s">
        <v>5622</v>
      </c>
      <c r="L2067" s="105"/>
      <c r="M2067" s="173" t="s">
        <v>5804</v>
      </c>
      <c r="N2067" s="276"/>
      <c r="O2067" s="174"/>
      <c r="P2067" s="173" t="s">
        <v>5782</v>
      </c>
      <c r="Q2067" s="174"/>
      <c r="R2067" s="155">
        <v>7</v>
      </c>
      <c r="S2067" s="157"/>
      <c r="T2067" s="285">
        <v>3</v>
      </c>
      <c r="U2067" s="286"/>
      <c r="V2067" s="173" t="s">
        <v>5805</v>
      </c>
      <c r="W2067" s="174"/>
      <c r="X2067" s="311"/>
      <c r="Y2067" s="312"/>
      <c r="Z2067" s="313"/>
      <c r="AA2067" s="272"/>
      <c r="AB2067" s="273"/>
      <c r="AC2067" s="239"/>
      <c r="AD2067" s="240"/>
      <c r="AE2067" s="31"/>
      <c r="AF2067" s="167"/>
      <c r="AG2067" s="168"/>
      <c r="AH2067" s="169"/>
      <c r="AI2067" s="167"/>
      <c r="AJ2067" s="48"/>
      <c r="AK2067" s="15"/>
      <c r="AL2067" s="15"/>
    </row>
    <row r="2068" spans="1:38" ht="105" x14ac:dyDescent="0.25">
      <c r="A2068" s="179"/>
      <c r="B2068" s="292"/>
      <c r="C2068" s="314"/>
      <c r="D2068" s="293"/>
      <c r="E2068" s="28" t="s">
        <v>5815</v>
      </c>
      <c r="F2068" s="235"/>
      <c r="G2068" s="270"/>
      <c r="H2068" s="236"/>
      <c r="I2068" s="183">
        <v>4</v>
      </c>
      <c r="J2068" s="185"/>
      <c r="K2068" s="104" t="s">
        <v>5622</v>
      </c>
      <c r="L2068" s="105"/>
      <c r="M2068" s="173" t="s">
        <v>5804</v>
      </c>
      <c r="N2068" s="276"/>
      <c r="O2068" s="174"/>
      <c r="P2068" s="173" t="s">
        <v>5782</v>
      </c>
      <c r="Q2068" s="174"/>
      <c r="R2068" s="155">
        <v>7</v>
      </c>
      <c r="S2068" s="157"/>
      <c r="T2068" s="285">
        <v>3</v>
      </c>
      <c r="U2068" s="286"/>
      <c r="V2068" s="173" t="s">
        <v>5805</v>
      </c>
      <c r="W2068" s="174"/>
      <c r="X2068" s="255"/>
      <c r="Y2068" s="256"/>
      <c r="Z2068" s="257"/>
      <c r="AA2068" s="194"/>
      <c r="AB2068" s="195"/>
      <c r="AC2068" s="239"/>
      <c r="AD2068" s="240"/>
      <c r="AE2068" s="31"/>
      <c r="AF2068" s="167"/>
      <c r="AG2068" s="168"/>
      <c r="AH2068" s="169"/>
      <c r="AI2068" s="167"/>
      <c r="AJ2068" s="48"/>
      <c r="AK2068" s="15"/>
      <c r="AL2068" s="15"/>
    </row>
    <row r="2069" spans="1:38" ht="105" x14ac:dyDescent="0.35">
      <c r="A2069" s="179"/>
      <c r="B2069" s="292"/>
      <c r="C2069" s="314"/>
      <c r="D2069" s="293"/>
      <c r="E2069" s="28" t="s">
        <v>5816</v>
      </c>
      <c r="F2069" s="235"/>
      <c r="G2069" s="270"/>
      <c r="H2069" s="236"/>
      <c r="I2069" s="183">
        <v>4</v>
      </c>
      <c r="J2069" s="185"/>
      <c r="K2069" s="104" t="s">
        <v>5622</v>
      </c>
      <c r="L2069" s="105"/>
      <c r="M2069" s="173" t="s">
        <v>5817</v>
      </c>
      <c r="N2069" s="276"/>
      <c r="O2069" s="174"/>
      <c r="P2069" s="173" t="s">
        <v>5782</v>
      </c>
      <c r="Q2069" s="174"/>
      <c r="R2069" s="155">
        <v>7</v>
      </c>
      <c r="S2069" s="157"/>
      <c r="T2069" s="285">
        <v>3</v>
      </c>
      <c r="U2069" s="286"/>
      <c r="V2069" s="173" t="s">
        <v>3774</v>
      </c>
      <c r="W2069" s="174"/>
      <c r="X2069" s="129"/>
      <c r="Y2069" s="130"/>
      <c r="Z2069" s="131"/>
      <c r="AA2069" s="119"/>
      <c r="AB2069" s="120"/>
      <c r="AC2069" s="239"/>
      <c r="AD2069" s="240"/>
      <c r="AE2069" s="31"/>
      <c r="AF2069" s="167"/>
      <c r="AG2069" s="168"/>
      <c r="AH2069" s="169"/>
      <c r="AI2069" s="167"/>
      <c r="AJ2069" s="48"/>
      <c r="AK2069" s="15"/>
      <c r="AL2069" s="15"/>
    </row>
    <row r="2070" spans="1:38" ht="105" x14ac:dyDescent="0.3">
      <c r="A2070" s="128"/>
      <c r="B2070" s="135"/>
      <c r="C2070" s="136"/>
      <c r="D2070" s="137"/>
      <c r="E2070" s="28" t="s">
        <v>5818</v>
      </c>
      <c r="F2070" s="135"/>
      <c r="G2070" s="136"/>
      <c r="H2070" s="137"/>
      <c r="I2070" s="382">
        <v>4</v>
      </c>
      <c r="J2070" s="383"/>
      <c r="K2070" s="104" t="s">
        <v>5622</v>
      </c>
      <c r="L2070" s="105"/>
      <c r="M2070" s="173" t="s">
        <v>5817</v>
      </c>
      <c r="N2070" s="276"/>
      <c r="O2070" s="174"/>
      <c r="P2070" s="173" t="s">
        <v>5782</v>
      </c>
      <c r="Q2070" s="174"/>
      <c r="R2070" s="155">
        <v>7</v>
      </c>
      <c r="S2070" s="157"/>
      <c r="T2070" s="285">
        <v>3</v>
      </c>
      <c r="U2070" s="286"/>
      <c r="V2070" s="173" t="s">
        <v>3774</v>
      </c>
      <c r="W2070" s="174"/>
      <c r="X2070" s="247">
        <v>36</v>
      </c>
      <c r="Y2070" s="248"/>
      <c r="Z2070" s="249"/>
      <c r="AA2070" s="104" t="s">
        <v>2488</v>
      </c>
      <c r="AB2070" s="105"/>
      <c r="AC2070" s="135"/>
      <c r="AD2070" s="137"/>
      <c r="AE2070" s="128"/>
      <c r="AF2070" s="135"/>
      <c r="AG2070" s="136"/>
      <c r="AH2070" s="136"/>
      <c r="AI2070" s="271"/>
      <c r="AJ2070" s="271"/>
      <c r="AK2070" s="15"/>
      <c r="AL2070" s="15"/>
    </row>
    <row r="2071" spans="1:38" ht="105" x14ac:dyDescent="0.3">
      <c r="A2071" s="449"/>
      <c r="B2071" s="151"/>
      <c r="C2071" s="159"/>
      <c r="D2071" s="152"/>
      <c r="E2071" s="28" t="s">
        <v>5819</v>
      </c>
      <c r="F2071" s="151"/>
      <c r="G2071" s="159"/>
      <c r="H2071" s="152"/>
      <c r="I2071" s="382">
        <v>4</v>
      </c>
      <c r="J2071" s="383"/>
      <c r="K2071" s="146" t="s">
        <v>5622</v>
      </c>
      <c r="L2071" s="148"/>
      <c r="M2071" s="173" t="s">
        <v>5817</v>
      </c>
      <c r="N2071" s="276"/>
      <c r="O2071" s="174"/>
      <c r="P2071" s="173" t="s">
        <v>5782</v>
      </c>
      <c r="Q2071" s="174"/>
      <c r="R2071" s="160">
        <v>7</v>
      </c>
      <c r="S2071" s="161"/>
      <c r="T2071" s="285">
        <v>3</v>
      </c>
      <c r="U2071" s="286"/>
      <c r="V2071" s="173" t="s">
        <v>3774</v>
      </c>
      <c r="W2071" s="174"/>
      <c r="X2071" s="244"/>
      <c r="Y2071" s="245"/>
      <c r="Z2071" s="246"/>
      <c r="AA2071" s="146"/>
      <c r="AB2071" s="148"/>
      <c r="AC2071" s="151"/>
      <c r="AD2071" s="152"/>
      <c r="AE2071" s="449"/>
      <c r="AF2071" s="151"/>
      <c r="AG2071" s="159"/>
      <c r="AH2071" s="159"/>
      <c r="AI2071" s="271"/>
      <c r="AJ2071" s="271"/>
      <c r="AK2071" s="15"/>
      <c r="AL2071" s="15"/>
    </row>
    <row r="2072" spans="1:38" ht="105" x14ac:dyDescent="0.3">
      <c r="A2072" s="178"/>
      <c r="B2072" s="303" t="s">
        <v>5820</v>
      </c>
      <c r="C2072" s="344"/>
      <c r="D2072" s="304"/>
      <c r="E2072" s="28" t="s">
        <v>5821</v>
      </c>
      <c r="F2072" s="233" t="s">
        <v>5822</v>
      </c>
      <c r="G2072" s="305"/>
      <c r="H2072" s="234"/>
      <c r="I2072" s="380" t="s">
        <v>1854</v>
      </c>
      <c r="J2072" s="381"/>
      <c r="K2072" s="143" t="s">
        <v>5823</v>
      </c>
      <c r="L2072" s="145"/>
      <c r="M2072" s="173" t="s">
        <v>891</v>
      </c>
      <c r="N2072" s="276"/>
      <c r="O2072" s="174"/>
      <c r="P2072" s="173" t="s">
        <v>688</v>
      </c>
      <c r="Q2072" s="174"/>
      <c r="R2072" s="88" t="s">
        <v>1463</v>
      </c>
      <c r="S2072" s="89"/>
      <c r="T2072" s="183">
        <v>3</v>
      </c>
      <c r="U2072" s="185"/>
      <c r="V2072" s="173" t="s">
        <v>3575</v>
      </c>
      <c r="W2072" s="174"/>
      <c r="X2072" s="294">
        <v>49</v>
      </c>
      <c r="Y2072" s="295"/>
      <c r="Z2072" s="296"/>
      <c r="AA2072" s="233" t="s">
        <v>1537</v>
      </c>
      <c r="AB2072" s="234"/>
      <c r="AC2072" s="171" t="s">
        <v>3194</v>
      </c>
      <c r="AD2072" s="172"/>
      <c r="AE2072" s="24" t="s">
        <v>5825</v>
      </c>
      <c r="AF2072" s="164"/>
      <c r="AG2072" s="165"/>
      <c r="AH2072" s="165"/>
      <c r="AI2072" s="271"/>
      <c r="AJ2072" s="271"/>
      <c r="AK2072" s="15"/>
      <c r="AL2072" s="15"/>
    </row>
    <row r="2073" spans="1:38" ht="105" x14ac:dyDescent="0.3">
      <c r="A2073" s="179"/>
      <c r="B2073" s="292"/>
      <c r="C2073" s="314"/>
      <c r="D2073" s="293"/>
      <c r="E2073" s="28" t="s">
        <v>5827</v>
      </c>
      <c r="F2073" s="235"/>
      <c r="G2073" s="270"/>
      <c r="H2073" s="236"/>
      <c r="I2073" s="380" t="s">
        <v>1854</v>
      </c>
      <c r="J2073" s="381"/>
      <c r="K2073" s="104" t="s">
        <v>5823</v>
      </c>
      <c r="L2073" s="105"/>
      <c r="M2073" s="173" t="s">
        <v>891</v>
      </c>
      <c r="N2073" s="276"/>
      <c r="O2073" s="174"/>
      <c r="P2073" s="173" t="s">
        <v>688</v>
      </c>
      <c r="Q2073" s="174"/>
      <c r="R2073" s="126" t="s">
        <v>1463</v>
      </c>
      <c r="S2073" s="127"/>
      <c r="T2073" s="183">
        <v>3</v>
      </c>
      <c r="U2073" s="185"/>
      <c r="V2073" s="173" t="s">
        <v>3575</v>
      </c>
      <c r="W2073" s="174"/>
      <c r="X2073" s="297"/>
      <c r="Y2073" s="298"/>
      <c r="Z2073" s="299"/>
      <c r="AA2073" s="235"/>
      <c r="AB2073" s="236"/>
      <c r="AC2073" s="162" t="s">
        <v>5824</v>
      </c>
      <c r="AD2073" s="163"/>
      <c r="AE2073" s="31" t="s">
        <v>1356</v>
      </c>
      <c r="AF2073" s="167"/>
      <c r="AG2073" s="168"/>
      <c r="AH2073" s="168"/>
      <c r="AI2073" s="271"/>
      <c r="AJ2073" s="271"/>
      <c r="AK2073" s="15"/>
      <c r="AL2073" s="15"/>
    </row>
    <row r="2074" spans="1:38" ht="105" x14ac:dyDescent="0.3">
      <c r="A2074" s="179"/>
      <c r="B2074" s="292"/>
      <c r="C2074" s="314"/>
      <c r="D2074" s="293"/>
      <c r="E2074" s="28" t="s">
        <v>5828</v>
      </c>
      <c r="F2074" s="235"/>
      <c r="G2074" s="270"/>
      <c r="H2074" s="236"/>
      <c r="I2074" s="380" t="s">
        <v>1854</v>
      </c>
      <c r="J2074" s="381"/>
      <c r="K2074" s="104" t="s">
        <v>5823</v>
      </c>
      <c r="L2074" s="105"/>
      <c r="M2074" s="173" t="s">
        <v>891</v>
      </c>
      <c r="N2074" s="276"/>
      <c r="O2074" s="174"/>
      <c r="P2074" s="173" t="s">
        <v>688</v>
      </c>
      <c r="Q2074" s="174"/>
      <c r="R2074" s="126" t="s">
        <v>1463</v>
      </c>
      <c r="S2074" s="127"/>
      <c r="T2074" s="183">
        <v>3</v>
      </c>
      <c r="U2074" s="185"/>
      <c r="V2074" s="173" t="s">
        <v>3575</v>
      </c>
      <c r="W2074" s="174"/>
      <c r="X2074" s="297"/>
      <c r="Y2074" s="298"/>
      <c r="Z2074" s="299"/>
      <c r="AA2074" s="235"/>
      <c r="AB2074" s="236"/>
      <c r="AC2074" s="162"/>
      <c r="AD2074" s="163"/>
      <c r="AE2074" s="31" t="s">
        <v>5826</v>
      </c>
      <c r="AF2074" s="167"/>
      <c r="AG2074" s="168"/>
      <c r="AH2074" s="168"/>
      <c r="AI2074" s="271"/>
      <c r="AJ2074" s="271"/>
      <c r="AK2074" s="15"/>
      <c r="AL2074" s="15"/>
    </row>
    <row r="2075" spans="1:38" ht="105" x14ac:dyDescent="0.3">
      <c r="A2075" s="179"/>
      <c r="B2075" s="292"/>
      <c r="C2075" s="314"/>
      <c r="D2075" s="293"/>
      <c r="E2075" s="28" t="s">
        <v>5829</v>
      </c>
      <c r="F2075" s="235"/>
      <c r="G2075" s="270"/>
      <c r="H2075" s="236"/>
      <c r="I2075" s="380" t="s">
        <v>1854</v>
      </c>
      <c r="J2075" s="381"/>
      <c r="K2075" s="104" t="s">
        <v>5823</v>
      </c>
      <c r="L2075" s="105"/>
      <c r="M2075" s="173" t="s">
        <v>891</v>
      </c>
      <c r="N2075" s="276"/>
      <c r="O2075" s="174"/>
      <c r="P2075" s="173" t="s">
        <v>688</v>
      </c>
      <c r="Q2075" s="174"/>
      <c r="R2075" s="126" t="s">
        <v>1463</v>
      </c>
      <c r="S2075" s="127"/>
      <c r="T2075" s="183">
        <v>3</v>
      </c>
      <c r="U2075" s="185"/>
      <c r="V2075" s="173" t="s">
        <v>3575</v>
      </c>
      <c r="W2075" s="174"/>
      <c r="X2075" s="297"/>
      <c r="Y2075" s="298"/>
      <c r="Z2075" s="299"/>
      <c r="AA2075" s="235"/>
      <c r="AB2075" s="236"/>
      <c r="AC2075" s="162"/>
      <c r="AD2075" s="163"/>
      <c r="AE2075" s="31"/>
      <c r="AF2075" s="167"/>
      <c r="AG2075" s="168"/>
      <c r="AH2075" s="168"/>
      <c r="AI2075" s="271"/>
      <c r="AJ2075" s="271"/>
      <c r="AK2075" s="15"/>
      <c r="AL2075" s="15"/>
    </row>
    <row r="2076" spans="1:38" ht="105" x14ac:dyDescent="0.3">
      <c r="A2076" s="179"/>
      <c r="B2076" s="292"/>
      <c r="C2076" s="314"/>
      <c r="D2076" s="293"/>
      <c r="E2076" s="28" t="s">
        <v>5830</v>
      </c>
      <c r="F2076" s="235"/>
      <c r="G2076" s="270"/>
      <c r="H2076" s="236"/>
      <c r="I2076" s="380" t="s">
        <v>1854</v>
      </c>
      <c r="J2076" s="381"/>
      <c r="K2076" s="104" t="s">
        <v>5823</v>
      </c>
      <c r="L2076" s="105"/>
      <c r="M2076" s="173" t="s">
        <v>891</v>
      </c>
      <c r="N2076" s="276"/>
      <c r="O2076" s="174"/>
      <c r="P2076" s="173" t="s">
        <v>688</v>
      </c>
      <c r="Q2076" s="174"/>
      <c r="R2076" s="126" t="s">
        <v>1463</v>
      </c>
      <c r="S2076" s="127"/>
      <c r="T2076" s="183">
        <v>3</v>
      </c>
      <c r="U2076" s="185"/>
      <c r="V2076" s="173" t="s">
        <v>3575</v>
      </c>
      <c r="W2076" s="174"/>
      <c r="X2076" s="297"/>
      <c r="Y2076" s="298"/>
      <c r="Z2076" s="299"/>
      <c r="AA2076" s="235"/>
      <c r="AB2076" s="236"/>
      <c r="AC2076" s="162"/>
      <c r="AD2076" s="163"/>
      <c r="AE2076" s="31"/>
      <c r="AF2076" s="167"/>
      <c r="AG2076" s="168"/>
      <c r="AH2076" s="168"/>
      <c r="AI2076" s="271"/>
      <c r="AJ2076" s="271"/>
      <c r="AK2076" s="15"/>
      <c r="AL2076" s="15"/>
    </row>
    <row r="2077" spans="1:38" ht="105" x14ac:dyDescent="0.3">
      <c r="A2077" s="179"/>
      <c r="B2077" s="292"/>
      <c r="C2077" s="314"/>
      <c r="D2077" s="293"/>
      <c r="E2077" s="28" t="s">
        <v>5831</v>
      </c>
      <c r="F2077" s="235"/>
      <c r="G2077" s="270"/>
      <c r="H2077" s="236"/>
      <c r="I2077" s="380" t="s">
        <v>1854</v>
      </c>
      <c r="J2077" s="381"/>
      <c r="K2077" s="104" t="s">
        <v>5823</v>
      </c>
      <c r="L2077" s="105"/>
      <c r="M2077" s="173" t="s">
        <v>891</v>
      </c>
      <c r="N2077" s="276"/>
      <c r="O2077" s="174"/>
      <c r="P2077" s="173" t="s">
        <v>688</v>
      </c>
      <c r="Q2077" s="174"/>
      <c r="R2077" s="126" t="s">
        <v>1463</v>
      </c>
      <c r="S2077" s="127"/>
      <c r="T2077" s="183">
        <v>3</v>
      </c>
      <c r="U2077" s="185"/>
      <c r="V2077" s="173" t="s">
        <v>3575</v>
      </c>
      <c r="W2077" s="174"/>
      <c r="X2077" s="300"/>
      <c r="Y2077" s="301"/>
      <c r="Z2077" s="302"/>
      <c r="AA2077" s="237"/>
      <c r="AB2077" s="238"/>
      <c r="AC2077" s="162"/>
      <c r="AD2077" s="163"/>
      <c r="AE2077" s="31"/>
      <c r="AF2077" s="167"/>
      <c r="AG2077" s="168"/>
      <c r="AH2077" s="168"/>
      <c r="AI2077" s="271"/>
      <c r="AJ2077" s="271"/>
      <c r="AK2077" s="15"/>
      <c r="AL2077" s="15"/>
    </row>
    <row r="2078" spans="1:38" ht="90" x14ac:dyDescent="0.3">
      <c r="A2078" s="179"/>
      <c r="B2078" s="292"/>
      <c r="C2078" s="314"/>
      <c r="D2078" s="293"/>
      <c r="E2078" s="28" t="s">
        <v>5832</v>
      </c>
      <c r="F2078" s="235"/>
      <c r="G2078" s="270"/>
      <c r="H2078" s="236"/>
      <c r="I2078" s="380" t="s">
        <v>1854</v>
      </c>
      <c r="J2078" s="381"/>
      <c r="K2078" s="104" t="s">
        <v>5823</v>
      </c>
      <c r="L2078" s="105"/>
      <c r="M2078" s="173" t="s">
        <v>5833</v>
      </c>
      <c r="N2078" s="276"/>
      <c r="O2078" s="174"/>
      <c r="P2078" s="173" t="s">
        <v>688</v>
      </c>
      <c r="Q2078" s="174"/>
      <c r="R2078" s="126" t="s">
        <v>1463</v>
      </c>
      <c r="S2078" s="127"/>
      <c r="T2078" s="183">
        <v>3</v>
      </c>
      <c r="U2078" s="185"/>
      <c r="V2078" s="173" t="s">
        <v>5834</v>
      </c>
      <c r="W2078" s="174"/>
      <c r="X2078" s="252">
        <v>51</v>
      </c>
      <c r="Y2078" s="253"/>
      <c r="Z2078" s="254"/>
      <c r="AA2078" s="192" t="s">
        <v>1369</v>
      </c>
      <c r="AB2078" s="193"/>
      <c r="AC2078" s="162"/>
      <c r="AD2078" s="163"/>
      <c r="AE2078" s="31"/>
      <c r="AF2078" s="167"/>
      <c r="AG2078" s="168"/>
      <c r="AH2078" s="168"/>
      <c r="AI2078" s="271"/>
      <c r="AJ2078" s="271"/>
      <c r="AK2078" s="15"/>
      <c r="AL2078" s="15"/>
    </row>
    <row r="2079" spans="1:38" ht="75" x14ac:dyDescent="0.3">
      <c r="A2079" s="179"/>
      <c r="B2079" s="292"/>
      <c r="C2079" s="314"/>
      <c r="D2079" s="293"/>
      <c r="E2079" s="28" t="s">
        <v>5835</v>
      </c>
      <c r="F2079" s="235"/>
      <c r="G2079" s="270"/>
      <c r="H2079" s="236"/>
      <c r="I2079" s="380" t="s">
        <v>1854</v>
      </c>
      <c r="J2079" s="381"/>
      <c r="K2079" s="104" t="s">
        <v>5823</v>
      </c>
      <c r="L2079" s="105"/>
      <c r="M2079" s="173" t="s">
        <v>5833</v>
      </c>
      <c r="N2079" s="276"/>
      <c r="O2079" s="174"/>
      <c r="P2079" s="173" t="s">
        <v>688</v>
      </c>
      <c r="Q2079" s="174"/>
      <c r="R2079" s="126" t="s">
        <v>1463</v>
      </c>
      <c r="S2079" s="127"/>
      <c r="T2079" s="183">
        <v>3</v>
      </c>
      <c r="U2079" s="185"/>
      <c r="V2079" s="173" t="s">
        <v>5834</v>
      </c>
      <c r="W2079" s="174"/>
      <c r="X2079" s="311"/>
      <c r="Y2079" s="312"/>
      <c r="Z2079" s="313"/>
      <c r="AA2079" s="272"/>
      <c r="AB2079" s="273"/>
      <c r="AC2079" s="162"/>
      <c r="AD2079" s="163"/>
      <c r="AE2079" s="31"/>
      <c r="AF2079" s="167"/>
      <c r="AG2079" s="168"/>
      <c r="AH2079" s="168"/>
      <c r="AI2079" s="271"/>
      <c r="AJ2079" s="271"/>
      <c r="AK2079" s="15"/>
      <c r="AL2079" s="15"/>
    </row>
    <row r="2080" spans="1:38" ht="75" x14ac:dyDescent="0.3">
      <c r="A2080" s="230"/>
      <c r="B2080" s="290"/>
      <c r="C2080" s="345"/>
      <c r="D2080" s="291"/>
      <c r="E2080" s="28" t="s">
        <v>5836</v>
      </c>
      <c r="F2080" s="237"/>
      <c r="G2080" s="306"/>
      <c r="H2080" s="238"/>
      <c r="I2080" s="380" t="s">
        <v>1854</v>
      </c>
      <c r="J2080" s="381"/>
      <c r="K2080" s="146" t="s">
        <v>5823</v>
      </c>
      <c r="L2080" s="148"/>
      <c r="M2080" s="173" t="s">
        <v>5833</v>
      </c>
      <c r="N2080" s="276"/>
      <c r="O2080" s="174"/>
      <c r="P2080" s="173" t="s">
        <v>688</v>
      </c>
      <c r="Q2080" s="174"/>
      <c r="R2080" s="126" t="s">
        <v>1463</v>
      </c>
      <c r="S2080" s="127"/>
      <c r="T2080" s="183">
        <v>3</v>
      </c>
      <c r="U2080" s="185"/>
      <c r="V2080" s="173" t="s">
        <v>5834</v>
      </c>
      <c r="W2080" s="174"/>
      <c r="X2080" s="255"/>
      <c r="Y2080" s="256"/>
      <c r="Z2080" s="257"/>
      <c r="AA2080" s="194"/>
      <c r="AB2080" s="195"/>
      <c r="AC2080" s="212"/>
      <c r="AD2080" s="213"/>
      <c r="AE2080" s="31"/>
      <c r="AF2080" s="214"/>
      <c r="AG2080" s="215"/>
      <c r="AH2080" s="215"/>
      <c r="AI2080" s="271"/>
      <c r="AJ2080" s="271"/>
      <c r="AK2080" s="15"/>
      <c r="AL2080" s="15"/>
    </row>
    <row r="2081" spans="1:38" ht="75" x14ac:dyDescent="0.25">
      <c r="A2081" s="178"/>
      <c r="B2081" s="303" t="s">
        <v>5837</v>
      </c>
      <c r="C2081" s="344"/>
      <c r="D2081" s="304"/>
      <c r="E2081" s="28" t="s">
        <v>5838</v>
      </c>
      <c r="F2081" s="192" t="s">
        <v>5839</v>
      </c>
      <c r="G2081" s="196"/>
      <c r="H2081" s="193"/>
      <c r="I2081" s="380" t="s">
        <v>2510</v>
      </c>
      <c r="J2081" s="381"/>
      <c r="K2081" s="143" t="s">
        <v>5840</v>
      </c>
      <c r="L2081" s="145"/>
      <c r="M2081" s="114" t="s">
        <v>4835</v>
      </c>
      <c r="N2081" s="115"/>
      <c r="O2081" s="116"/>
      <c r="P2081" s="173" t="s">
        <v>5841</v>
      </c>
      <c r="Q2081" s="174"/>
      <c r="R2081" s="126" t="s">
        <v>1463</v>
      </c>
      <c r="S2081" s="127"/>
      <c r="T2081" s="183">
        <v>2</v>
      </c>
      <c r="U2081" s="185"/>
      <c r="V2081" s="173" t="s">
        <v>5842</v>
      </c>
      <c r="W2081" s="174"/>
      <c r="X2081" s="186" t="s">
        <v>1465</v>
      </c>
      <c r="Y2081" s="187"/>
      <c r="Z2081" s="188"/>
      <c r="AA2081" s="192" t="s">
        <v>1583</v>
      </c>
      <c r="AB2081" s="193"/>
      <c r="AC2081" s="364" t="s">
        <v>6478</v>
      </c>
      <c r="AD2081" s="365"/>
      <c r="AE2081" s="25" t="s">
        <v>1356</v>
      </c>
      <c r="AF2081" s="164"/>
      <c r="AG2081" s="165"/>
      <c r="AH2081" s="165"/>
      <c r="AI2081" s="271"/>
      <c r="AJ2081" s="271"/>
      <c r="AK2081" s="15"/>
      <c r="AL2081" s="15"/>
    </row>
    <row r="2082" spans="1:38" ht="60.5" x14ac:dyDescent="0.3">
      <c r="A2082" s="179"/>
      <c r="B2082" s="292"/>
      <c r="C2082" s="314"/>
      <c r="D2082" s="293"/>
      <c r="E2082" s="28" t="s">
        <v>5844</v>
      </c>
      <c r="F2082" s="194"/>
      <c r="G2082" s="197"/>
      <c r="H2082" s="195"/>
      <c r="I2082" s="380" t="s">
        <v>2510</v>
      </c>
      <c r="J2082" s="381"/>
      <c r="K2082" s="146" t="s">
        <v>5840</v>
      </c>
      <c r="L2082" s="148"/>
      <c r="M2082" s="114" t="s">
        <v>4835</v>
      </c>
      <c r="N2082" s="115"/>
      <c r="O2082" s="116"/>
      <c r="P2082" s="173" t="s">
        <v>5841</v>
      </c>
      <c r="Q2082" s="174"/>
      <c r="R2082" s="117" t="s">
        <v>1463</v>
      </c>
      <c r="S2082" s="118"/>
      <c r="T2082" s="183">
        <v>2</v>
      </c>
      <c r="U2082" s="185"/>
      <c r="V2082" s="173" t="s">
        <v>5842</v>
      </c>
      <c r="W2082" s="174"/>
      <c r="X2082" s="189"/>
      <c r="Y2082" s="190"/>
      <c r="Z2082" s="191"/>
      <c r="AA2082" s="194"/>
      <c r="AB2082" s="195"/>
      <c r="AC2082" s="447" t="s">
        <v>6479</v>
      </c>
      <c r="AD2082" s="448"/>
      <c r="AE2082" s="32" t="s">
        <v>5843</v>
      </c>
      <c r="AF2082" s="167"/>
      <c r="AG2082" s="168"/>
      <c r="AH2082" s="168"/>
      <c r="AI2082" s="271"/>
      <c r="AJ2082" s="271"/>
      <c r="AK2082" s="15"/>
      <c r="AL2082" s="15"/>
    </row>
    <row r="2083" spans="1:38" ht="75" x14ac:dyDescent="0.3">
      <c r="A2083" s="179"/>
      <c r="B2083" s="292"/>
      <c r="C2083" s="314"/>
      <c r="D2083" s="293"/>
      <c r="E2083" s="28" t="s">
        <v>5845</v>
      </c>
      <c r="F2083" s="171" t="s">
        <v>5846</v>
      </c>
      <c r="G2083" s="407"/>
      <c r="H2083" s="172"/>
      <c r="I2083" s="380" t="s">
        <v>4798</v>
      </c>
      <c r="J2083" s="381"/>
      <c r="K2083" s="143" t="s">
        <v>5847</v>
      </c>
      <c r="L2083" s="145"/>
      <c r="M2083" s="114" t="s">
        <v>4103</v>
      </c>
      <c r="N2083" s="115"/>
      <c r="O2083" s="116"/>
      <c r="P2083" s="173" t="s">
        <v>4889</v>
      </c>
      <c r="Q2083" s="174"/>
      <c r="R2083" s="88" t="s">
        <v>3489</v>
      </c>
      <c r="S2083" s="89"/>
      <c r="T2083" s="183">
        <v>2</v>
      </c>
      <c r="U2083" s="185"/>
      <c r="V2083" s="180" t="s">
        <v>5805</v>
      </c>
      <c r="W2083" s="181"/>
      <c r="X2083" s="186" t="s">
        <v>5848</v>
      </c>
      <c r="Y2083" s="187"/>
      <c r="Z2083" s="188"/>
      <c r="AA2083" s="192" t="s">
        <v>4595</v>
      </c>
      <c r="AB2083" s="193"/>
      <c r="AC2083" s="447"/>
      <c r="AD2083" s="448"/>
      <c r="AE2083" s="32"/>
      <c r="AF2083" s="167"/>
      <c r="AG2083" s="168"/>
      <c r="AH2083" s="168"/>
      <c r="AI2083" s="271"/>
      <c r="AJ2083" s="271"/>
      <c r="AK2083" s="15"/>
      <c r="AL2083" s="15"/>
    </row>
    <row r="2084" spans="1:38" ht="75" x14ac:dyDescent="0.3">
      <c r="A2084" s="179"/>
      <c r="B2084" s="292"/>
      <c r="C2084" s="314"/>
      <c r="D2084" s="293"/>
      <c r="E2084" s="28" t="s">
        <v>5849</v>
      </c>
      <c r="F2084" s="212"/>
      <c r="G2084" s="408"/>
      <c r="H2084" s="213"/>
      <c r="I2084" s="380" t="s">
        <v>4798</v>
      </c>
      <c r="J2084" s="381"/>
      <c r="K2084" s="146" t="s">
        <v>5847</v>
      </c>
      <c r="L2084" s="148"/>
      <c r="M2084" s="114" t="s">
        <v>4103</v>
      </c>
      <c r="N2084" s="115"/>
      <c r="O2084" s="116"/>
      <c r="P2084" s="173" t="s">
        <v>4889</v>
      </c>
      <c r="Q2084" s="174"/>
      <c r="R2084" s="117" t="s">
        <v>3489</v>
      </c>
      <c r="S2084" s="118"/>
      <c r="T2084" s="183">
        <v>2</v>
      </c>
      <c r="U2084" s="185"/>
      <c r="V2084" s="180" t="s">
        <v>5805</v>
      </c>
      <c r="W2084" s="181"/>
      <c r="X2084" s="189"/>
      <c r="Y2084" s="190"/>
      <c r="Z2084" s="191"/>
      <c r="AA2084" s="194"/>
      <c r="AB2084" s="195"/>
      <c r="AC2084" s="447"/>
      <c r="AD2084" s="448"/>
      <c r="AE2084" s="32"/>
      <c r="AF2084" s="167"/>
      <c r="AG2084" s="168"/>
      <c r="AH2084" s="168"/>
      <c r="AI2084" s="271"/>
      <c r="AJ2084" s="271"/>
      <c r="AK2084" s="15"/>
      <c r="AL2084" s="15"/>
    </row>
    <row r="2085" spans="1:38" ht="75" x14ac:dyDescent="0.3">
      <c r="A2085" s="179"/>
      <c r="B2085" s="292"/>
      <c r="C2085" s="314"/>
      <c r="D2085" s="293"/>
      <c r="E2085" s="28" t="s">
        <v>5850</v>
      </c>
      <c r="F2085" s="192" t="s">
        <v>5851</v>
      </c>
      <c r="G2085" s="196"/>
      <c r="H2085" s="193"/>
      <c r="I2085" s="380" t="s">
        <v>5655</v>
      </c>
      <c r="J2085" s="381"/>
      <c r="K2085" s="143" t="s">
        <v>5852</v>
      </c>
      <c r="L2085" s="145"/>
      <c r="M2085" s="114" t="s">
        <v>5656</v>
      </c>
      <c r="N2085" s="115"/>
      <c r="O2085" s="116"/>
      <c r="P2085" s="173" t="s">
        <v>5782</v>
      </c>
      <c r="Q2085" s="174"/>
      <c r="R2085" s="88" t="s">
        <v>3478</v>
      </c>
      <c r="S2085" s="89"/>
      <c r="T2085" s="183">
        <v>2</v>
      </c>
      <c r="U2085" s="185"/>
      <c r="V2085" s="173" t="s">
        <v>5853</v>
      </c>
      <c r="W2085" s="174"/>
      <c r="X2085" s="432" t="s">
        <v>1484</v>
      </c>
      <c r="Y2085" s="433"/>
      <c r="Z2085" s="434"/>
      <c r="AA2085" s="192" t="s">
        <v>1985</v>
      </c>
      <c r="AB2085" s="193"/>
      <c r="AC2085" s="447"/>
      <c r="AD2085" s="448"/>
      <c r="AE2085" s="32"/>
      <c r="AF2085" s="167"/>
      <c r="AG2085" s="168"/>
      <c r="AH2085" s="168"/>
      <c r="AI2085" s="271"/>
      <c r="AJ2085" s="271"/>
      <c r="AK2085" s="15"/>
      <c r="AL2085" s="15"/>
    </row>
    <row r="2086" spans="1:38" ht="60" x14ac:dyDescent="0.3">
      <c r="A2086" s="179"/>
      <c r="B2086" s="292"/>
      <c r="C2086" s="314"/>
      <c r="D2086" s="293"/>
      <c r="E2086" s="28" t="s">
        <v>5854</v>
      </c>
      <c r="F2086" s="194"/>
      <c r="G2086" s="197"/>
      <c r="H2086" s="195"/>
      <c r="I2086" s="380" t="s">
        <v>5655</v>
      </c>
      <c r="J2086" s="381"/>
      <c r="K2086" s="146" t="s">
        <v>5852</v>
      </c>
      <c r="L2086" s="148"/>
      <c r="M2086" s="114" t="s">
        <v>5656</v>
      </c>
      <c r="N2086" s="115"/>
      <c r="O2086" s="116"/>
      <c r="P2086" s="173" t="s">
        <v>5782</v>
      </c>
      <c r="Q2086" s="174"/>
      <c r="R2086" s="117" t="s">
        <v>3478</v>
      </c>
      <c r="S2086" s="118"/>
      <c r="T2086" s="183">
        <v>2</v>
      </c>
      <c r="U2086" s="185"/>
      <c r="V2086" s="173" t="s">
        <v>5853</v>
      </c>
      <c r="W2086" s="174"/>
      <c r="X2086" s="435"/>
      <c r="Y2086" s="436"/>
      <c r="Z2086" s="437"/>
      <c r="AA2086" s="194"/>
      <c r="AB2086" s="195"/>
      <c r="AC2086" s="447"/>
      <c r="AD2086" s="448"/>
      <c r="AE2086" s="32"/>
      <c r="AF2086" s="167"/>
      <c r="AG2086" s="168"/>
      <c r="AH2086" s="168"/>
      <c r="AI2086" s="271"/>
      <c r="AJ2086" s="271"/>
      <c r="AK2086" s="15"/>
      <c r="AL2086" s="15"/>
    </row>
    <row r="2087" spans="1:38" ht="75" x14ac:dyDescent="0.3">
      <c r="A2087" s="179"/>
      <c r="B2087" s="292"/>
      <c r="C2087" s="314"/>
      <c r="D2087" s="293"/>
      <c r="E2087" s="28" t="s">
        <v>5855</v>
      </c>
      <c r="F2087" s="171" t="s">
        <v>5846</v>
      </c>
      <c r="G2087" s="407"/>
      <c r="H2087" s="172"/>
      <c r="I2087" s="380" t="s">
        <v>706</v>
      </c>
      <c r="J2087" s="381"/>
      <c r="K2087" s="143" t="s">
        <v>5847</v>
      </c>
      <c r="L2087" s="145"/>
      <c r="M2087" s="114" t="s">
        <v>3838</v>
      </c>
      <c r="N2087" s="115"/>
      <c r="O2087" s="116"/>
      <c r="P2087" s="173" t="s">
        <v>4889</v>
      </c>
      <c r="Q2087" s="174"/>
      <c r="R2087" s="88" t="s">
        <v>3489</v>
      </c>
      <c r="S2087" s="89"/>
      <c r="T2087" s="183">
        <v>2</v>
      </c>
      <c r="U2087" s="185"/>
      <c r="V2087" s="180" t="s">
        <v>5834</v>
      </c>
      <c r="W2087" s="181"/>
      <c r="X2087" s="186" t="s">
        <v>5856</v>
      </c>
      <c r="Y2087" s="187"/>
      <c r="Z2087" s="188"/>
      <c r="AA2087" s="192" t="s">
        <v>2758</v>
      </c>
      <c r="AB2087" s="193"/>
      <c r="AC2087" s="447"/>
      <c r="AD2087" s="448"/>
      <c r="AE2087" s="32"/>
      <c r="AF2087" s="167"/>
      <c r="AG2087" s="168"/>
      <c r="AH2087" s="168"/>
      <c r="AI2087" s="271"/>
      <c r="AJ2087" s="271"/>
      <c r="AK2087" s="15"/>
      <c r="AL2087" s="15"/>
    </row>
    <row r="2088" spans="1:38" ht="75" x14ac:dyDescent="0.3">
      <c r="A2088" s="179"/>
      <c r="B2088" s="292"/>
      <c r="C2088" s="314"/>
      <c r="D2088" s="293"/>
      <c r="E2088" s="28" t="s">
        <v>5857</v>
      </c>
      <c r="F2088" s="212"/>
      <c r="G2088" s="408"/>
      <c r="H2088" s="213"/>
      <c r="I2088" s="380" t="s">
        <v>706</v>
      </c>
      <c r="J2088" s="381"/>
      <c r="K2088" s="146" t="s">
        <v>5847</v>
      </c>
      <c r="L2088" s="148"/>
      <c r="M2088" s="114" t="s">
        <v>3838</v>
      </c>
      <c r="N2088" s="115"/>
      <c r="O2088" s="116"/>
      <c r="P2088" s="173" t="s">
        <v>4889</v>
      </c>
      <c r="Q2088" s="174"/>
      <c r="R2088" s="117" t="s">
        <v>3489</v>
      </c>
      <c r="S2088" s="118"/>
      <c r="T2088" s="183">
        <v>2</v>
      </c>
      <c r="U2088" s="185"/>
      <c r="V2088" s="180" t="s">
        <v>5834</v>
      </c>
      <c r="W2088" s="181"/>
      <c r="X2088" s="189"/>
      <c r="Y2088" s="190"/>
      <c r="Z2088" s="191"/>
      <c r="AA2088" s="194"/>
      <c r="AB2088" s="195"/>
      <c r="AC2088" s="447"/>
      <c r="AD2088" s="448"/>
      <c r="AE2088" s="32"/>
      <c r="AF2088" s="167"/>
      <c r="AG2088" s="168"/>
      <c r="AH2088" s="168"/>
      <c r="AI2088" s="271"/>
      <c r="AJ2088" s="271"/>
      <c r="AK2088" s="15"/>
      <c r="AL2088" s="15"/>
    </row>
    <row r="2089" spans="1:38" ht="75" x14ac:dyDescent="0.3">
      <c r="A2089" s="179"/>
      <c r="B2089" s="292"/>
      <c r="C2089" s="314"/>
      <c r="D2089" s="293"/>
      <c r="E2089" s="28" t="s">
        <v>5858</v>
      </c>
      <c r="F2089" s="192" t="s">
        <v>5839</v>
      </c>
      <c r="G2089" s="196"/>
      <c r="H2089" s="193"/>
      <c r="I2089" s="380" t="s">
        <v>768</v>
      </c>
      <c r="J2089" s="381"/>
      <c r="K2089" s="143" t="s">
        <v>5840</v>
      </c>
      <c r="L2089" s="145"/>
      <c r="M2089" s="114" t="s">
        <v>1465</v>
      </c>
      <c r="N2089" s="115"/>
      <c r="O2089" s="116"/>
      <c r="P2089" s="173" t="s">
        <v>5841</v>
      </c>
      <c r="Q2089" s="174"/>
      <c r="R2089" s="88" t="s">
        <v>1463</v>
      </c>
      <c r="S2089" s="89"/>
      <c r="T2089" s="183">
        <v>2</v>
      </c>
      <c r="U2089" s="185"/>
      <c r="V2089" s="173" t="s">
        <v>3483</v>
      </c>
      <c r="W2089" s="174"/>
      <c r="X2089" s="186" t="s">
        <v>1492</v>
      </c>
      <c r="Y2089" s="187"/>
      <c r="Z2089" s="188"/>
      <c r="AA2089" s="192" t="s">
        <v>1181</v>
      </c>
      <c r="AB2089" s="193"/>
      <c r="AC2089" s="447"/>
      <c r="AD2089" s="448"/>
      <c r="AE2089" s="32"/>
      <c r="AF2089" s="167"/>
      <c r="AG2089" s="168"/>
      <c r="AH2089" s="168"/>
      <c r="AI2089" s="271"/>
      <c r="AJ2089" s="271"/>
      <c r="AK2089" s="15"/>
      <c r="AL2089" s="15"/>
    </row>
    <row r="2090" spans="1:38" ht="60" x14ac:dyDescent="0.3">
      <c r="A2090" s="179"/>
      <c r="B2090" s="292"/>
      <c r="C2090" s="314"/>
      <c r="D2090" s="293"/>
      <c r="E2090" s="28" t="s">
        <v>5859</v>
      </c>
      <c r="F2090" s="194"/>
      <c r="G2090" s="197"/>
      <c r="H2090" s="195"/>
      <c r="I2090" s="380" t="s">
        <v>768</v>
      </c>
      <c r="J2090" s="381"/>
      <c r="K2090" s="146" t="s">
        <v>5840</v>
      </c>
      <c r="L2090" s="148"/>
      <c r="M2090" s="114" t="s">
        <v>1465</v>
      </c>
      <c r="N2090" s="115"/>
      <c r="O2090" s="116"/>
      <c r="P2090" s="173" t="s">
        <v>5841</v>
      </c>
      <c r="Q2090" s="174"/>
      <c r="R2090" s="117" t="s">
        <v>1463</v>
      </c>
      <c r="S2090" s="118"/>
      <c r="T2090" s="183">
        <v>2</v>
      </c>
      <c r="U2090" s="185"/>
      <c r="V2090" s="173" t="s">
        <v>3483</v>
      </c>
      <c r="W2090" s="174"/>
      <c r="X2090" s="189"/>
      <c r="Y2090" s="190"/>
      <c r="Z2090" s="191"/>
      <c r="AA2090" s="194"/>
      <c r="AB2090" s="195"/>
      <c r="AC2090" s="447"/>
      <c r="AD2090" s="448"/>
      <c r="AE2090" s="32"/>
      <c r="AF2090" s="167"/>
      <c r="AG2090" s="168"/>
      <c r="AH2090" s="168"/>
      <c r="AI2090" s="271"/>
      <c r="AJ2090" s="271"/>
      <c r="AK2090" s="15"/>
      <c r="AL2090" s="15"/>
    </row>
    <row r="2091" spans="1:38" ht="75" x14ac:dyDescent="0.3">
      <c r="A2091" s="179"/>
      <c r="B2091" s="292"/>
      <c r="C2091" s="314"/>
      <c r="D2091" s="293"/>
      <c r="E2091" s="28" t="s">
        <v>5860</v>
      </c>
      <c r="F2091" s="171" t="s">
        <v>5846</v>
      </c>
      <c r="G2091" s="407"/>
      <c r="H2091" s="172"/>
      <c r="I2091" s="380" t="s">
        <v>674</v>
      </c>
      <c r="J2091" s="381"/>
      <c r="K2091" s="143" t="s">
        <v>5847</v>
      </c>
      <c r="L2091" s="145"/>
      <c r="M2091" s="114" t="s">
        <v>1474</v>
      </c>
      <c r="N2091" s="115"/>
      <c r="O2091" s="116"/>
      <c r="P2091" s="173" t="s">
        <v>4889</v>
      </c>
      <c r="Q2091" s="174"/>
      <c r="R2091" s="88" t="s">
        <v>3489</v>
      </c>
      <c r="S2091" s="89"/>
      <c r="T2091" s="183">
        <v>2</v>
      </c>
      <c r="U2091" s="185"/>
      <c r="V2091" s="180" t="s">
        <v>1488</v>
      </c>
      <c r="W2091" s="181"/>
      <c r="X2091" s="432" t="s">
        <v>3185</v>
      </c>
      <c r="Y2091" s="433"/>
      <c r="Z2091" s="434"/>
      <c r="AA2091" s="192" t="s">
        <v>4118</v>
      </c>
      <c r="AB2091" s="193"/>
      <c r="AC2091" s="447"/>
      <c r="AD2091" s="448"/>
      <c r="AE2091" s="32"/>
      <c r="AF2091" s="167"/>
      <c r="AG2091" s="168"/>
      <c r="AH2091" s="168"/>
      <c r="AI2091" s="271"/>
      <c r="AJ2091" s="271"/>
      <c r="AK2091" s="15"/>
      <c r="AL2091" s="15"/>
    </row>
    <row r="2092" spans="1:38" ht="75" x14ac:dyDescent="0.3">
      <c r="A2092" s="179"/>
      <c r="B2092" s="292"/>
      <c r="C2092" s="314"/>
      <c r="D2092" s="293"/>
      <c r="E2092" s="28" t="s">
        <v>5861</v>
      </c>
      <c r="F2092" s="212"/>
      <c r="G2092" s="408"/>
      <c r="H2092" s="213"/>
      <c r="I2092" s="380" t="s">
        <v>674</v>
      </c>
      <c r="J2092" s="381"/>
      <c r="K2092" s="146" t="s">
        <v>5847</v>
      </c>
      <c r="L2092" s="148"/>
      <c r="M2092" s="114" t="s">
        <v>1474</v>
      </c>
      <c r="N2092" s="115"/>
      <c r="O2092" s="116"/>
      <c r="P2092" s="173" t="s">
        <v>4889</v>
      </c>
      <c r="Q2092" s="174"/>
      <c r="R2092" s="117" t="s">
        <v>3489</v>
      </c>
      <c r="S2092" s="118"/>
      <c r="T2092" s="183">
        <v>2</v>
      </c>
      <c r="U2092" s="185"/>
      <c r="V2092" s="180" t="s">
        <v>1488</v>
      </c>
      <c r="W2092" s="181"/>
      <c r="X2092" s="435"/>
      <c r="Y2092" s="436"/>
      <c r="Z2092" s="437"/>
      <c r="AA2092" s="194"/>
      <c r="AB2092" s="195"/>
      <c r="AC2092" s="447"/>
      <c r="AD2092" s="448"/>
      <c r="AE2092" s="32"/>
      <c r="AF2092" s="167"/>
      <c r="AG2092" s="168"/>
      <c r="AH2092" s="168"/>
      <c r="AI2092" s="271"/>
      <c r="AJ2092" s="271"/>
      <c r="AK2092" s="15"/>
      <c r="AL2092" s="15"/>
    </row>
    <row r="2093" spans="1:38" ht="75" x14ac:dyDescent="0.3">
      <c r="A2093" s="179"/>
      <c r="B2093" s="292"/>
      <c r="C2093" s="314"/>
      <c r="D2093" s="293"/>
      <c r="E2093" s="28" t="s">
        <v>5862</v>
      </c>
      <c r="F2093" s="124" t="s">
        <v>5839</v>
      </c>
      <c r="G2093" s="182"/>
      <c r="H2093" s="125"/>
      <c r="I2093" s="380" t="s">
        <v>2510</v>
      </c>
      <c r="J2093" s="381"/>
      <c r="K2093" s="110" t="s">
        <v>5840</v>
      </c>
      <c r="L2093" s="111"/>
      <c r="M2093" s="183">
        <v>15</v>
      </c>
      <c r="N2093" s="184"/>
      <c r="O2093" s="185"/>
      <c r="P2093" s="173" t="s">
        <v>5841</v>
      </c>
      <c r="Q2093" s="174"/>
      <c r="R2093" s="114" t="s">
        <v>1463</v>
      </c>
      <c r="S2093" s="116"/>
      <c r="T2093" s="183">
        <v>2</v>
      </c>
      <c r="U2093" s="185"/>
      <c r="V2093" s="173" t="s">
        <v>5863</v>
      </c>
      <c r="W2093" s="174"/>
      <c r="X2093" s="175" t="s">
        <v>3763</v>
      </c>
      <c r="Y2093" s="176"/>
      <c r="Z2093" s="177"/>
      <c r="AA2093" s="110" t="s">
        <v>804</v>
      </c>
      <c r="AB2093" s="111"/>
      <c r="AC2093" s="447"/>
      <c r="AD2093" s="448"/>
      <c r="AE2093" s="32"/>
      <c r="AF2093" s="167"/>
      <c r="AG2093" s="168"/>
      <c r="AH2093" s="168"/>
      <c r="AI2093" s="271"/>
      <c r="AJ2093" s="271"/>
      <c r="AK2093" s="15"/>
      <c r="AL2093" s="15"/>
    </row>
    <row r="2094" spans="1:38" ht="75" x14ac:dyDescent="0.3">
      <c r="A2094" s="179"/>
      <c r="B2094" s="292"/>
      <c r="C2094" s="314"/>
      <c r="D2094" s="293"/>
      <c r="E2094" s="28" t="s">
        <v>5864</v>
      </c>
      <c r="F2094" s="114" t="s">
        <v>5846</v>
      </c>
      <c r="G2094" s="115"/>
      <c r="H2094" s="116"/>
      <c r="I2094" s="380" t="s">
        <v>4798</v>
      </c>
      <c r="J2094" s="381"/>
      <c r="K2094" s="110" t="s">
        <v>5847</v>
      </c>
      <c r="L2094" s="111"/>
      <c r="M2094" s="183">
        <v>18</v>
      </c>
      <c r="N2094" s="184"/>
      <c r="O2094" s="185"/>
      <c r="P2094" s="173" t="s">
        <v>4889</v>
      </c>
      <c r="Q2094" s="174"/>
      <c r="R2094" s="114" t="s">
        <v>3489</v>
      </c>
      <c r="S2094" s="116"/>
      <c r="T2094" s="183">
        <v>2</v>
      </c>
      <c r="U2094" s="185"/>
      <c r="V2094" s="180" t="s">
        <v>5865</v>
      </c>
      <c r="W2094" s="181"/>
      <c r="X2094" s="175" t="s">
        <v>5667</v>
      </c>
      <c r="Y2094" s="176"/>
      <c r="Z2094" s="177"/>
      <c r="AA2094" s="110" t="s">
        <v>3997</v>
      </c>
      <c r="AB2094" s="111"/>
      <c r="AC2094" s="447"/>
      <c r="AD2094" s="448"/>
      <c r="AE2094" s="32"/>
      <c r="AF2094" s="167"/>
      <c r="AG2094" s="168"/>
      <c r="AH2094" s="168"/>
      <c r="AI2094" s="271"/>
      <c r="AJ2094" s="271"/>
      <c r="AK2094" s="15"/>
      <c r="AL2094" s="15"/>
    </row>
    <row r="2095" spans="1:38" ht="75" x14ac:dyDescent="0.3">
      <c r="A2095" s="179"/>
      <c r="B2095" s="292"/>
      <c r="C2095" s="314"/>
      <c r="D2095" s="293"/>
      <c r="E2095" s="28" t="s">
        <v>5866</v>
      </c>
      <c r="F2095" s="124" t="s">
        <v>5851</v>
      </c>
      <c r="G2095" s="182"/>
      <c r="H2095" s="125"/>
      <c r="I2095" s="380" t="s">
        <v>5655</v>
      </c>
      <c r="J2095" s="381"/>
      <c r="K2095" s="110" t="s">
        <v>5852</v>
      </c>
      <c r="L2095" s="111"/>
      <c r="M2095" s="183">
        <v>24</v>
      </c>
      <c r="N2095" s="184"/>
      <c r="O2095" s="185"/>
      <c r="P2095" s="173" t="s">
        <v>5782</v>
      </c>
      <c r="Q2095" s="174"/>
      <c r="R2095" s="114" t="s">
        <v>3478</v>
      </c>
      <c r="S2095" s="116"/>
      <c r="T2095" s="183">
        <v>2</v>
      </c>
      <c r="U2095" s="185"/>
      <c r="V2095" s="173" t="s">
        <v>2695</v>
      </c>
      <c r="W2095" s="174"/>
      <c r="X2095" s="175" t="s">
        <v>5867</v>
      </c>
      <c r="Y2095" s="176"/>
      <c r="Z2095" s="177"/>
      <c r="AA2095" s="110" t="s">
        <v>1033</v>
      </c>
      <c r="AB2095" s="111"/>
      <c r="AC2095" s="447"/>
      <c r="AD2095" s="448"/>
      <c r="AE2095" s="32"/>
      <c r="AF2095" s="167"/>
      <c r="AG2095" s="168"/>
      <c r="AH2095" s="168"/>
      <c r="AI2095" s="271"/>
      <c r="AJ2095" s="271"/>
      <c r="AK2095" s="15"/>
      <c r="AL2095" s="15"/>
    </row>
    <row r="2096" spans="1:38" ht="75" x14ac:dyDescent="0.3">
      <c r="A2096" s="179"/>
      <c r="B2096" s="292"/>
      <c r="C2096" s="314"/>
      <c r="D2096" s="293"/>
      <c r="E2096" s="28" t="s">
        <v>5868</v>
      </c>
      <c r="F2096" s="114" t="s">
        <v>5846</v>
      </c>
      <c r="G2096" s="115"/>
      <c r="H2096" s="116"/>
      <c r="I2096" s="380" t="s">
        <v>706</v>
      </c>
      <c r="J2096" s="381"/>
      <c r="K2096" s="110" t="s">
        <v>5847</v>
      </c>
      <c r="L2096" s="111"/>
      <c r="M2096" s="183">
        <v>27</v>
      </c>
      <c r="N2096" s="184"/>
      <c r="O2096" s="185"/>
      <c r="P2096" s="173" t="s">
        <v>4889</v>
      </c>
      <c r="Q2096" s="174"/>
      <c r="R2096" s="114" t="s">
        <v>3489</v>
      </c>
      <c r="S2096" s="116"/>
      <c r="T2096" s="183">
        <v>2</v>
      </c>
      <c r="U2096" s="185"/>
      <c r="V2096" s="180" t="s">
        <v>3456</v>
      </c>
      <c r="W2096" s="181"/>
      <c r="X2096" s="175" t="s">
        <v>1488</v>
      </c>
      <c r="Y2096" s="176"/>
      <c r="Z2096" s="177"/>
      <c r="AA2096" s="110" t="s">
        <v>729</v>
      </c>
      <c r="AB2096" s="111"/>
      <c r="AC2096" s="447"/>
      <c r="AD2096" s="448"/>
      <c r="AE2096" s="32"/>
      <c r="AF2096" s="167"/>
      <c r="AG2096" s="168"/>
      <c r="AH2096" s="168"/>
      <c r="AI2096" s="271"/>
      <c r="AJ2096" s="271"/>
      <c r="AK2096" s="15"/>
      <c r="AL2096" s="15"/>
    </row>
    <row r="2097" spans="1:38" ht="75" x14ac:dyDescent="0.3">
      <c r="A2097" s="179"/>
      <c r="B2097" s="292"/>
      <c r="C2097" s="314"/>
      <c r="D2097" s="293"/>
      <c r="E2097" s="28" t="s">
        <v>5869</v>
      </c>
      <c r="F2097" s="124" t="s">
        <v>5839</v>
      </c>
      <c r="G2097" s="182"/>
      <c r="H2097" s="125"/>
      <c r="I2097" s="380" t="s">
        <v>768</v>
      </c>
      <c r="J2097" s="381"/>
      <c r="K2097" s="110" t="s">
        <v>5840</v>
      </c>
      <c r="L2097" s="111"/>
      <c r="M2097" s="183">
        <v>33</v>
      </c>
      <c r="N2097" s="184"/>
      <c r="O2097" s="185"/>
      <c r="P2097" s="173" t="s">
        <v>5841</v>
      </c>
      <c r="Q2097" s="174"/>
      <c r="R2097" s="114" t="s">
        <v>1463</v>
      </c>
      <c r="S2097" s="116"/>
      <c r="T2097" s="183">
        <v>2</v>
      </c>
      <c r="U2097" s="185"/>
      <c r="V2097" s="173" t="s">
        <v>5870</v>
      </c>
      <c r="W2097" s="174"/>
      <c r="X2097" s="175" t="s">
        <v>3185</v>
      </c>
      <c r="Y2097" s="176"/>
      <c r="Z2097" s="177"/>
      <c r="AA2097" s="110" t="s">
        <v>1181</v>
      </c>
      <c r="AB2097" s="111"/>
      <c r="AC2097" s="447"/>
      <c r="AD2097" s="448"/>
      <c r="AE2097" s="32"/>
      <c r="AF2097" s="167"/>
      <c r="AG2097" s="168"/>
      <c r="AH2097" s="168"/>
      <c r="AI2097" s="271"/>
      <c r="AJ2097" s="271"/>
      <c r="AK2097" s="15"/>
      <c r="AL2097" s="15"/>
    </row>
    <row r="2098" spans="1:38" ht="75" x14ac:dyDescent="0.3">
      <c r="A2098" s="230"/>
      <c r="B2098" s="290"/>
      <c r="C2098" s="345"/>
      <c r="D2098" s="291"/>
      <c r="E2098" s="28" t="s">
        <v>5871</v>
      </c>
      <c r="F2098" s="114" t="s">
        <v>5846</v>
      </c>
      <c r="G2098" s="115"/>
      <c r="H2098" s="116"/>
      <c r="I2098" s="380" t="s">
        <v>674</v>
      </c>
      <c r="J2098" s="381"/>
      <c r="K2098" s="110" t="s">
        <v>5847</v>
      </c>
      <c r="L2098" s="111"/>
      <c r="M2098" s="183">
        <v>36</v>
      </c>
      <c r="N2098" s="184"/>
      <c r="O2098" s="185"/>
      <c r="P2098" s="173" t="s">
        <v>4889</v>
      </c>
      <c r="Q2098" s="174"/>
      <c r="R2098" s="114" t="s">
        <v>3489</v>
      </c>
      <c r="S2098" s="116"/>
      <c r="T2098" s="183">
        <v>2</v>
      </c>
      <c r="U2098" s="185"/>
      <c r="V2098" s="180" t="s">
        <v>5872</v>
      </c>
      <c r="W2098" s="181"/>
      <c r="X2098" s="175" t="s">
        <v>1496</v>
      </c>
      <c r="Y2098" s="176"/>
      <c r="Z2098" s="177"/>
      <c r="AA2098" s="110" t="s">
        <v>2101</v>
      </c>
      <c r="AB2098" s="111"/>
      <c r="AC2098" s="342"/>
      <c r="AD2098" s="343"/>
      <c r="AE2098" s="32"/>
      <c r="AF2098" s="214"/>
      <c r="AG2098" s="215"/>
      <c r="AH2098" s="215"/>
      <c r="AI2098" s="271"/>
      <c r="AJ2098" s="271"/>
      <c r="AK2098" s="15"/>
      <c r="AL2098" s="15"/>
    </row>
    <row r="2099" spans="1:38" ht="45" x14ac:dyDescent="0.25">
      <c r="A2099" s="178"/>
      <c r="B2099" s="233" t="s">
        <v>5873</v>
      </c>
      <c r="C2099" s="305"/>
      <c r="D2099" s="234"/>
      <c r="E2099" s="19" t="s">
        <v>5874</v>
      </c>
      <c r="F2099" s="233" t="s">
        <v>5875</v>
      </c>
      <c r="G2099" s="305"/>
      <c r="H2099" s="234"/>
      <c r="I2099" s="445">
        <v>5</v>
      </c>
      <c r="J2099" s="446"/>
      <c r="K2099" s="351" t="s">
        <v>2701</v>
      </c>
      <c r="L2099" s="352"/>
      <c r="M2099" s="349">
        <v>96</v>
      </c>
      <c r="N2099" s="423"/>
      <c r="O2099" s="350"/>
      <c r="P2099" s="349">
        <v>6</v>
      </c>
      <c r="Q2099" s="350"/>
      <c r="R2099" s="112">
        <v>25</v>
      </c>
      <c r="S2099" s="113"/>
      <c r="T2099" s="349">
        <v>7</v>
      </c>
      <c r="U2099" s="350"/>
      <c r="V2099" s="351" t="s">
        <v>5876</v>
      </c>
      <c r="W2099" s="352"/>
      <c r="X2099" s="294">
        <v>230</v>
      </c>
      <c r="Y2099" s="295"/>
      <c r="Z2099" s="296"/>
      <c r="AA2099" s="233" t="s">
        <v>768</v>
      </c>
      <c r="AB2099" s="234"/>
      <c r="AC2099" s="364" t="s">
        <v>6480</v>
      </c>
      <c r="AD2099" s="365"/>
      <c r="AE2099" s="178"/>
      <c r="AF2099" s="164"/>
      <c r="AG2099" s="165"/>
      <c r="AH2099" s="165"/>
      <c r="AI2099" s="271"/>
      <c r="AJ2099" s="271"/>
      <c r="AK2099" s="15"/>
      <c r="AL2099" s="15"/>
    </row>
    <row r="2100" spans="1:38" ht="30.5" x14ac:dyDescent="0.3">
      <c r="A2100" s="179"/>
      <c r="B2100" s="235"/>
      <c r="C2100" s="270"/>
      <c r="D2100" s="236"/>
      <c r="E2100" s="19" t="s">
        <v>5877</v>
      </c>
      <c r="F2100" s="235"/>
      <c r="G2100" s="270"/>
      <c r="H2100" s="236"/>
      <c r="I2100" s="445">
        <v>5</v>
      </c>
      <c r="J2100" s="446"/>
      <c r="K2100" s="351" t="s">
        <v>2701</v>
      </c>
      <c r="L2100" s="352"/>
      <c r="M2100" s="349">
        <v>96</v>
      </c>
      <c r="N2100" s="423"/>
      <c r="O2100" s="350"/>
      <c r="P2100" s="349">
        <v>6</v>
      </c>
      <c r="Q2100" s="350"/>
      <c r="R2100" s="155">
        <v>25</v>
      </c>
      <c r="S2100" s="157"/>
      <c r="T2100" s="349">
        <v>7</v>
      </c>
      <c r="U2100" s="350"/>
      <c r="V2100" s="351" t="s">
        <v>5876</v>
      </c>
      <c r="W2100" s="352"/>
      <c r="X2100" s="297"/>
      <c r="Y2100" s="298"/>
      <c r="Z2100" s="299"/>
      <c r="AA2100" s="235"/>
      <c r="AB2100" s="236"/>
      <c r="AC2100" s="447" t="s">
        <v>6481</v>
      </c>
      <c r="AD2100" s="448"/>
      <c r="AE2100" s="179"/>
      <c r="AF2100" s="167"/>
      <c r="AG2100" s="168"/>
      <c r="AH2100" s="168"/>
      <c r="AI2100" s="271"/>
      <c r="AJ2100" s="271"/>
      <c r="AK2100" s="15"/>
      <c r="AL2100" s="15"/>
    </row>
    <row r="2101" spans="1:38" ht="45" x14ac:dyDescent="0.3">
      <c r="A2101" s="230"/>
      <c r="B2101" s="237"/>
      <c r="C2101" s="306"/>
      <c r="D2101" s="238"/>
      <c r="E2101" s="19" t="s">
        <v>5878</v>
      </c>
      <c r="F2101" s="237"/>
      <c r="G2101" s="306"/>
      <c r="H2101" s="238"/>
      <c r="I2101" s="445">
        <v>5</v>
      </c>
      <c r="J2101" s="446"/>
      <c r="K2101" s="351" t="s">
        <v>2701</v>
      </c>
      <c r="L2101" s="352"/>
      <c r="M2101" s="349">
        <v>96</v>
      </c>
      <c r="N2101" s="423"/>
      <c r="O2101" s="350"/>
      <c r="P2101" s="349">
        <v>6</v>
      </c>
      <c r="Q2101" s="350"/>
      <c r="R2101" s="160">
        <v>25</v>
      </c>
      <c r="S2101" s="161"/>
      <c r="T2101" s="349">
        <v>7</v>
      </c>
      <c r="U2101" s="350"/>
      <c r="V2101" s="351" t="s">
        <v>5876</v>
      </c>
      <c r="W2101" s="352"/>
      <c r="X2101" s="300"/>
      <c r="Y2101" s="301"/>
      <c r="Z2101" s="302"/>
      <c r="AA2101" s="237"/>
      <c r="AB2101" s="238"/>
      <c r="AC2101" s="342"/>
      <c r="AD2101" s="343"/>
      <c r="AE2101" s="230"/>
      <c r="AF2101" s="214"/>
      <c r="AG2101" s="215"/>
      <c r="AH2101" s="215"/>
      <c r="AI2101" s="271"/>
      <c r="AJ2101" s="271"/>
      <c r="AK2101" s="15"/>
      <c r="AL2101" s="15"/>
    </row>
    <row r="2102" spans="1:38" ht="45" x14ac:dyDescent="0.3">
      <c r="A2102" s="178"/>
      <c r="B2102" s="303" t="s">
        <v>5879</v>
      </c>
      <c r="C2102" s="344"/>
      <c r="D2102" s="304"/>
      <c r="E2102" s="19" t="s">
        <v>5880</v>
      </c>
      <c r="F2102" s="233" t="s">
        <v>5881</v>
      </c>
      <c r="G2102" s="305"/>
      <c r="H2102" s="234"/>
      <c r="I2102" s="430" t="s">
        <v>4639</v>
      </c>
      <c r="J2102" s="431"/>
      <c r="K2102" s="337" t="s">
        <v>5882</v>
      </c>
      <c r="L2102" s="338"/>
      <c r="M2102" s="351" t="s">
        <v>3489</v>
      </c>
      <c r="N2102" s="444"/>
      <c r="O2102" s="352"/>
      <c r="P2102" s="332" t="s">
        <v>5883</v>
      </c>
      <c r="Q2102" s="333"/>
      <c r="R2102" s="112">
        <v>3</v>
      </c>
      <c r="S2102" s="113"/>
      <c r="T2102" s="349">
        <v>2</v>
      </c>
      <c r="U2102" s="350"/>
      <c r="V2102" s="332" t="s">
        <v>2001</v>
      </c>
      <c r="W2102" s="333"/>
      <c r="X2102" s="432" t="s">
        <v>1418</v>
      </c>
      <c r="Y2102" s="433"/>
      <c r="Z2102" s="434"/>
      <c r="AA2102" s="192" t="s">
        <v>4610</v>
      </c>
      <c r="AB2102" s="193"/>
      <c r="AC2102" s="438" t="s">
        <v>6482</v>
      </c>
      <c r="AD2102" s="439"/>
      <c r="AE2102" s="16" t="s">
        <v>1356</v>
      </c>
      <c r="AF2102" s="164"/>
      <c r="AG2102" s="165"/>
      <c r="AH2102" s="165"/>
      <c r="AI2102" s="271"/>
      <c r="AJ2102" s="271"/>
      <c r="AK2102" s="15"/>
      <c r="AL2102" s="15"/>
    </row>
    <row r="2103" spans="1:38" ht="60" x14ac:dyDescent="0.25">
      <c r="A2103" s="179"/>
      <c r="B2103" s="292"/>
      <c r="C2103" s="314"/>
      <c r="D2103" s="293"/>
      <c r="E2103" s="49" t="s">
        <v>5885</v>
      </c>
      <c r="F2103" s="235"/>
      <c r="G2103" s="270"/>
      <c r="H2103" s="236"/>
      <c r="I2103" s="427" t="s">
        <v>4639</v>
      </c>
      <c r="J2103" s="428"/>
      <c r="K2103" s="362" t="s">
        <v>5882</v>
      </c>
      <c r="L2103" s="363"/>
      <c r="M2103" s="375" t="s">
        <v>3489</v>
      </c>
      <c r="N2103" s="429"/>
      <c r="O2103" s="376"/>
      <c r="P2103" s="360" t="s">
        <v>5883</v>
      </c>
      <c r="Q2103" s="361"/>
      <c r="R2103" s="155">
        <v>3</v>
      </c>
      <c r="S2103" s="157"/>
      <c r="T2103" s="358">
        <v>2</v>
      </c>
      <c r="U2103" s="359"/>
      <c r="V2103" s="360" t="s">
        <v>2001</v>
      </c>
      <c r="W2103" s="361"/>
      <c r="X2103" s="435"/>
      <c r="Y2103" s="436"/>
      <c r="Z2103" s="437"/>
      <c r="AA2103" s="194"/>
      <c r="AB2103" s="195"/>
      <c r="AC2103" s="440" t="s">
        <v>6483</v>
      </c>
      <c r="AD2103" s="441"/>
      <c r="AE2103" s="43" t="s">
        <v>5884</v>
      </c>
      <c r="AF2103" s="167"/>
      <c r="AG2103" s="168"/>
      <c r="AH2103" s="168"/>
      <c r="AI2103" s="271"/>
      <c r="AJ2103" s="271"/>
      <c r="AK2103" s="15"/>
      <c r="AL2103" s="15"/>
    </row>
    <row r="2104" spans="1:38" ht="45" x14ac:dyDescent="0.3">
      <c r="A2104" s="230"/>
      <c r="B2104" s="290"/>
      <c r="C2104" s="345"/>
      <c r="D2104" s="291"/>
      <c r="E2104" s="19" t="s">
        <v>5886</v>
      </c>
      <c r="F2104" s="237"/>
      <c r="G2104" s="306"/>
      <c r="H2104" s="238"/>
      <c r="I2104" s="430" t="s">
        <v>4639</v>
      </c>
      <c r="J2104" s="431"/>
      <c r="K2104" s="337" t="s">
        <v>5882</v>
      </c>
      <c r="L2104" s="338"/>
      <c r="M2104" s="349">
        <v>13</v>
      </c>
      <c r="N2104" s="423"/>
      <c r="O2104" s="350"/>
      <c r="P2104" s="332" t="s">
        <v>5883</v>
      </c>
      <c r="Q2104" s="333"/>
      <c r="R2104" s="160">
        <v>3</v>
      </c>
      <c r="S2104" s="161"/>
      <c r="T2104" s="349">
        <v>2</v>
      </c>
      <c r="U2104" s="350"/>
      <c r="V2104" s="332" t="s">
        <v>3151</v>
      </c>
      <c r="W2104" s="333"/>
      <c r="X2104" s="424" t="s">
        <v>3239</v>
      </c>
      <c r="Y2104" s="425"/>
      <c r="Z2104" s="426"/>
      <c r="AA2104" s="337" t="s">
        <v>1336</v>
      </c>
      <c r="AB2104" s="338"/>
      <c r="AC2104" s="442"/>
      <c r="AD2104" s="443"/>
      <c r="AE2104" s="43"/>
      <c r="AF2104" s="214"/>
      <c r="AG2104" s="215"/>
      <c r="AH2104" s="215"/>
      <c r="AI2104" s="271"/>
      <c r="AJ2104" s="271"/>
      <c r="AK2104" s="15"/>
      <c r="AL2104" s="15"/>
    </row>
    <row r="2105" spans="1:38" ht="105" x14ac:dyDescent="0.3">
      <c r="A2105" s="178"/>
      <c r="B2105" s="233" t="s">
        <v>5887</v>
      </c>
      <c r="C2105" s="305"/>
      <c r="D2105" s="234"/>
      <c r="E2105" s="28" t="s">
        <v>5888</v>
      </c>
      <c r="F2105" s="233" t="s">
        <v>5889</v>
      </c>
      <c r="G2105" s="305"/>
      <c r="H2105" s="234"/>
      <c r="I2105" s="382">
        <v>28</v>
      </c>
      <c r="J2105" s="383"/>
      <c r="K2105" s="114" t="s">
        <v>5890</v>
      </c>
      <c r="L2105" s="116"/>
      <c r="M2105" s="173" t="s">
        <v>2146</v>
      </c>
      <c r="N2105" s="276"/>
      <c r="O2105" s="174"/>
      <c r="P2105" s="173" t="s">
        <v>5891</v>
      </c>
      <c r="Q2105" s="174"/>
      <c r="R2105" s="112">
        <v>38</v>
      </c>
      <c r="S2105" s="113"/>
      <c r="T2105" s="183">
        <v>12</v>
      </c>
      <c r="U2105" s="185"/>
      <c r="V2105" s="173" t="s">
        <v>5892</v>
      </c>
      <c r="W2105" s="174"/>
      <c r="X2105" s="252">
        <v>599</v>
      </c>
      <c r="Y2105" s="253"/>
      <c r="Z2105" s="254"/>
      <c r="AA2105" s="110" t="s">
        <v>3684</v>
      </c>
      <c r="AB2105" s="111"/>
      <c r="AC2105" s="171" t="s">
        <v>3194</v>
      </c>
      <c r="AD2105" s="172"/>
      <c r="AE2105" s="178"/>
      <c r="AF2105" s="164"/>
      <c r="AG2105" s="165"/>
      <c r="AH2105" s="165"/>
      <c r="AI2105" s="271"/>
      <c r="AJ2105" s="271"/>
      <c r="AK2105" s="15"/>
      <c r="AL2105" s="15"/>
    </row>
    <row r="2106" spans="1:38" ht="105" x14ac:dyDescent="0.3">
      <c r="A2106" s="179"/>
      <c r="B2106" s="235"/>
      <c r="C2106" s="270"/>
      <c r="D2106" s="236"/>
      <c r="E2106" s="28" t="s">
        <v>5895</v>
      </c>
      <c r="F2106" s="235"/>
      <c r="G2106" s="270"/>
      <c r="H2106" s="236"/>
      <c r="I2106" s="382">
        <v>28</v>
      </c>
      <c r="J2106" s="383"/>
      <c r="K2106" s="114" t="s">
        <v>5890</v>
      </c>
      <c r="L2106" s="116"/>
      <c r="M2106" s="173" t="s">
        <v>2146</v>
      </c>
      <c r="N2106" s="276"/>
      <c r="O2106" s="174"/>
      <c r="P2106" s="173" t="s">
        <v>5891</v>
      </c>
      <c r="Q2106" s="174"/>
      <c r="R2106" s="155">
        <v>38</v>
      </c>
      <c r="S2106" s="157"/>
      <c r="T2106" s="183">
        <v>12</v>
      </c>
      <c r="U2106" s="185"/>
      <c r="V2106" s="173" t="s">
        <v>5892</v>
      </c>
      <c r="W2106" s="174"/>
      <c r="X2106" s="311"/>
      <c r="Y2106" s="312"/>
      <c r="Z2106" s="313"/>
      <c r="AA2106" s="110" t="s">
        <v>5896</v>
      </c>
      <c r="AB2106" s="111"/>
      <c r="AC2106" s="162" t="s">
        <v>5893</v>
      </c>
      <c r="AD2106" s="163"/>
      <c r="AE2106" s="179"/>
      <c r="AF2106" s="167"/>
      <c r="AG2106" s="168"/>
      <c r="AH2106" s="168"/>
      <c r="AI2106" s="271"/>
      <c r="AJ2106" s="271"/>
      <c r="AK2106" s="15"/>
      <c r="AL2106" s="15"/>
    </row>
    <row r="2107" spans="1:38" ht="105" x14ac:dyDescent="0.3">
      <c r="A2107" s="179"/>
      <c r="B2107" s="235"/>
      <c r="C2107" s="270"/>
      <c r="D2107" s="236"/>
      <c r="E2107" s="28" t="s">
        <v>5897</v>
      </c>
      <c r="F2107" s="237"/>
      <c r="G2107" s="306"/>
      <c r="H2107" s="238"/>
      <c r="I2107" s="382">
        <v>28</v>
      </c>
      <c r="J2107" s="383"/>
      <c r="K2107" s="114" t="s">
        <v>5890</v>
      </c>
      <c r="L2107" s="116"/>
      <c r="M2107" s="173" t="s">
        <v>2146</v>
      </c>
      <c r="N2107" s="276"/>
      <c r="O2107" s="174"/>
      <c r="P2107" s="173" t="s">
        <v>5891</v>
      </c>
      <c r="Q2107" s="174"/>
      <c r="R2107" s="160">
        <v>38</v>
      </c>
      <c r="S2107" s="161"/>
      <c r="T2107" s="183">
        <v>12</v>
      </c>
      <c r="U2107" s="185"/>
      <c r="V2107" s="173" t="s">
        <v>5892</v>
      </c>
      <c r="W2107" s="174"/>
      <c r="X2107" s="255"/>
      <c r="Y2107" s="256"/>
      <c r="Z2107" s="257"/>
      <c r="AA2107" s="110" t="s">
        <v>5896</v>
      </c>
      <c r="AB2107" s="111"/>
      <c r="AC2107" s="162" t="s">
        <v>5894</v>
      </c>
      <c r="AD2107" s="163"/>
      <c r="AE2107" s="179"/>
      <c r="AF2107" s="167"/>
      <c r="AG2107" s="168"/>
      <c r="AH2107" s="168"/>
      <c r="AI2107" s="271"/>
      <c r="AJ2107" s="271"/>
      <c r="AK2107" s="15"/>
      <c r="AL2107" s="15"/>
    </row>
    <row r="2108" spans="1:38" ht="105" x14ac:dyDescent="0.3">
      <c r="A2108" s="179"/>
      <c r="B2108" s="235"/>
      <c r="C2108" s="270"/>
      <c r="D2108" s="236"/>
      <c r="E2108" s="28" t="s">
        <v>5898</v>
      </c>
      <c r="F2108" s="233" t="s">
        <v>5899</v>
      </c>
      <c r="G2108" s="305"/>
      <c r="H2108" s="234"/>
      <c r="I2108" s="380" t="s">
        <v>5900</v>
      </c>
      <c r="J2108" s="381"/>
      <c r="K2108" s="114" t="s">
        <v>5901</v>
      </c>
      <c r="L2108" s="116"/>
      <c r="M2108" s="285">
        <v>178</v>
      </c>
      <c r="N2108" s="400"/>
      <c r="O2108" s="286"/>
      <c r="P2108" s="180" t="s">
        <v>5902</v>
      </c>
      <c r="Q2108" s="181"/>
      <c r="R2108" s="112">
        <v>60</v>
      </c>
      <c r="S2108" s="113"/>
      <c r="T2108" s="183">
        <v>12</v>
      </c>
      <c r="U2108" s="185"/>
      <c r="V2108" s="173" t="s">
        <v>5903</v>
      </c>
      <c r="W2108" s="174"/>
      <c r="X2108" s="252">
        <v>799</v>
      </c>
      <c r="Y2108" s="253"/>
      <c r="Z2108" s="254"/>
      <c r="AA2108" s="110" t="s">
        <v>5904</v>
      </c>
      <c r="AB2108" s="111"/>
      <c r="AC2108" s="162"/>
      <c r="AD2108" s="163"/>
      <c r="AE2108" s="179"/>
      <c r="AF2108" s="167"/>
      <c r="AG2108" s="168"/>
      <c r="AH2108" s="168"/>
      <c r="AI2108" s="271"/>
      <c r="AJ2108" s="271"/>
      <c r="AK2108" s="15"/>
      <c r="AL2108" s="15"/>
    </row>
    <row r="2109" spans="1:38" ht="105" x14ac:dyDescent="0.3">
      <c r="A2109" s="179"/>
      <c r="B2109" s="235"/>
      <c r="C2109" s="270"/>
      <c r="D2109" s="236"/>
      <c r="E2109" s="28" t="s">
        <v>5905</v>
      </c>
      <c r="F2109" s="235"/>
      <c r="G2109" s="270"/>
      <c r="H2109" s="236"/>
      <c r="I2109" s="380" t="s">
        <v>5900</v>
      </c>
      <c r="J2109" s="381"/>
      <c r="K2109" s="114" t="s">
        <v>5901</v>
      </c>
      <c r="L2109" s="116"/>
      <c r="M2109" s="285">
        <v>178</v>
      </c>
      <c r="N2109" s="400"/>
      <c r="O2109" s="286"/>
      <c r="P2109" s="180" t="s">
        <v>5902</v>
      </c>
      <c r="Q2109" s="181"/>
      <c r="R2109" s="155">
        <v>60</v>
      </c>
      <c r="S2109" s="157"/>
      <c r="T2109" s="183">
        <v>12</v>
      </c>
      <c r="U2109" s="185"/>
      <c r="V2109" s="173" t="s">
        <v>5903</v>
      </c>
      <c r="W2109" s="174"/>
      <c r="X2109" s="311"/>
      <c r="Y2109" s="312"/>
      <c r="Z2109" s="313"/>
      <c r="AA2109" s="110" t="s">
        <v>2890</v>
      </c>
      <c r="AB2109" s="111"/>
      <c r="AC2109" s="162"/>
      <c r="AD2109" s="163"/>
      <c r="AE2109" s="179"/>
      <c r="AF2109" s="167"/>
      <c r="AG2109" s="168"/>
      <c r="AH2109" s="168"/>
      <c r="AI2109" s="271"/>
      <c r="AJ2109" s="271"/>
      <c r="AK2109" s="15"/>
      <c r="AL2109" s="15"/>
    </row>
    <row r="2110" spans="1:38" ht="105" x14ac:dyDescent="0.3">
      <c r="A2110" s="179"/>
      <c r="B2110" s="235"/>
      <c r="C2110" s="270"/>
      <c r="D2110" s="236"/>
      <c r="E2110" s="28" t="s">
        <v>5906</v>
      </c>
      <c r="F2110" s="237"/>
      <c r="G2110" s="306"/>
      <c r="H2110" s="238"/>
      <c r="I2110" s="380" t="s">
        <v>5900</v>
      </c>
      <c r="J2110" s="381"/>
      <c r="K2110" s="114" t="s">
        <v>5901</v>
      </c>
      <c r="L2110" s="116"/>
      <c r="M2110" s="285">
        <v>178</v>
      </c>
      <c r="N2110" s="400"/>
      <c r="O2110" s="286"/>
      <c r="P2110" s="180" t="s">
        <v>5902</v>
      </c>
      <c r="Q2110" s="181"/>
      <c r="R2110" s="155">
        <v>60</v>
      </c>
      <c r="S2110" s="157"/>
      <c r="T2110" s="183">
        <v>12</v>
      </c>
      <c r="U2110" s="185"/>
      <c r="V2110" s="173" t="s">
        <v>5903</v>
      </c>
      <c r="W2110" s="174"/>
      <c r="X2110" s="255"/>
      <c r="Y2110" s="256"/>
      <c r="Z2110" s="257"/>
      <c r="AA2110" s="110" t="s">
        <v>2890</v>
      </c>
      <c r="AB2110" s="111"/>
      <c r="AC2110" s="162"/>
      <c r="AD2110" s="163"/>
      <c r="AE2110" s="179"/>
      <c r="AF2110" s="167"/>
      <c r="AG2110" s="168"/>
      <c r="AH2110" s="168"/>
      <c r="AI2110" s="271"/>
      <c r="AJ2110" s="271"/>
      <c r="AK2110" s="15"/>
      <c r="AL2110" s="15"/>
    </row>
    <row r="2111" spans="1:38" ht="105" x14ac:dyDescent="0.3">
      <c r="A2111" s="179"/>
      <c r="B2111" s="235"/>
      <c r="C2111" s="270"/>
      <c r="D2111" s="236"/>
      <c r="E2111" s="28" t="s">
        <v>5907</v>
      </c>
      <c r="F2111" s="192" t="s">
        <v>5908</v>
      </c>
      <c r="G2111" s="196"/>
      <c r="H2111" s="193"/>
      <c r="I2111" s="380" t="s">
        <v>5900</v>
      </c>
      <c r="J2111" s="381"/>
      <c r="K2111" s="114" t="s">
        <v>5909</v>
      </c>
      <c r="L2111" s="116"/>
      <c r="M2111" s="173" t="s">
        <v>5910</v>
      </c>
      <c r="N2111" s="276"/>
      <c r="O2111" s="174"/>
      <c r="P2111" s="180" t="s">
        <v>5911</v>
      </c>
      <c r="Q2111" s="181"/>
      <c r="R2111" s="155">
        <v>60</v>
      </c>
      <c r="S2111" s="157"/>
      <c r="T2111" s="183">
        <v>12</v>
      </c>
      <c r="U2111" s="185"/>
      <c r="V2111" s="173" t="s">
        <v>5912</v>
      </c>
      <c r="W2111" s="174"/>
      <c r="X2111" s="414">
        <v>1099</v>
      </c>
      <c r="Y2111" s="415"/>
      <c r="Z2111" s="416"/>
      <c r="AA2111" s="110" t="s">
        <v>5913</v>
      </c>
      <c r="AB2111" s="111"/>
      <c r="AC2111" s="162"/>
      <c r="AD2111" s="163"/>
      <c r="AE2111" s="179"/>
      <c r="AF2111" s="167"/>
      <c r="AG2111" s="168"/>
      <c r="AH2111" s="168"/>
      <c r="AI2111" s="271"/>
      <c r="AJ2111" s="271"/>
      <c r="AK2111" s="15"/>
      <c r="AL2111" s="15"/>
    </row>
    <row r="2112" spans="1:38" ht="105" x14ac:dyDescent="0.3">
      <c r="A2112" s="179"/>
      <c r="B2112" s="235"/>
      <c r="C2112" s="270"/>
      <c r="D2112" s="236"/>
      <c r="E2112" s="28" t="s">
        <v>5914</v>
      </c>
      <c r="F2112" s="272"/>
      <c r="G2112" s="282"/>
      <c r="H2112" s="273"/>
      <c r="I2112" s="380" t="s">
        <v>5900</v>
      </c>
      <c r="J2112" s="381"/>
      <c r="K2112" s="114" t="s">
        <v>5909</v>
      </c>
      <c r="L2112" s="116"/>
      <c r="M2112" s="173" t="s">
        <v>5910</v>
      </c>
      <c r="N2112" s="276"/>
      <c r="O2112" s="174"/>
      <c r="P2112" s="180" t="s">
        <v>5911</v>
      </c>
      <c r="Q2112" s="181"/>
      <c r="R2112" s="155">
        <v>60</v>
      </c>
      <c r="S2112" s="157"/>
      <c r="T2112" s="183">
        <v>12</v>
      </c>
      <c r="U2112" s="185"/>
      <c r="V2112" s="173" t="s">
        <v>5912</v>
      </c>
      <c r="W2112" s="174"/>
      <c r="X2112" s="417"/>
      <c r="Y2112" s="418"/>
      <c r="Z2112" s="419"/>
      <c r="AA2112" s="110" t="s">
        <v>5915</v>
      </c>
      <c r="AB2112" s="111"/>
      <c r="AC2112" s="162"/>
      <c r="AD2112" s="163"/>
      <c r="AE2112" s="179"/>
      <c r="AF2112" s="167"/>
      <c r="AG2112" s="168"/>
      <c r="AH2112" s="168"/>
      <c r="AI2112" s="271"/>
      <c r="AJ2112" s="271"/>
      <c r="AK2112" s="15"/>
      <c r="AL2112" s="15"/>
    </row>
    <row r="2113" spans="1:38" ht="105" x14ac:dyDescent="0.3">
      <c r="A2113" s="179"/>
      <c r="B2113" s="235"/>
      <c r="C2113" s="270"/>
      <c r="D2113" s="236"/>
      <c r="E2113" s="28" t="s">
        <v>5916</v>
      </c>
      <c r="F2113" s="194"/>
      <c r="G2113" s="197"/>
      <c r="H2113" s="195"/>
      <c r="I2113" s="380" t="s">
        <v>5900</v>
      </c>
      <c r="J2113" s="381"/>
      <c r="K2113" s="114" t="s">
        <v>5909</v>
      </c>
      <c r="L2113" s="116"/>
      <c r="M2113" s="173" t="s">
        <v>5910</v>
      </c>
      <c r="N2113" s="276"/>
      <c r="O2113" s="174"/>
      <c r="P2113" s="180" t="s">
        <v>5911</v>
      </c>
      <c r="Q2113" s="181"/>
      <c r="R2113" s="160">
        <v>60</v>
      </c>
      <c r="S2113" s="161"/>
      <c r="T2113" s="183">
        <v>12</v>
      </c>
      <c r="U2113" s="185"/>
      <c r="V2113" s="173" t="s">
        <v>5912</v>
      </c>
      <c r="W2113" s="174"/>
      <c r="X2113" s="420"/>
      <c r="Y2113" s="421"/>
      <c r="Z2113" s="422"/>
      <c r="AA2113" s="110" t="s">
        <v>5915</v>
      </c>
      <c r="AB2113" s="111"/>
      <c r="AC2113" s="162"/>
      <c r="AD2113" s="163"/>
      <c r="AE2113" s="179"/>
      <c r="AF2113" s="167"/>
      <c r="AG2113" s="168"/>
      <c r="AH2113" s="168"/>
      <c r="AI2113" s="271"/>
      <c r="AJ2113" s="271"/>
      <c r="AK2113" s="15"/>
      <c r="AL2113" s="15"/>
    </row>
    <row r="2114" spans="1:38" ht="105" x14ac:dyDescent="0.3">
      <c r="A2114" s="179"/>
      <c r="B2114" s="235"/>
      <c r="C2114" s="270"/>
      <c r="D2114" s="236"/>
      <c r="E2114" s="28" t="s">
        <v>5917</v>
      </c>
      <c r="F2114" s="303" t="s">
        <v>5918</v>
      </c>
      <c r="G2114" s="344"/>
      <c r="H2114" s="304"/>
      <c r="I2114" s="88" t="s">
        <v>5919</v>
      </c>
      <c r="J2114" s="89"/>
      <c r="K2114" s="124" t="s">
        <v>3828</v>
      </c>
      <c r="L2114" s="125"/>
      <c r="M2114" s="173" t="s">
        <v>5921</v>
      </c>
      <c r="N2114" s="276"/>
      <c r="O2114" s="174"/>
      <c r="P2114" s="173" t="s">
        <v>5922</v>
      </c>
      <c r="Q2114" s="174"/>
      <c r="R2114" s="112">
        <v>87</v>
      </c>
      <c r="S2114" s="113"/>
      <c r="T2114" s="183">
        <v>15</v>
      </c>
      <c r="U2114" s="185"/>
      <c r="V2114" s="412" t="s">
        <v>5923</v>
      </c>
      <c r="W2114" s="413"/>
      <c r="X2114" s="414">
        <v>1099</v>
      </c>
      <c r="Y2114" s="415"/>
      <c r="Z2114" s="416"/>
      <c r="AA2114" s="110" t="s">
        <v>5924</v>
      </c>
      <c r="AB2114" s="111"/>
      <c r="AC2114" s="162"/>
      <c r="AD2114" s="163"/>
      <c r="AE2114" s="179"/>
      <c r="AF2114" s="167"/>
      <c r="AG2114" s="168"/>
      <c r="AH2114" s="168"/>
      <c r="AI2114" s="271"/>
      <c r="AJ2114" s="271"/>
      <c r="AK2114" s="15"/>
      <c r="AL2114" s="15"/>
    </row>
    <row r="2115" spans="1:38" ht="105" x14ac:dyDescent="0.3">
      <c r="A2115" s="179"/>
      <c r="B2115" s="235"/>
      <c r="C2115" s="270"/>
      <c r="D2115" s="236"/>
      <c r="E2115" s="28" t="s">
        <v>5925</v>
      </c>
      <c r="F2115" s="292"/>
      <c r="G2115" s="314"/>
      <c r="H2115" s="293"/>
      <c r="I2115" s="126" t="s">
        <v>5920</v>
      </c>
      <c r="J2115" s="127"/>
      <c r="K2115" s="124" t="s">
        <v>3828</v>
      </c>
      <c r="L2115" s="125"/>
      <c r="M2115" s="173" t="s">
        <v>5921</v>
      </c>
      <c r="N2115" s="276"/>
      <c r="O2115" s="174"/>
      <c r="P2115" s="173" t="s">
        <v>5922</v>
      </c>
      <c r="Q2115" s="174"/>
      <c r="R2115" s="155">
        <v>87</v>
      </c>
      <c r="S2115" s="157"/>
      <c r="T2115" s="183">
        <v>15</v>
      </c>
      <c r="U2115" s="185"/>
      <c r="V2115" s="412" t="s">
        <v>5923</v>
      </c>
      <c r="W2115" s="413"/>
      <c r="X2115" s="417"/>
      <c r="Y2115" s="418"/>
      <c r="Z2115" s="419"/>
      <c r="AA2115" s="110" t="s">
        <v>5926</v>
      </c>
      <c r="AB2115" s="111"/>
      <c r="AC2115" s="162"/>
      <c r="AD2115" s="163"/>
      <c r="AE2115" s="179"/>
      <c r="AF2115" s="167"/>
      <c r="AG2115" s="168"/>
      <c r="AH2115" s="168"/>
      <c r="AI2115" s="271"/>
      <c r="AJ2115" s="271"/>
      <c r="AK2115" s="15"/>
      <c r="AL2115" s="15"/>
    </row>
    <row r="2116" spans="1:38" ht="105" x14ac:dyDescent="0.3">
      <c r="A2116" s="179"/>
      <c r="B2116" s="235"/>
      <c r="C2116" s="270"/>
      <c r="D2116" s="236"/>
      <c r="E2116" s="28" t="s">
        <v>5927</v>
      </c>
      <c r="F2116" s="292"/>
      <c r="G2116" s="314"/>
      <c r="H2116" s="293"/>
      <c r="I2116" s="126" t="s">
        <v>5919</v>
      </c>
      <c r="J2116" s="127"/>
      <c r="K2116" s="124" t="s">
        <v>3828</v>
      </c>
      <c r="L2116" s="125"/>
      <c r="M2116" s="173" t="s">
        <v>5921</v>
      </c>
      <c r="N2116" s="276"/>
      <c r="O2116" s="174"/>
      <c r="P2116" s="173" t="s">
        <v>5922</v>
      </c>
      <c r="Q2116" s="174"/>
      <c r="R2116" s="160">
        <v>87</v>
      </c>
      <c r="S2116" s="161"/>
      <c r="T2116" s="183">
        <v>15</v>
      </c>
      <c r="U2116" s="185"/>
      <c r="V2116" s="412" t="s">
        <v>5923</v>
      </c>
      <c r="W2116" s="413"/>
      <c r="X2116" s="420"/>
      <c r="Y2116" s="421"/>
      <c r="Z2116" s="422"/>
      <c r="AA2116" s="110" t="s">
        <v>5926</v>
      </c>
      <c r="AB2116" s="111"/>
      <c r="AC2116" s="162"/>
      <c r="AD2116" s="163"/>
      <c r="AE2116" s="179"/>
      <c r="AF2116" s="167"/>
      <c r="AG2116" s="168"/>
      <c r="AH2116" s="168"/>
      <c r="AI2116" s="271"/>
      <c r="AJ2116" s="271"/>
      <c r="AK2116" s="15"/>
      <c r="AL2116" s="15"/>
    </row>
    <row r="2117" spans="1:38" ht="105" x14ac:dyDescent="0.3">
      <c r="A2117" s="179"/>
      <c r="B2117" s="235"/>
      <c r="C2117" s="270"/>
      <c r="D2117" s="236"/>
      <c r="E2117" s="28" t="s">
        <v>5928</v>
      </c>
      <c r="F2117" s="292"/>
      <c r="G2117" s="314"/>
      <c r="H2117" s="293"/>
      <c r="I2117" s="126"/>
      <c r="J2117" s="127"/>
      <c r="K2117" s="124" t="s">
        <v>3828</v>
      </c>
      <c r="L2117" s="125"/>
      <c r="M2117" s="285">
        <v>538</v>
      </c>
      <c r="N2117" s="400"/>
      <c r="O2117" s="286"/>
      <c r="P2117" s="180" t="s">
        <v>5929</v>
      </c>
      <c r="Q2117" s="181"/>
      <c r="R2117" s="112">
        <v>92</v>
      </c>
      <c r="S2117" s="113"/>
      <c r="T2117" s="183">
        <v>15</v>
      </c>
      <c r="U2117" s="185"/>
      <c r="V2117" s="412" t="s">
        <v>5930</v>
      </c>
      <c r="W2117" s="413"/>
      <c r="X2117" s="414">
        <v>1299</v>
      </c>
      <c r="Y2117" s="415"/>
      <c r="Z2117" s="416"/>
      <c r="AA2117" s="124" t="s">
        <v>5931</v>
      </c>
      <c r="AB2117" s="125"/>
      <c r="AC2117" s="162"/>
      <c r="AD2117" s="163"/>
      <c r="AE2117" s="179"/>
      <c r="AF2117" s="167"/>
      <c r="AG2117" s="168"/>
      <c r="AH2117" s="168"/>
      <c r="AI2117" s="271"/>
      <c r="AJ2117" s="271"/>
      <c r="AK2117" s="15"/>
      <c r="AL2117" s="15"/>
    </row>
    <row r="2118" spans="1:38" ht="105" x14ac:dyDescent="0.3">
      <c r="A2118" s="179"/>
      <c r="B2118" s="235"/>
      <c r="C2118" s="270"/>
      <c r="D2118" s="236"/>
      <c r="E2118" s="28" t="s">
        <v>5932</v>
      </c>
      <c r="F2118" s="292"/>
      <c r="G2118" s="314"/>
      <c r="H2118" s="293"/>
      <c r="I2118" s="126"/>
      <c r="J2118" s="127"/>
      <c r="K2118" s="124" t="s">
        <v>3828</v>
      </c>
      <c r="L2118" s="125"/>
      <c r="M2118" s="285">
        <v>538</v>
      </c>
      <c r="N2118" s="400"/>
      <c r="O2118" s="286"/>
      <c r="P2118" s="180" t="s">
        <v>5929</v>
      </c>
      <c r="Q2118" s="181"/>
      <c r="R2118" s="155">
        <v>92</v>
      </c>
      <c r="S2118" s="157"/>
      <c r="T2118" s="183">
        <v>15</v>
      </c>
      <c r="U2118" s="185"/>
      <c r="V2118" s="412" t="s">
        <v>5930</v>
      </c>
      <c r="W2118" s="413"/>
      <c r="X2118" s="417"/>
      <c r="Y2118" s="418"/>
      <c r="Z2118" s="419"/>
      <c r="AA2118" s="124" t="s">
        <v>5933</v>
      </c>
      <c r="AB2118" s="125"/>
      <c r="AC2118" s="162"/>
      <c r="AD2118" s="163"/>
      <c r="AE2118" s="179"/>
      <c r="AF2118" s="167"/>
      <c r="AG2118" s="168"/>
      <c r="AH2118" s="168"/>
      <c r="AI2118" s="271"/>
      <c r="AJ2118" s="271"/>
      <c r="AK2118" s="15"/>
      <c r="AL2118" s="15"/>
    </row>
    <row r="2119" spans="1:38" ht="105" x14ac:dyDescent="0.3">
      <c r="A2119" s="179"/>
      <c r="B2119" s="235"/>
      <c r="C2119" s="270"/>
      <c r="D2119" s="236"/>
      <c r="E2119" s="28" t="s">
        <v>5934</v>
      </c>
      <c r="F2119" s="292"/>
      <c r="G2119" s="314"/>
      <c r="H2119" s="293"/>
      <c r="I2119" s="126"/>
      <c r="J2119" s="127"/>
      <c r="K2119" s="124" t="s">
        <v>3828</v>
      </c>
      <c r="L2119" s="125"/>
      <c r="M2119" s="285">
        <v>538</v>
      </c>
      <c r="N2119" s="400"/>
      <c r="O2119" s="286"/>
      <c r="P2119" s="180" t="s">
        <v>5929</v>
      </c>
      <c r="Q2119" s="181"/>
      <c r="R2119" s="160">
        <v>92</v>
      </c>
      <c r="S2119" s="161"/>
      <c r="T2119" s="183">
        <v>15</v>
      </c>
      <c r="U2119" s="185"/>
      <c r="V2119" s="412" t="s">
        <v>5930</v>
      </c>
      <c r="W2119" s="413"/>
      <c r="X2119" s="420"/>
      <c r="Y2119" s="421"/>
      <c r="Z2119" s="422"/>
      <c r="AA2119" s="124" t="s">
        <v>5933</v>
      </c>
      <c r="AB2119" s="125"/>
      <c r="AC2119" s="162"/>
      <c r="AD2119" s="163"/>
      <c r="AE2119" s="179"/>
      <c r="AF2119" s="167"/>
      <c r="AG2119" s="168"/>
      <c r="AH2119" s="168"/>
      <c r="AI2119" s="271"/>
      <c r="AJ2119" s="271"/>
      <c r="AK2119" s="15"/>
      <c r="AL2119" s="15"/>
    </row>
    <row r="2120" spans="1:38" ht="105" x14ac:dyDescent="0.3">
      <c r="A2120" s="179"/>
      <c r="B2120" s="235"/>
      <c r="C2120" s="270"/>
      <c r="D2120" s="236"/>
      <c r="E2120" s="28" t="s">
        <v>5935</v>
      </c>
      <c r="F2120" s="292"/>
      <c r="G2120" s="314"/>
      <c r="H2120" s="293"/>
      <c r="I2120" s="126"/>
      <c r="J2120" s="127"/>
      <c r="K2120" s="124" t="s">
        <v>3828</v>
      </c>
      <c r="L2120" s="125"/>
      <c r="M2120" s="173" t="s">
        <v>5936</v>
      </c>
      <c r="N2120" s="276"/>
      <c r="O2120" s="174"/>
      <c r="P2120" s="180" t="s">
        <v>5937</v>
      </c>
      <c r="Q2120" s="181"/>
      <c r="R2120" s="112">
        <v>97</v>
      </c>
      <c r="S2120" s="113"/>
      <c r="T2120" s="183">
        <v>15</v>
      </c>
      <c r="U2120" s="185"/>
      <c r="V2120" s="412" t="s">
        <v>5938</v>
      </c>
      <c r="W2120" s="413"/>
      <c r="X2120" s="414">
        <v>1599</v>
      </c>
      <c r="Y2120" s="415"/>
      <c r="Z2120" s="416"/>
      <c r="AA2120" s="124" t="s">
        <v>5939</v>
      </c>
      <c r="AB2120" s="125"/>
      <c r="AC2120" s="162"/>
      <c r="AD2120" s="163"/>
      <c r="AE2120" s="179"/>
      <c r="AF2120" s="167"/>
      <c r="AG2120" s="168"/>
      <c r="AH2120" s="168"/>
      <c r="AI2120" s="271"/>
      <c r="AJ2120" s="271"/>
      <c r="AK2120" s="15"/>
      <c r="AL2120" s="15"/>
    </row>
    <row r="2121" spans="1:38" ht="105" x14ac:dyDescent="0.3">
      <c r="A2121" s="179"/>
      <c r="B2121" s="235"/>
      <c r="C2121" s="270"/>
      <c r="D2121" s="236"/>
      <c r="E2121" s="28" t="s">
        <v>5940</v>
      </c>
      <c r="F2121" s="292"/>
      <c r="G2121" s="314"/>
      <c r="H2121" s="293"/>
      <c r="I2121" s="126"/>
      <c r="J2121" s="127"/>
      <c r="K2121" s="124" t="s">
        <v>3828</v>
      </c>
      <c r="L2121" s="125"/>
      <c r="M2121" s="173" t="s">
        <v>5936</v>
      </c>
      <c r="N2121" s="276"/>
      <c r="O2121" s="174"/>
      <c r="P2121" s="180" t="s">
        <v>5937</v>
      </c>
      <c r="Q2121" s="181"/>
      <c r="R2121" s="155">
        <v>97</v>
      </c>
      <c r="S2121" s="157"/>
      <c r="T2121" s="183">
        <v>15</v>
      </c>
      <c r="U2121" s="185"/>
      <c r="V2121" s="412" t="s">
        <v>5938</v>
      </c>
      <c r="W2121" s="413"/>
      <c r="X2121" s="417"/>
      <c r="Y2121" s="418"/>
      <c r="Z2121" s="419"/>
      <c r="AA2121" s="124" t="s">
        <v>1606</v>
      </c>
      <c r="AB2121" s="125"/>
      <c r="AC2121" s="162"/>
      <c r="AD2121" s="163"/>
      <c r="AE2121" s="179"/>
      <c r="AF2121" s="167"/>
      <c r="AG2121" s="168"/>
      <c r="AH2121" s="168"/>
      <c r="AI2121" s="271"/>
      <c r="AJ2121" s="271"/>
      <c r="AK2121" s="15"/>
      <c r="AL2121" s="15"/>
    </row>
    <row r="2122" spans="1:38" ht="105" x14ac:dyDescent="0.3">
      <c r="A2122" s="230"/>
      <c r="B2122" s="237"/>
      <c r="C2122" s="306"/>
      <c r="D2122" s="238"/>
      <c r="E2122" s="28" t="s">
        <v>5941</v>
      </c>
      <c r="F2122" s="290"/>
      <c r="G2122" s="345"/>
      <c r="H2122" s="291"/>
      <c r="I2122" s="117"/>
      <c r="J2122" s="118"/>
      <c r="K2122" s="124" t="s">
        <v>3828</v>
      </c>
      <c r="L2122" s="125"/>
      <c r="M2122" s="173" t="s">
        <v>5936</v>
      </c>
      <c r="N2122" s="276"/>
      <c r="O2122" s="174"/>
      <c r="P2122" s="180" t="s">
        <v>5937</v>
      </c>
      <c r="Q2122" s="181"/>
      <c r="R2122" s="160">
        <v>97</v>
      </c>
      <c r="S2122" s="161"/>
      <c r="T2122" s="183">
        <v>15</v>
      </c>
      <c r="U2122" s="185"/>
      <c r="V2122" s="412" t="s">
        <v>5938</v>
      </c>
      <c r="W2122" s="413"/>
      <c r="X2122" s="420"/>
      <c r="Y2122" s="421"/>
      <c r="Z2122" s="422"/>
      <c r="AA2122" s="124" t="s">
        <v>1606</v>
      </c>
      <c r="AB2122" s="125"/>
      <c r="AC2122" s="212"/>
      <c r="AD2122" s="213"/>
      <c r="AE2122" s="230"/>
      <c r="AF2122" s="214"/>
      <c r="AG2122" s="215"/>
      <c r="AH2122" s="215"/>
      <c r="AI2122" s="271"/>
      <c r="AJ2122" s="271"/>
      <c r="AK2122" s="15"/>
      <c r="AL2122" s="15"/>
    </row>
    <row r="2123" spans="1:38" ht="120" x14ac:dyDescent="0.25">
      <c r="A2123" s="178"/>
      <c r="B2123" s="303" t="s">
        <v>5942</v>
      </c>
      <c r="C2123" s="344"/>
      <c r="D2123" s="304"/>
      <c r="E2123" s="28" t="s">
        <v>5943</v>
      </c>
      <c r="F2123" s="233" t="s">
        <v>5944</v>
      </c>
      <c r="G2123" s="305"/>
      <c r="H2123" s="234"/>
      <c r="I2123" s="380" t="s">
        <v>1854</v>
      </c>
      <c r="J2123" s="381"/>
      <c r="K2123" s="110" t="s">
        <v>5841</v>
      </c>
      <c r="L2123" s="111"/>
      <c r="M2123" s="173" t="s">
        <v>5333</v>
      </c>
      <c r="N2123" s="276"/>
      <c r="O2123" s="174"/>
      <c r="P2123" s="173" t="s">
        <v>722</v>
      </c>
      <c r="Q2123" s="174"/>
      <c r="R2123" s="112">
        <v>8</v>
      </c>
      <c r="S2123" s="113"/>
      <c r="T2123" s="183">
        <v>3</v>
      </c>
      <c r="U2123" s="185"/>
      <c r="V2123" s="173" t="s">
        <v>1511</v>
      </c>
      <c r="W2123" s="174"/>
      <c r="X2123" s="294">
        <v>43</v>
      </c>
      <c r="Y2123" s="295"/>
      <c r="Z2123" s="296"/>
      <c r="AA2123" s="233" t="s">
        <v>3193</v>
      </c>
      <c r="AB2123" s="234"/>
      <c r="AC2123" s="409" t="s">
        <v>3194</v>
      </c>
      <c r="AD2123" s="411"/>
      <c r="AE2123" s="35" t="s">
        <v>5947</v>
      </c>
      <c r="AF2123" s="164"/>
      <c r="AG2123" s="165"/>
      <c r="AH2123" s="165"/>
      <c r="AI2123" s="271"/>
      <c r="AJ2123" s="271"/>
      <c r="AK2123" s="15"/>
      <c r="AL2123" s="15"/>
    </row>
    <row r="2124" spans="1:38" ht="120" x14ac:dyDescent="0.25">
      <c r="A2124" s="179"/>
      <c r="B2124" s="292"/>
      <c r="C2124" s="314"/>
      <c r="D2124" s="293"/>
      <c r="E2124" s="28" t="s">
        <v>5949</v>
      </c>
      <c r="F2124" s="235"/>
      <c r="G2124" s="270"/>
      <c r="H2124" s="236"/>
      <c r="I2124" s="380" t="s">
        <v>1854</v>
      </c>
      <c r="J2124" s="381"/>
      <c r="K2124" s="110" t="s">
        <v>5841</v>
      </c>
      <c r="L2124" s="111"/>
      <c r="M2124" s="173" t="s">
        <v>5333</v>
      </c>
      <c r="N2124" s="276"/>
      <c r="O2124" s="174"/>
      <c r="P2124" s="173" t="s">
        <v>722</v>
      </c>
      <c r="Q2124" s="174"/>
      <c r="R2124" s="155">
        <v>8</v>
      </c>
      <c r="S2124" s="157"/>
      <c r="T2124" s="183">
        <v>3</v>
      </c>
      <c r="U2124" s="185"/>
      <c r="V2124" s="173" t="s">
        <v>1511</v>
      </c>
      <c r="W2124" s="174"/>
      <c r="X2124" s="297"/>
      <c r="Y2124" s="298"/>
      <c r="Z2124" s="299"/>
      <c r="AA2124" s="235"/>
      <c r="AB2124" s="236"/>
      <c r="AC2124" s="401" t="s">
        <v>5945</v>
      </c>
      <c r="AD2124" s="403"/>
      <c r="AE2124" s="36" t="s">
        <v>848</v>
      </c>
      <c r="AF2124" s="167"/>
      <c r="AG2124" s="168"/>
      <c r="AH2124" s="168"/>
      <c r="AI2124" s="271"/>
      <c r="AJ2124" s="271"/>
      <c r="AK2124" s="15"/>
      <c r="AL2124" s="15"/>
    </row>
    <row r="2125" spans="1:38" ht="120" x14ac:dyDescent="0.25">
      <c r="A2125" s="179"/>
      <c r="B2125" s="292"/>
      <c r="C2125" s="314"/>
      <c r="D2125" s="293"/>
      <c r="E2125" s="28" t="s">
        <v>5950</v>
      </c>
      <c r="F2125" s="235"/>
      <c r="G2125" s="270"/>
      <c r="H2125" s="236"/>
      <c r="I2125" s="380" t="s">
        <v>1854</v>
      </c>
      <c r="J2125" s="381"/>
      <c r="K2125" s="110" t="s">
        <v>5841</v>
      </c>
      <c r="L2125" s="111"/>
      <c r="M2125" s="173" t="s">
        <v>5333</v>
      </c>
      <c r="N2125" s="276"/>
      <c r="O2125" s="174"/>
      <c r="P2125" s="173" t="s">
        <v>722</v>
      </c>
      <c r="Q2125" s="174"/>
      <c r="R2125" s="155">
        <v>8</v>
      </c>
      <c r="S2125" s="157"/>
      <c r="T2125" s="183">
        <v>3</v>
      </c>
      <c r="U2125" s="185"/>
      <c r="V2125" s="173" t="s">
        <v>1511</v>
      </c>
      <c r="W2125" s="174"/>
      <c r="X2125" s="297"/>
      <c r="Y2125" s="298"/>
      <c r="Z2125" s="299"/>
      <c r="AA2125" s="235"/>
      <c r="AB2125" s="236"/>
      <c r="AC2125" s="401" t="s">
        <v>2211</v>
      </c>
      <c r="AD2125" s="403"/>
      <c r="AE2125" s="36" t="s">
        <v>1356</v>
      </c>
      <c r="AF2125" s="167"/>
      <c r="AG2125" s="168"/>
      <c r="AH2125" s="168"/>
      <c r="AI2125" s="271"/>
      <c r="AJ2125" s="271"/>
      <c r="AK2125" s="15"/>
      <c r="AL2125" s="15"/>
    </row>
    <row r="2126" spans="1:38" ht="120" x14ac:dyDescent="0.25">
      <c r="A2126" s="179"/>
      <c r="B2126" s="292"/>
      <c r="C2126" s="314"/>
      <c r="D2126" s="293"/>
      <c r="E2126" s="28" t="s">
        <v>5951</v>
      </c>
      <c r="F2126" s="235"/>
      <c r="G2126" s="270"/>
      <c r="H2126" s="236"/>
      <c r="I2126" s="380" t="s">
        <v>1854</v>
      </c>
      <c r="J2126" s="381"/>
      <c r="K2126" s="110" t="s">
        <v>5841</v>
      </c>
      <c r="L2126" s="111"/>
      <c r="M2126" s="173" t="s">
        <v>5333</v>
      </c>
      <c r="N2126" s="276"/>
      <c r="O2126" s="174"/>
      <c r="P2126" s="173" t="s">
        <v>722</v>
      </c>
      <c r="Q2126" s="174"/>
      <c r="R2126" s="155">
        <v>8</v>
      </c>
      <c r="S2126" s="157"/>
      <c r="T2126" s="183">
        <v>3</v>
      </c>
      <c r="U2126" s="185"/>
      <c r="V2126" s="173" t="s">
        <v>1511</v>
      </c>
      <c r="W2126" s="174"/>
      <c r="X2126" s="297"/>
      <c r="Y2126" s="298"/>
      <c r="Z2126" s="299"/>
      <c r="AA2126" s="235"/>
      <c r="AB2126" s="236"/>
      <c r="AC2126" s="401" t="s">
        <v>5946</v>
      </c>
      <c r="AD2126" s="403"/>
      <c r="AE2126" s="36" t="s">
        <v>5948</v>
      </c>
      <c r="AF2126" s="167"/>
      <c r="AG2126" s="168"/>
      <c r="AH2126" s="168"/>
      <c r="AI2126" s="271"/>
      <c r="AJ2126" s="271"/>
      <c r="AK2126" s="15"/>
      <c r="AL2126" s="15"/>
    </row>
    <row r="2127" spans="1:38" ht="120" x14ac:dyDescent="0.25">
      <c r="A2127" s="179"/>
      <c r="B2127" s="292"/>
      <c r="C2127" s="314"/>
      <c r="D2127" s="293"/>
      <c r="E2127" s="28" t="s">
        <v>5952</v>
      </c>
      <c r="F2127" s="235"/>
      <c r="G2127" s="270"/>
      <c r="H2127" s="236"/>
      <c r="I2127" s="380" t="s">
        <v>1854</v>
      </c>
      <c r="J2127" s="381"/>
      <c r="K2127" s="110" t="s">
        <v>5841</v>
      </c>
      <c r="L2127" s="111"/>
      <c r="M2127" s="173" t="s">
        <v>5333</v>
      </c>
      <c r="N2127" s="276"/>
      <c r="O2127" s="174"/>
      <c r="P2127" s="173" t="s">
        <v>722</v>
      </c>
      <c r="Q2127" s="174"/>
      <c r="R2127" s="155">
        <v>8</v>
      </c>
      <c r="S2127" s="157"/>
      <c r="T2127" s="183">
        <v>3</v>
      </c>
      <c r="U2127" s="185"/>
      <c r="V2127" s="173" t="s">
        <v>1511</v>
      </c>
      <c r="W2127" s="174"/>
      <c r="X2127" s="297"/>
      <c r="Y2127" s="298"/>
      <c r="Z2127" s="299"/>
      <c r="AA2127" s="235"/>
      <c r="AB2127" s="236"/>
      <c r="AC2127" s="401"/>
      <c r="AD2127" s="403"/>
      <c r="AE2127" s="36"/>
      <c r="AF2127" s="167"/>
      <c r="AG2127" s="168"/>
      <c r="AH2127" s="168"/>
      <c r="AI2127" s="271"/>
      <c r="AJ2127" s="271"/>
      <c r="AK2127" s="15"/>
      <c r="AL2127" s="15"/>
    </row>
    <row r="2128" spans="1:38" ht="120" x14ac:dyDescent="0.25">
      <c r="A2128" s="179"/>
      <c r="B2128" s="292"/>
      <c r="C2128" s="314"/>
      <c r="D2128" s="293"/>
      <c r="E2128" s="28" t="s">
        <v>5953</v>
      </c>
      <c r="F2128" s="235"/>
      <c r="G2128" s="270"/>
      <c r="H2128" s="236"/>
      <c r="I2128" s="380" t="s">
        <v>1854</v>
      </c>
      <c r="J2128" s="381"/>
      <c r="K2128" s="110" t="s">
        <v>5841</v>
      </c>
      <c r="L2128" s="111"/>
      <c r="M2128" s="173" t="s">
        <v>5333</v>
      </c>
      <c r="N2128" s="276"/>
      <c r="O2128" s="174"/>
      <c r="P2128" s="173" t="s">
        <v>722</v>
      </c>
      <c r="Q2128" s="174"/>
      <c r="R2128" s="155">
        <v>8</v>
      </c>
      <c r="S2128" s="157"/>
      <c r="T2128" s="183">
        <v>3</v>
      </c>
      <c r="U2128" s="185"/>
      <c r="V2128" s="173" t="s">
        <v>1511</v>
      </c>
      <c r="W2128" s="174"/>
      <c r="X2128" s="297"/>
      <c r="Y2128" s="298"/>
      <c r="Z2128" s="299"/>
      <c r="AA2128" s="235"/>
      <c r="AB2128" s="236"/>
      <c r="AC2128" s="401"/>
      <c r="AD2128" s="403"/>
      <c r="AE2128" s="36"/>
      <c r="AF2128" s="167"/>
      <c r="AG2128" s="168"/>
      <c r="AH2128" s="168"/>
      <c r="AI2128" s="271"/>
      <c r="AJ2128" s="271"/>
      <c r="AK2128" s="15"/>
      <c r="AL2128" s="15"/>
    </row>
    <row r="2129" spans="1:38" ht="120" x14ac:dyDescent="0.25">
      <c r="A2129" s="179"/>
      <c r="B2129" s="292"/>
      <c r="C2129" s="314"/>
      <c r="D2129" s="293"/>
      <c r="E2129" s="28" t="s">
        <v>5954</v>
      </c>
      <c r="F2129" s="235"/>
      <c r="G2129" s="270"/>
      <c r="H2129" s="236"/>
      <c r="I2129" s="380" t="s">
        <v>1854</v>
      </c>
      <c r="J2129" s="381"/>
      <c r="K2129" s="110" t="s">
        <v>5841</v>
      </c>
      <c r="L2129" s="111"/>
      <c r="M2129" s="173" t="s">
        <v>5333</v>
      </c>
      <c r="N2129" s="276"/>
      <c r="O2129" s="174"/>
      <c r="P2129" s="173" t="s">
        <v>722</v>
      </c>
      <c r="Q2129" s="174"/>
      <c r="R2129" s="155">
        <v>8</v>
      </c>
      <c r="S2129" s="157"/>
      <c r="T2129" s="183">
        <v>3</v>
      </c>
      <c r="U2129" s="185"/>
      <c r="V2129" s="173" t="s">
        <v>1511</v>
      </c>
      <c r="W2129" s="174"/>
      <c r="X2129" s="297"/>
      <c r="Y2129" s="298"/>
      <c r="Z2129" s="299"/>
      <c r="AA2129" s="235"/>
      <c r="AB2129" s="236"/>
      <c r="AC2129" s="401"/>
      <c r="AD2129" s="403"/>
      <c r="AE2129" s="36"/>
      <c r="AF2129" s="167"/>
      <c r="AG2129" s="168"/>
      <c r="AH2129" s="168"/>
      <c r="AI2129" s="271"/>
      <c r="AJ2129" s="271"/>
      <c r="AK2129" s="15"/>
      <c r="AL2129" s="15"/>
    </row>
    <row r="2130" spans="1:38" ht="120" x14ac:dyDescent="0.25">
      <c r="A2130" s="179"/>
      <c r="B2130" s="292"/>
      <c r="C2130" s="314"/>
      <c r="D2130" s="293"/>
      <c r="E2130" s="28" t="s">
        <v>5955</v>
      </c>
      <c r="F2130" s="235"/>
      <c r="G2130" s="270"/>
      <c r="H2130" s="236"/>
      <c r="I2130" s="380" t="s">
        <v>1854</v>
      </c>
      <c r="J2130" s="381"/>
      <c r="K2130" s="110" t="s">
        <v>5841</v>
      </c>
      <c r="L2130" s="111"/>
      <c r="M2130" s="173" t="s">
        <v>5333</v>
      </c>
      <c r="N2130" s="276"/>
      <c r="O2130" s="174"/>
      <c r="P2130" s="173" t="s">
        <v>722</v>
      </c>
      <c r="Q2130" s="174"/>
      <c r="R2130" s="155">
        <v>8</v>
      </c>
      <c r="S2130" s="157"/>
      <c r="T2130" s="183">
        <v>3</v>
      </c>
      <c r="U2130" s="185"/>
      <c r="V2130" s="173" t="s">
        <v>1511</v>
      </c>
      <c r="W2130" s="174"/>
      <c r="X2130" s="297"/>
      <c r="Y2130" s="298"/>
      <c r="Z2130" s="299"/>
      <c r="AA2130" s="235"/>
      <c r="AB2130" s="236"/>
      <c r="AC2130" s="401"/>
      <c r="AD2130" s="403"/>
      <c r="AE2130" s="36"/>
      <c r="AF2130" s="167"/>
      <c r="AG2130" s="168"/>
      <c r="AH2130" s="168"/>
      <c r="AI2130" s="271"/>
      <c r="AJ2130" s="271"/>
      <c r="AK2130" s="15"/>
      <c r="AL2130" s="15"/>
    </row>
    <row r="2131" spans="1:38" ht="120" x14ac:dyDescent="0.25">
      <c r="A2131" s="179"/>
      <c r="B2131" s="292"/>
      <c r="C2131" s="314"/>
      <c r="D2131" s="293"/>
      <c r="E2131" s="28" t="s">
        <v>5956</v>
      </c>
      <c r="F2131" s="237"/>
      <c r="G2131" s="306"/>
      <c r="H2131" s="238"/>
      <c r="I2131" s="380" t="s">
        <v>1854</v>
      </c>
      <c r="J2131" s="381"/>
      <c r="K2131" s="110" t="s">
        <v>5841</v>
      </c>
      <c r="L2131" s="111"/>
      <c r="M2131" s="173" t="s">
        <v>5333</v>
      </c>
      <c r="N2131" s="276"/>
      <c r="O2131" s="174"/>
      <c r="P2131" s="173" t="s">
        <v>722</v>
      </c>
      <c r="Q2131" s="174"/>
      <c r="R2131" s="155">
        <v>8</v>
      </c>
      <c r="S2131" s="157"/>
      <c r="T2131" s="183">
        <v>3</v>
      </c>
      <c r="U2131" s="185"/>
      <c r="V2131" s="173" t="s">
        <v>1511</v>
      </c>
      <c r="W2131" s="174"/>
      <c r="X2131" s="300"/>
      <c r="Y2131" s="301"/>
      <c r="Z2131" s="302"/>
      <c r="AA2131" s="237"/>
      <c r="AB2131" s="238"/>
      <c r="AC2131" s="401"/>
      <c r="AD2131" s="403"/>
      <c r="AE2131" s="36"/>
      <c r="AF2131" s="167"/>
      <c r="AG2131" s="168"/>
      <c r="AH2131" s="168"/>
      <c r="AI2131" s="271"/>
      <c r="AJ2131" s="271"/>
      <c r="AK2131" s="15"/>
      <c r="AL2131" s="15"/>
    </row>
    <row r="2132" spans="1:38" ht="120" x14ac:dyDescent="0.25">
      <c r="A2132" s="179"/>
      <c r="B2132" s="292"/>
      <c r="C2132" s="314"/>
      <c r="D2132" s="293"/>
      <c r="E2132" s="28" t="s">
        <v>5957</v>
      </c>
      <c r="F2132" s="233" t="s">
        <v>5944</v>
      </c>
      <c r="G2132" s="305"/>
      <c r="H2132" s="234"/>
      <c r="I2132" s="380" t="s">
        <v>1081</v>
      </c>
      <c r="J2132" s="381"/>
      <c r="K2132" s="110" t="s">
        <v>5841</v>
      </c>
      <c r="L2132" s="111"/>
      <c r="M2132" s="173" t="s">
        <v>5333</v>
      </c>
      <c r="N2132" s="276"/>
      <c r="O2132" s="174"/>
      <c r="P2132" s="173" t="s">
        <v>722</v>
      </c>
      <c r="Q2132" s="174"/>
      <c r="R2132" s="155">
        <v>8</v>
      </c>
      <c r="S2132" s="157"/>
      <c r="T2132" s="183">
        <v>3</v>
      </c>
      <c r="U2132" s="185"/>
      <c r="V2132" s="173" t="s">
        <v>1511</v>
      </c>
      <c r="W2132" s="174"/>
      <c r="X2132" s="294">
        <v>43</v>
      </c>
      <c r="Y2132" s="295"/>
      <c r="Z2132" s="296"/>
      <c r="AA2132" s="233" t="s">
        <v>3193</v>
      </c>
      <c r="AB2132" s="234"/>
      <c r="AC2132" s="401"/>
      <c r="AD2132" s="403"/>
      <c r="AE2132" s="36"/>
      <c r="AF2132" s="167"/>
      <c r="AG2132" s="168"/>
      <c r="AH2132" s="168"/>
      <c r="AI2132" s="271"/>
      <c r="AJ2132" s="271"/>
      <c r="AK2132" s="15"/>
      <c r="AL2132" s="15"/>
    </row>
    <row r="2133" spans="1:38" ht="120" x14ac:dyDescent="0.25">
      <c r="A2133" s="179"/>
      <c r="B2133" s="292"/>
      <c r="C2133" s="314"/>
      <c r="D2133" s="293"/>
      <c r="E2133" s="28" t="s">
        <v>5958</v>
      </c>
      <c r="F2133" s="235"/>
      <c r="G2133" s="270"/>
      <c r="H2133" s="236"/>
      <c r="I2133" s="380" t="s">
        <v>1081</v>
      </c>
      <c r="J2133" s="381"/>
      <c r="K2133" s="110" t="s">
        <v>5841</v>
      </c>
      <c r="L2133" s="111"/>
      <c r="M2133" s="173" t="s">
        <v>5333</v>
      </c>
      <c r="N2133" s="276"/>
      <c r="O2133" s="174"/>
      <c r="P2133" s="173" t="s">
        <v>722</v>
      </c>
      <c r="Q2133" s="174"/>
      <c r="R2133" s="155">
        <v>8</v>
      </c>
      <c r="S2133" s="157"/>
      <c r="T2133" s="183">
        <v>3</v>
      </c>
      <c r="U2133" s="185"/>
      <c r="V2133" s="173" t="s">
        <v>1511</v>
      </c>
      <c r="W2133" s="174"/>
      <c r="X2133" s="297"/>
      <c r="Y2133" s="298"/>
      <c r="Z2133" s="299"/>
      <c r="AA2133" s="235"/>
      <c r="AB2133" s="236"/>
      <c r="AC2133" s="401"/>
      <c r="AD2133" s="403"/>
      <c r="AE2133" s="36"/>
      <c r="AF2133" s="167"/>
      <c r="AG2133" s="168"/>
      <c r="AH2133" s="168"/>
      <c r="AI2133" s="271"/>
      <c r="AJ2133" s="271"/>
      <c r="AK2133" s="15"/>
      <c r="AL2133" s="15"/>
    </row>
    <row r="2134" spans="1:38" ht="120" x14ac:dyDescent="0.25">
      <c r="A2134" s="179"/>
      <c r="B2134" s="292"/>
      <c r="C2134" s="314"/>
      <c r="D2134" s="293"/>
      <c r="E2134" s="28" t="s">
        <v>5959</v>
      </c>
      <c r="F2134" s="235"/>
      <c r="G2134" s="270"/>
      <c r="H2134" s="236"/>
      <c r="I2134" s="380" t="s">
        <v>1081</v>
      </c>
      <c r="J2134" s="381"/>
      <c r="K2134" s="110" t="s">
        <v>5841</v>
      </c>
      <c r="L2134" s="111"/>
      <c r="M2134" s="173" t="s">
        <v>5333</v>
      </c>
      <c r="N2134" s="276"/>
      <c r="O2134" s="174"/>
      <c r="P2134" s="173" t="s">
        <v>722</v>
      </c>
      <c r="Q2134" s="174"/>
      <c r="R2134" s="155">
        <v>8</v>
      </c>
      <c r="S2134" s="157"/>
      <c r="T2134" s="183">
        <v>3</v>
      </c>
      <c r="U2134" s="185"/>
      <c r="V2134" s="173" t="s">
        <v>1511</v>
      </c>
      <c r="W2134" s="174"/>
      <c r="X2134" s="297"/>
      <c r="Y2134" s="298"/>
      <c r="Z2134" s="299"/>
      <c r="AA2134" s="235"/>
      <c r="AB2134" s="236"/>
      <c r="AC2134" s="401"/>
      <c r="AD2134" s="403"/>
      <c r="AE2134" s="36"/>
      <c r="AF2134" s="167"/>
      <c r="AG2134" s="168"/>
      <c r="AH2134" s="168"/>
      <c r="AI2134" s="271"/>
      <c r="AJ2134" s="271"/>
      <c r="AK2134" s="15"/>
      <c r="AL2134" s="15"/>
    </row>
    <row r="2135" spans="1:38" ht="120" x14ac:dyDescent="0.25">
      <c r="A2135" s="179"/>
      <c r="B2135" s="292"/>
      <c r="C2135" s="314"/>
      <c r="D2135" s="293"/>
      <c r="E2135" s="28" t="s">
        <v>5960</v>
      </c>
      <c r="F2135" s="235"/>
      <c r="G2135" s="270"/>
      <c r="H2135" s="236"/>
      <c r="I2135" s="380" t="s">
        <v>1081</v>
      </c>
      <c r="J2135" s="381"/>
      <c r="K2135" s="110" t="s">
        <v>5841</v>
      </c>
      <c r="L2135" s="111"/>
      <c r="M2135" s="173" t="s">
        <v>5333</v>
      </c>
      <c r="N2135" s="276"/>
      <c r="O2135" s="174"/>
      <c r="P2135" s="173" t="s">
        <v>722</v>
      </c>
      <c r="Q2135" s="174"/>
      <c r="R2135" s="155">
        <v>8</v>
      </c>
      <c r="S2135" s="157"/>
      <c r="T2135" s="183">
        <v>3</v>
      </c>
      <c r="U2135" s="185"/>
      <c r="V2135" s="173" t="s">
        <v>1511</v>
      </c>
      <c r="W2135" s="174"/>
      <c r="X2135" s="297"/>
      <c r="Y2135" s="298"/>
      <c r="Z2135" s="299"/>
      <c r="AA2135" s="235"/>
      <c r="AB2135" s="236"/>
      <c r="AC2135" s="401"/>
      <c r="AD2135" s="403"/>
      <c r="AE2135" s="36"/>
      <c r="AF2135" s="167"/>
      <c r="AG2135" s="168"/>
      <c r="AH2135" s="168"/>
      <c r="AI2135" s="271"/>
      <c r="AJ2135" s="271"/>
      <c r="AK2135" s="15"/>
      <c r="AL2135" s="15"/>
    </row>
    <row r="2136" spans="1:38" ht="120" x14ac:dyDescent="0.25">
      <c r="A2136" s="179"/>
      <c r="B2136" s="292"/>
      <c r="C2136" s="314"/>
      <c r="D2136" s="293"/>
      <c r="E2136" s="28" t="s">
        <v>5961</v>
      </c>
      <c r="F2136" s="235"/>
      <c r="G2136" s="270"/>
      <c r="H2136" s="236"/>
      <c r="I2136" s="380" t="s">
        <v>1081</v>
      </c>
      <c r="J2136" s="381"/>
      <c r="K2136" s="110" t="s">
        <v>5841</v>
      </c>
      <c r="L2136" s="111"/>
      <c r="M2136" s="173" t="s">
        <v>5333</v>
      </c>
      <c r="N2136" s="276"/>
      <c r="O2136" s="174"/>
      <c r="P2136" s="173" t="s">
        <v>722</v>
      </c>
      <c r="Q2136" s="174"/>
      <c r="R2136" s="155">
        <v>8</v>
      </c>
      <c r="S2136" s="157"/>
      <c r="T2136" s="183">
        <v>3</v>
      </c>
      <c r="U2136" s="185"/>
      <c r="V2136" s="173" t="s">
        <v>1511</v>
      </c>
      <c r="W2136" s="174"/>
      <c r="X2136" s="297"/>
      <c r="Y2136" s="298"/>
      <c r="Z2136" s="299"/>
      <c r="AA2136" s="235"/>
      <c r="AB2136" s="236"/>
      <c r="AC2136" s="401"/>
      <c r="AD2136" s="403"/>
      <c r="AE2136" s="36"/>
      <c r="AF2136" s="167"/>
      <c r="AG2136" s="168"/>
      <c r="AH2136" s="168"/>
      <c r="AI2136" s="271"/>
      <c r="AJ2136" s="271"/>
      <c r="AK2136" s="15"/>
      <c r="AL2136" s="15"/>
    </row>
    <row r="2137" spans="1:38" ht="120" x14ac:dyDescent="0.25">
      <c r="A2137" s="179"/>
      <c r="B2137" s="292"/>
      <c r="C2137" s="314"/>
      <c r="D2137" s="293"/>
      <c r="E2137" s="28" t="s">
        <v>5962</v>
      </c>
      <c r="F2137" s="235"/>
      <c r="G2137" s="270"/>
      <c r="H2137" s="236"/>
      <c r="I2137" s="380" t="s">
        <v>1081</v>
      </c>
      <c r="J2137" s="381"/>
      <c r="K2137" s="110" t="s">
        <v>5841</v>
      </c>
      <c r="L2137" s="111"/>
      <c r="M2137" s="173" t="s">
        <v>5333</v>
      </c>
      <c r="N2137" s="276"/>
      <c r="O2137" s="174"/>
      <c r="P2137" s="173" t="s">
        <v>722</v>
      </c>
      <c r="Q2137" s="174"/>
      <c r="R2137" s="155">
        <v>8</v>
      </c>
      <c r="S2137" s="157"/>
      <c r="T2137" s="183">
        <v>3</v>
      </c>
      <c r="U2137" s="185"/>
      <c r="V2137" s="173" t="s">
        <v>1511</v>
      </c>
      <c r="W2137" s="174"/>
      <c r="X2137" s="297"/>
      <c r="Y2137" s="298"/>
      <c r="Z2137" s="299"/>
      <c r="AA2137" s="235"/>
      <c r="AB2137" s="236"/>
      <c r="AC2137" s="401"/>
      <c r="AD2137" s="403"/>
      <c r="AE2137" s="36"/>
      <c r="AF2137" s="167"/>
      <c r="AG2137" s="168"/>
      <c r="AH2137" s="168"/>
      <c r="AI2137" s="271"/>
      <c r="AJ2137" s="271"/>
      <c r="AK2137" s="15"/>
      <c r="AL2137" s="15"/>
    </row>
    <row r="2138" spans="1:38" ht="120" x14ac:dyDescent="0.25">
      <c r="A2138" s="179"/>
      <c r="B2138" s="292"/>
      <c r="C2138" s="314"/>
      <c r="D2138" s="293"/>
      <c r="E2138" s="28" t="s">
        <v>5963</v>
      </c>
      <c r="F2138" s="235"/>
      <c r="G2138" s="270"/>
      <c r="H2138" s="236"/>
      <c r="I2138" s="380" t="s">
        <v>1081</v>
      </c>
      <c r="J2138" s="381"/>
      <c r="K2138" s="110" t="s">
        <v>5841</v>
      </c>
      <c r="L2138" s="111"/>
      <c r="M2138" s="173" t="s">
        <v>5333</v>
      </c>
      <c r="N2138" s="276"/>
      <c r="O2138" s="174"/>
      <c r="P2138" s="173" t="s">
        <v>722</v>
      </c>
      <c r="Q2138" s="174"/>
      <c r="R2138" s="155">
        <v>8</v>
      </c>
      <c r="S2138" s="157"/>
      <c r="T2138" s="183">
        <v>3</v>
      </c>
      <c r="U2138" s="185"/>
      <c r="V2138" s="173" t="s">
        <v>1511</v>
      </c>
      <c r="W2138" s="174"/>
      <c r="X2138" s="297"/>
      <c r="Y2138" s="298"/>
      <c r="Z2138" s="299"/>
      <c r="AA2138" s="235"/>
      <c r="AB2138" s="236"/>
      <c r="AC2138" s="401"/>
      <c r="AD2138" s="403"/>
      <c r="AE2138" s="36"/>
      <c r="AF2138" s="167"/>
      <c r="AG2138" s="168"/>
      <c r="AH2138" s="168"/>
      <c r="AI2138" s="271"/>
      <c r="AJ2138" s="271"/>
      <c r="AK2138" s="15"/>
      <c r="AL2138" s="15"/>
    </row>
    <row r="2139" spans="1:38" ht="120" x14ac:dyDescent="0.25">
      <c r="A2139" s="179"/>
      <c r="B2139" s="292"/>
      <c r="C2139" s="314"/>
      <c r="D2139" s="293"/>
      <c r="E2139" s="28" t="s">
        <v>5964</v>
      </c>
      <c r="F2139" s="235"/>
      <c r="G2139" s="270"/>
      <c r="H2139" s="236"/>
      <c r="I2139" s="380" t="s">
        <v>1081</v>
      </c>
      <c r="J2139" s="381"/>
      <c r="K2139" s="110" t="s">
        <v>5841</v>
      </c>
      <c r="L2139" s="111"/>
      <c r="M2139" s="173" t="s">
        <v>5333</v>
      </c>
      <c r="N2139" s="276"/>
      <c r="O2139" s="174"/>
      <c r="P2139" s="173" t="s">
        <v>722</v>
      </c>
      <c r="Q2139" s="174"/>
      <c r="R2139" s="155">
        <v>8</v>
      </c>
      <c r="S2139" s="157"/>
      <c r="T2139" s="183">
        <v>3</v>
      </c>
      <c r="U2139" s="185"/>
      <c r="V2139" s="173" t="s">
        <v>1511</v>
      </c>
      <c r="W2139" s="174"/>
      <c r="X2139" s="297"/>
      <c r="Y2139" s="298"/>
      <c r="Z2139" s="299"/>
      <c r="AA2139" s="235"/>
      <c r="AB2139" s="236"/>
      <c r="AC2139" s="401"/>
      <c r="AD2139" s="403"/>
      <c r="AE2139" s="36"/>
      <c r="AF2139" s="167"/>
      <c r="AG2139" s="168"/>
      <c r="AH2139" s="168"/>
      <c r="AI2139" s="271"/>
      <c r="AJ2139" s="271"/>
      <c r="AK2139" s="15"/>
      <c r="AL2139" s="15"/>
    </row>
    <row r="2140" spans="1:38" ht="120" x14ac:dyDescent="0.25">
      <c r="A2140" s="230"/>
      <c r="B2140" s="290"/>
      <c r="C2140" s="345"/>
      <c r="D2140" s="291"/>
      <c r="E2140" s="28" t="s">
        <v>5965</v>
      </c>
      <c r="F2140" s="237"/>
      <c r="G2140" s="306"/>
      <c r="H2140" s="238"/>
      <c r="I2140" s="380" t="s">
        <v>1081</v>
      </c>
      <c r="J2140" s="381"/>
      <c r="K2140" s="110" t="s">
        <v>5841</v>
      </c>
      <c r="L2140" s="111"/>
      <c r="M2140" s="173" t="s">
        <v>5333</v>
      </c>
      <c r="N2140" s="276"/>
      <c r="O2140" s="174"/>
      <c r="P2140" s="173" t="s">
        <v>722</v>
      </c>
      <c r="Q2140" s="174"/>
      <c r="R2140" s="155">
        <v>8</v>
      </c>
      <c r="S2140" s="157"/>
      <c r="T2140" s="183">
        <v>3</v>
      </c>
      <c r="U2140" s="185"/>
      <c r="V2140" s="173" t="s">
        <v>1511</v>
      </c>
      <c r="W2140" s="174"/>
      <c r="X2140" s="300"/>
      <c r="Y2140" s="301"/>
      <c r="Z2140" s="302"/>
      <c r="AA2140" s="237"/>
      <c r="AB2140" s="238"/>
      <c r="AC2140" s="401"/>
      <c r="AD2140" s="403"/>
      <c r="AE2140" s="36"/>
      <c r="AF2140" s="214"/>
      <c r="AG2140" s="215"/>
      <c r="AH2140" s="215"/>
      <c r="AI2140" s="271"/>
      <c r="AJ2140" s="271"/>
      <c r="AK2140" s="15"/>
      <c r="AL2140" s="15"/>
    </row>
    <row r="2141" spans="1:38" ht="105" x14ac:dyDescent="0.25">
      <c r="A2141" s="178"/>
      <c r="B2141" s="409" t="s">
        <v>5966</v>
      </c>
      <c r="C2141" s="410"/>
      <c r="D2141" s="411"/>
      <c r="E2141" s="28" t="s">
        <v>5968</v>
      </c>
      <c r="F2141" s="233" t="s">
        <v>5969</v>
      </c>
      <c r="G2141" s="305"/>
      <c r="H2141" s="234"/>
      <c r="I2141" s="382">
        <v>5</v>
      </c>
      <c r="J2141" s="383"/>
      <c r="K2141" s="110" t="s">
        <v>5970</v>
      </c>
      <c r="L2141" s="111"/>
      <c r="M2141" s="173" t="s">
        <v>5971</v>
      </c>
      <c r="N2141" s="276"/>
      <c r="O2141" s="174"/>
      <c r="P2141" s="173" t="s">
        <v>5972</v>
      </c>
      <c r="Q2141" s="174"/>
      <c r="R2141" s="155">
        <v>8</v>
      </c>
      <c r="S2141" s="157"/>
      <c r="T2141" s="183">
        <v>4</v>
      </c>
      <c r="U2141" s="185"/>
      <c r="V2141" s="173" t="s">
        <v>3586</v>
      </c>
      <c r="W2141" s="174"/>
      <c r="X2141" s="294">
        <v>55</v>
      </c>
      <c r="Y2141" s="295"/>
      <c r="Z2141" s="296"/>
      <c r="AA2141" s="233" t="s">
        <v>3850</v>
      </c>
      <c r="AB2141" s="234"/>
      <c r="AC2141" s="401"/>
      <c r="AD2141" s="403"/>
      <c r="AE2141" s="36"/>
      <c r="AF2141" s="164"/>
      <c r="AG2141" s="165"/>
      <c r="AH2141" s="165"/>
      <c r="AI2141" s="271"/>
      <c r="AJ2141" s="271"/>
      <c r="AK2141" s="15"/>
      <c r="AL2141" s="15"/>
    </row>
    <row r="2142" spans="1:38" ht="105" x14ac:dyDescent="0.25">
      <c r="A2142" s="179"/>
      <c r="B2142" s="401" t="s">
        <v>4740</v>
      </c>
      <c r="C2142" s="402"/>
      <c r="D2142" s="403"/>
      <c r="E2142" s="28" t="s">
        <v>5973</v>
      </c>
      <c r="F2142" s="235"/>
      <c r="G2142" s="270"/>
      <c r="H2142" s="236"/>
      <c r="I2142" s="382">
        <v>5</v>
      </c>
      <c r="J2142" s="383"/>
      <c r="K2142" s="110" t="s">
        <v>5970</v>
      </c>
      <c r="L2142" s="111"/>
      <c r="M2142" s="173" t="s">
        <v>5971</v>
      </c>
      <c r="N2142" s="276"/>
      <c r="O2142" s="174"/>
      <c r="P2142" s="173" t="s">
        <v>5972</v>
      </c>
      <c r="Q2142" s="174"/>
      <c r="R2142" s="155">
        <v>8</v>
      </c>
      <c r="S2142" s="157"/>
      <c r="T2142" s="183">
        <v>4</v>
      </c>
      <c r="U2142" s="185"/>
      <c r="V2142" s="173" t="s">
        <v>3586</v>
      </c>
      <c r="W2142" s="174"/>
      <c r="X2142" s="297"/>
      <c r="Y2142" s="298"/>
      <c r="Z2142" s="299"/>
      <c r="AA2142" s="235"/>
      <c r="AB2142" s="236"/>
      <c r="AC2142" s="401"/>
      <c r="AD2142" s="403"/>
      <c r="AE2142" s="36"/>
      <c r="AF2142" s="167"/>
      <c r="AG2142" s="168"/>
      <c r="AH2142" s="168"/>
      <c r="AI2142" s="271"/>
      <c r="AJ2142" s="271"/>
      <c r="AK2142" s="15"/>
      <c r="AL2142" s="15"/>
    </row>
    <row r="2143" spans="1:38" ht="105" x14ac:dyDescent="0.25">
      <c r="A2143" s="179"/>
      <c r="B2143" s="401" t="s">
        <v>5967</v>
      </c>
      <c r="C2143" s="402"/>
      <c r="D2143" s="403"/>
      <c r="E2143" s="28" t="s">
        <v>5974</v>
      </c>
      <c r="F2143" s="235"/>
      <c r="G2143" s="270"/>
      <c r="H2143" s="236"/>
      <c r="I2143" s="382">
        <v>5</v>
      </c>
      <c r="J2143" s="383"/>
      <c r="K2143" s="110" t="s">
        <v>5970</v>
      </c>
      <c r="L2143" s="111"/>
      <c r="M2143" s="173" t="s">
        <v>5971</v>
      </c>
      <c r="N2143" s="276"/>
      <c r="O2143" s="174"/>
      <c r="P2143" s="173" t="s">
        <v>5972</v>
      </c>
      <c r="Q2143" s="174"/>
      <c r="R2143" s="155">
        <v>8</v>
      </c>
      <c r="S2143" s="157"/>
      <c r="T2143" s="183">
        <v>4</v>
      </c>
      <c r="U2143" s="185"/>
      <c r="V2143" s="173" t="s">
        <v>3586</v>
      </c>
      <c r="W2143" s="174"/>
      <c r="X2143" s="297"/>
      <c r="Y2143" s="298"/>
      <c r="Z2143" s="299"/>
      <c r="AA2143" s="235"/>
      <c r="AB2143" s="236"/>
      <c r="AC2143" s="401"/>
      <c r="AD2143" s="403"/>
      <c r="AE2143" s="36"/>
      <c r="AF2143" s="167"/>
      <c r="AG2143" s="168"/>
      <c r="AH2143" s="168"/>
      <c r="AI2143" s="271"/>
      <c r="AJ2143" s="271"/>
      <c r="AK2143" s="15"/>
      <c r="AL2143" s="15"/>
    </row>
    <row r="2144" spans="1:38" ht="105" x14ac:dyDescent="0.25">
      <c r="A2144" s="179"/>
      <c r="B2144" s="401"/>
      <c r="C2144" s="402"/>
      <c r="D2144" s="403"/>
      <c r="E2144" s="28" t="s">
        <v>5975</v>
      </c>
      <c r="F2144" s="235"/>
      <c r="G2144" s="270"/>
      <c r="H2144" s="236"/>
      <c r="I2144" s="382">
        <v>5</v>
      </c>
      <c r="J2144" s="383"/>
      <c r="K2144" s="110" t="s">
        <v>5970</v>
      </c>
      <c r="L2144" s="111"/>
      <c r="M2144" s="173" t="s">
        <v>5971</v>
      </c>
      <c r="N2144" s="276"/>
      <c r="O2144" s="174"/>
      <c r="P2144" s="173" t="s">
        <v>5972</v>
      </c>
      <c r="Q2144" s="174"/>
      <c r="R2144" s="155">
        <v>8</v>
      </c>
      <c r="S2144" s="157"/>
      <c r="T2144" s="183">
        <v>4</v>
      </c>
      <c r="U2144" s="185"/>
      <c r="V2144" s="173" t="s">
        <v>3586</v>
      </c>
      <c r="W2144" s="174"/>
      <c r="X2144" s="297"/>
      <c r="Y2144" s="298"/>
      <c r="Z2144" s="299"/>
      <c r="AA2144" s="235"/>
      <c r="AB2144" s="236"/>
      <c r="AC2144" s="401"/>
      <c r="AD2144" s="403"/>
      <c r="AE2144" s="36"/>
      <c r="AF2144" s="167"/>
      <c r="AG2144" s="168"/>
      <c r="AH2144" s="168"/>
      <c r="AI2144" s="271"/>
      <c r="AJ2144" s="271"/>
      <c r="AK2144" s="15"/>
      <c r="AL2144" s="15"/>
    </row>
    <row r="2145" spans="1:38" ht="105" x14ac:dyDescent="0.25">
      <c r="A2145" s="179"/>
      <c r="B2145" s="401"/>
      <c r="C2145" s="402"/>
      <c r="D2145" s="403"/>
      <c r="E2145" s="28" t="s">
        <v>5976</v>
      </c>
      <c r="F2145" s="235"/>
      <c r="G2145" s="270"/>
      <c r="H2145" s="236"/>
      <c r="I2145" s="382">
        <v>5</v>
      </c>
      <c r="J2145" s="383"/>
      <c r="K2145" s="110" t="s">
        <v>5970</v>
      </c>
      <c r="L2145" s="111"/>
      <c r="M2145" s="173" t="s">
        <v>5971</v>
      </c>
      <c r="N2145" s="276"/>
      <c r="O2145" s="174"/>
      <c r="P2145" s="173" t="s">
        <v>5972</v>
      </c>
      <c r="Q2145" s="174"/>
      <c r="R2145" s="155">
        <v>8</v>
      </c>
      <c r="S2145" s="157"/>
      <c r="T2145" s="183">
        <v>4</v>
      </c>
      <c r="U2145" s="185"/>
      <c r="V2145" s="173" t="s">
        <v>3586</v>
      </c>
      <c r="W2145" s="174"/>
      <c r="X2145" s="297"/>
      <c r="Y2145" s="298"/>
      <c r="Z2145" s="299"/>
      <c r="AA2145" s="235"/>
      <c r="AB2145" s="236"/>
      <c r="AC2145" s="401"/>
      <c r="AD2145" s="403"/>
      <c r="AE2145" s="36"/>
      <c r="AF2145" s="167"/>
      <c r="AG2145" s="168"/>
      <c r="AH2145" s="168"/>
      <c r="AI2145" s="271"/>
      <c r="AJ2145" s="271"/>
      <c r="AK2145" s="15"/>
      <c r="AL2145" s="15"/>
    </row>
    <row r="2146" spans="1:38" ht="105" x14ac:dyDescent="0.25">
      <c r="A2146" s="179"/>
      <c r="B2146" s="401"/>
      <c r="C2146" s="402"/>
      <c r="D2146" s="403"/>
      <c r="E2146" s="28" t="s">
        <v>5977</v>
      </c>
      <c r="F2146" s="235"/>
      <c r="G2146" s="270"/>
      <c r="H2146" s="236"/>
      <c r="I2146" s="382">
        <v>5</v>
      </c>
      <c r="J2146" s="383"/>
      <c r="K2146" s="110" t="s">
        <v>5970</v>
      </c>
      <c r="L2146" s="111"/>
      <c r="M2146" s="173" t="s">
        <v>5971</v>
      </c>
      <c r="N2146" s="276"/>
      <c r="O2146" s="174"/>
      <c r="P2146" s="173" t="s">
        <v>5972</v>
      </c>
      <c r="Q2146" s="174"/>
      <c r="R2146" s="155">
        <v>8</v>
      </c>
      <c r="S2146" s="157"/>
      <c r="T2146" s="183">
        <v>4</v>
      </c>
      <c r="U2146" s="185"/>
      <c r="V2146" s="173" t="s">
        <v>3586</v>
      </c>
      <c r="W2146" s="174"/>
      <c r="X2146" s="297"/>
      <c r="Y2146" s="298"/>
      <c r="Z2146" s="299"/>
      <c r="AA2146" s="235"/>
      <c r="AB2146" s="236"/>
      <c r="AC2146" s="401"/>
      <c r="AD2146" s="403"/>
      <c r="AE2146" s="36"/>
      <c r="AF2146" s="167"/>
      <c r="AG2146" s="168"/>
      <c r="AH2146" s="168"/>
      <c r="AI2146" s="271"/>
      <c r="AJ2146" s="271"/>
      <c r="AK2146" s="15"/>
      <c r="AL2146" s="15"/>
    </row>
    <row r="2147" spans="1:38" ht="105" x14ac:dyDescent="0.25">
      <c r="A2147" s="179"/>
      <c r="B2147" s="401"/>
      <c r="C2147" s="402"/>
      <c r="D2147" s="403"/>
      <c r="E2147" s="28" t="s">
        <v>5978</v>
      </c>
      <c r="F2147" s="235"/>
      <c r="G2147" s="270"/>
      <c r="H2147" s="236"/>
      <c r="I2147" s="382">
        <v>5</v>
      </c>
      <c r="J2147" s="383"/>
      <c r="K2147" s="110" t="s">
        <v>5970</v>
      </c>
      <c r="L2147" s="111"/>
      <c r="M2147" s="173" t="s">
        <v>5971</v>
      </c>
      <c r="N2147" s="276"/>
      <c r="O2147" s="174"/>
      <c r="P2147" s="173" t="s">
        <v>5972</v>
      </c>
      <c r="Q2147" s="174"/>
      <c r="R2147" s="155">
        <v>8</v>
      </c>
      <c r="S2147" s="157"/>
      <c r="T2147" s="183">
        <v>4</v>
      </c>
      <c r="U2147" s="185"/>
      <c r="V2147" s="173" t="s">
        <v>3586</v>
      </c>
      <c r="W2147" s="174"/>
      <c r="X2147" s="297"/>
      <c r="Y2147" s="298"/>
      <c r="Z2147" s="299"/>
      <c r="AA2147" s="235"/>
      <c r="AB2147" s="236"/>
      <c r="AC2147" s="401"/>
      <c r="AD2147" s="403"/>
      <c r="AE2147" s="36"/>
      <c r="AF2147" s="167"/>
      <c r="AG2147" s="168"/>
      <c r="AH2147" s="168"/>
      <c r="AI2147" s="271"/>
      <c r="AJ2147" s="271"/>
      <c r="AK2147" s="15"/>
      <c r="AL2147" s="15"/>
    </row>
    <row r="2148" spans="1:38" ht="105" x14ac:dyDescent="0.25">
      <c r="A2148" s="179"/>
      <c r="B2148" s="401"/>
      <c r="C2148" s="402"/>
      <c r="D2148" s="403"/>
      <c r="E2148" s="28" t="s">
        <v>5979</v>
      </c>
      <c r="F2148" s="235"/>
      <c r="G2148" s="270"/>
      <c r="H2148" s="236"/>
      <c r="I2148" s="382">
        <v>5</v>
      </c>
      <c r="J2148" s="383"/>
      <c r="K2148" s="110" t="s">
        <v>5970</v>
      </c>
      <c r="L2148" s="111"/>
      <c r="M2148" s="173" t="s">
        <v>5971</v>
      </c>
      <c r="N2148" s="276"/>
      <c r="O2148" s="174"/>
      <c r="P2148" s="173" t="s">
        <v>5972</v>
      </c>
      <c r="Q2148" s="174"/>
      <c r="R2148" s="155">
        <v>8</v>
      </c>
      <c r="S2148" s="157"/>
      <c r="T2148" s="183">
        <v>4</v>
      </c>
      <c r="U2148" s="185"/>
      <c r="V2148" s="173" t="s">
        <v>3586</v>
      </c>
      <c r="W2148" s="174"/>
      <c r="X2148" s="297"/>
      <c r="Y2148" s="298"/>
      <c r="Z2148" s="299"/>
      <c r="AA2148" s="235"/>
      <c r="AB2148" s="236"/>
      <c r="AC2148" s="401"/>
      <c r="AD2148" s="403"/>
      <c r="AE2148" s="36"/>
      <c r="AF2148" s="167"/>
      <c r="AG2148" s="168"/>
      <c r="AH2148" s="168"/>
      <c r="AI2148" s="271"/>
      <c r="AJ2148" s="271"/>
      <c r="AK2148" s="15"/>
      <c r="AL2148" s="15"/>
    </row>
    <row r="2149" spans="1:38" ht="105" x14ac:dyDescent="0.25">
      <c r="A2149" s="179"/>
      <c r="B2149" s="401"/>
      <c r="C2149" s="402"/>
      <c r="D2149" s="403"/>
      <c r="E2149" s="28" t="s">
        <v>5980</v>
      </c>
      <c r="F2149" s="235"/>
      <c r="G2149" s="270"/>
      <c r="H2149" s="236"/>
      <c r="I2149" s="382">
        <v>5</v>
      </c>
      <c r="J2149" s="383"/>
      <c r="K2149" s="110" t="s">
        <v>5970</v>
      </c>
      <c r="L2149" s="111"/>
      <c r="M2149" s="173" t="s">
        <v>5971</v>
      </c>
      <c r="N2149" s="276"/>
      <c r="O2149" s="174"/>
      <c r="P2149" s="173" t="s">
        <v>5972</v>
      </c>
      <c r="Q2149" s="174"/>
      <c r="R2149" s="155">
        <v>8</v>
      </c>
      <c r="S2149" s="157"/>
      <c r="T2149" s="183">
        <v>4</v>
      </c>
      <c r="U2149" s="185"/>
      <c r="V2149" s="173" t="s">
        <v>3586</v>
      </c>
      <c r="W2149" s="174"/>
      <c r="X2149" s="297"/>
      <c r="Y2149" s="298"/>
      <c r="Z2149" s="299"/>
      <c r="AA2149" s="235"/>
      <c r="AB2149" s="236"/>
      <c r="AC2149" s="401"/>
      <c r="AD2149" s="403"/>
      <c r="AE2149" s="36"/>
      <c r="AF2149" s="167"/>
      <c r="AG2149" s="168"/>
      <c r="AH2149" s="168"/>
      <c r="AI2149" s="271"/>
      <c r="AJ2149" s="271"/>
      <c r="AK2149" s="15"/>
      <c r="AL2149" s="15"/>
    </row>
    <row r="2150" spans="1:38" ht="105" x14ac:dyDescent="0.25">
      <c r="A2150" s="179"/>
      <c r="B2150" s="401"/>
      <c r="C2150" s="402"/>
      <c r="D2150" s="403"/>
      <c r="E2150" s="28" t="s">
        <v>5981</v>
      </c>
      <c r="F2150" s="235"/>
      <c r="G2150" s="270"/>
      <c r="H2150" s="236"/>
      <c r="I2150" s="382">
        <v>5</v>
      </c>
      <c r="J2150" s="383"/>
      <c r="K2150" s="110" t="s">
        <v>5970</v>
      </c>
      <c r="L2150" s="111"/>
      <c r="M2150" s="173" t="s">
        <v>5971</v>
      </c>
      <c r="N2150" s="276"/>
      <c r="O2150" s="174"/>
      <c r="P2150" s="173" t="s">
        <v>5972</v>
      </c>
      <c r="Q2150" s="174"/>
      <c r="R2150" s="155">
        <v>8</v>
      </c>
      <c r="S2150" s="157"/>
      <c r="T2150" s="183">
        <v>4</v>
      </c>
      <c r="U2150" s="185"/>
      <c r="V2150" s="173" t="s">
        <v>3586</v>
      </c>
      <c r="W2150" s="174"/>
      <c r="X2150" s="297"/>
      <c r="Y2150" s="298"/>
      <c r="Z2150" s="299"/>
      <c r="AA2150" s="235"/>
      <c r="AB2150" s="236"/>
      <c r="AC2150" s="401"/>
      <c r="AD2150" s="403"/>
      <c r="AE2150" s="36"/>
      <c r="AF2150" s="167"/>
      <c r="AG2150" s="168"/>
      <c r="AH2150" s="168"/>
      <c r="AI2150" s="271"/>
      <c r="AJ2150" s="271"/>
      <c r="AK2150" s="15"/>
      <c r="AL2150" s="15"/>
    </row>
    <row r="2151" spans="1:38" ht="105" x14ac:dyDescent="0.25">
      <c r="A2151" s="179"/>
      <c r="B2151" s="401"/>
      <c r="C2151" s="402"/>
      <c r="D2151" s="403"/>
      <c r="E2151" s="28" t="s">
        <v>5982</v>
      </c>
      <c r="F2151" s="235"/>
      <c r="G2151" s="270"/>
      <c r="H2151" s="236"/>
      <c r="I2151" s="382">
        <v>5</v>
      </c>
      <c r="J2151" s="383"/>
      <c r="K2151" s="110" t="s">
        <v>5970</v>
      </c>
      <c r="L2151" s="111"/>
      <c r="M2151" s="173" t="s">
        <v>5971</v>
      </c>
      <c r="N2151" s="276"/>
      <c r="O2151" s="174"/>
      <c r="P2151" s="173" t="s">
        <v>5972</v>
      </c>
      <c r="Q2151" s="174"/>
      <c r="R2151" s="155">
        <v>8</v>
      </c>
      <c r="S2151" s="157"/>
      <c r="T2151" s="183">
        <v>4</v>
      </c>
      <c r="U2151" s="185"/>
      <c r="V2151" s="173" t="s">
        <v>3586</v>
      </c>
      <c r="W2151" s="174"/>
      <c r="X2151" s="297"/>
      <c r="Y2151" s="298"/>
      <c r="Z2151" s="299"/>
      <c r="AA2151" s="235"/>
      <c r="AB2151" s="236"/>
      <c r="AC2151" s="401"/>
      <c r="AD2151" s="403"/>
      <c r="AE2151" s="36"/>
      <c r="AF2151" s="167"/>
      <c r="AG2151" s="168"/>
      <c r="AH2151" s="168"/>
      <c r="AI2151" s="271"/>
      <c r="AJ2151" s="271"/>
      <c r="AK2151" s="15"/>
      <c r="AL2151" s="15"/>
    </row>
    <row r="2152" spans="1:38" ht="105" x14ac:dyDescent="0.25">
      <c r="A2152" s="179"/>
      <c r="B2152" s="401"/>
      <c r="C2152" s="402"/>
      <c r="D2152" s="403"/>
      <c r="E2152" s="28" t="s">
        <v>5983</v>
      </c>
      <c r="F2152" s="237"/>
      <c r="G2152" s="306"/>
      <c r="H2152" s="238"/>
      <c r="I2152" s="382">
        <v>5</v>
      </c>
      <c r="J2152" s="383"/>
      <c r="K2152" s="110" t="s">
        <v>5970</v>
      </c>
      <c r="L2152" s="111"/>
      <c r="M2152" s="173" t="s">
        <v>5971</v>
      </c>
      <c r="N2152" s="276"/>
      <c r="O2152" s="174"/>
      <c r="P2152" s="173" t="s">
        <v>5972</v>
      </c>
      <c r="Q2152" s="174"/>
      <c r="R2152" s="155">
        <v>8</v>
      </c>
      <c r="S2152" s="157"/>
      <c r="T2152" s="183">
        <v>4</v>
      </c>
      <c r="U2152" s="185"/>
      <c r="V2152" s="173" t="s">
        <v>3586</v>
      </c>
      <c r="W2152" s="174"/>
      <c r="X2152" s="300"/>
      <c r="Y2152" s="301"/>
      <c r="Z2152" s="302"/>
      <c r="AA2152" s="237"/>
      <c r="AB2152" s="238"/>
      <c r="AC2152" s="401"/>
      <c r="AD2152" s="403"/>
      <c r="AE2152" s="36"/>
      <c r="AF2152" s="167"/>
      <c r="AG2152" s="168"/>
      <c r="AH2152" s="168"/>
      <c r="AI2152" s="271"/>
      <c r="AJ2152" s="271"/>
      <c r="AK2152" s="15"/>
      <c r="AL2152" s="15"/>
    </row>
    <row r="2153" spans="1:38" ht="105" x14ac:dyDescent="0.25">
      <c r="A2153" s="179"/>
      <c r="B2153" s="401"/>
      <c r="C2153" s="402"/>
      <c r="D2153" s="403"/>
      <c r="E2153" s="28" t="s">
        <v>5984</v>
      </c>
      <c r="F2153" s="192" t="s">
        <v>5969</v>
      </c>
      <c r="G2153" s="196"/>
      <c r="H2153" s="193"/>
      <c r="I2153" s="382">
        <v>5</v>
      </c>
      <c r="J2153" s="383"/>
      <c r="K2153" s="110" t="s">
        <v>5970</v>
      </c>
      <c r="L2153" s="111"/>
      <c r="M2153" s="173" t="s">
        <v>5985</v>
      </c>
      <c r="N2153" s="276"/>
      <c r="O2153" s="174"/>
      <c r="P2153" s="173" t="s">
        <v>5972</v>
      </c>
      <c r="Q2153" s="174"/>
      <c r="R2153" s="155">
        <v>8</v>
      </c>
      <c r="S2153" s="157"/>
      <c r="T2153" s="183">
        <v>4</v>
      </c>
      <c r="U2153" s="185"/>
      <c r="V2153" s="173" t="s">
        <v>1244</v>
      </c>
      <c r="W2153" s="174"/>
      <c r="X2153" s="252">
        <v>58</v>
      </c>
      <c r="Y2153" s="253"/>
      <c r="Z2153" s="254"/>
      <c r="AA2153" s="192" t="s">
        <v>1537</v>
      </c>
      <c r="AB2153" s="193"/>
      <c r="AC2153" s="401"/>
      <c r="AD2153" s="403"/>
      <c r="AE2153" s="36"/>
      <c r="AF2153" s="167"/>
      <c r="AG2153" s="168"/>
      <c r="AH2153" s="168"/>
      <c r="AI2153" s="271"/>
      <c r="AJ2153" s="271"/>
      <c r="AK2153" s="15"/>
      <c r="AL2153" s="15"/>
    </row>
    <row r="2154" spans="1:38" ht="105" x14ac:dyDescent="0.25">
      <c r="A2154" s="179"/>
      <c r="B2154" s="401"/>
      <c r="C2154" s="402"/>
      <c r="D2154" s="403"/>
      <c r="E2154" s="28" t="s">
        <v>5986</v>
      </c>
      <c r="F2154" s="272"/>
      <c r="G2154" s="282"/>
      <c r="H2154" s="273"/>
      <c r="I2154" s="382">
        <v>5</v>
      </c>
      <c r="J2154" s="383"/>
      <c r="K2154" s="110" t="s">
        <v>5970</v>
      </c>
      <c r="L2154" s="111"/>
      <c r="M2154" s="173" t="s">
        <v>5985</v>
      </c>
      <c r="N2154" s="276"/>
      <c r="O2154" s="174"/>
      <c r="P2154" s="173" t="s">
        <v>5972</v>
      </c>
      <c r="Q2154" s="174"/>
      <c r="R2154" s="155">
        <v>8</v>
      </c>
      <c r="S2154" s="157"/>
      <c r="T2154" s="183">
        <v>4</v>
      </c>
      <c r="U2154" s="185"/>
      <c r="V2154" s="173" t="s">
        <v>1244</v>
      </c>
      <c r="W2154" s="174"/>
      <c r="X2154" s="311"/>
      <c r="Y2154" s="312"/>
      <c r="Z2154" s="313"/>
      <c r="AA2154" s="272"/>
      <c r="AB2154" s="273"/>
      <c r="AC2154" s="401"/>
      <c r="AD2154" s="403"/>
      <c r="AE2154" s="36"/>
      <c r="AF2154" s="167"/>
      <c r="AG2154" s="168"/>
      <c r="AH2154" s="168"/>
      <c r="AI2154" s="271"/>
      <c r="AJ2154" s="271"/>
      <c r="AK2154" s="15"/>
      <c r="AL2154" s="15"/>
    </row>
    <row r="2155" spans="1:38" ht="105" x14ac:dyDescent="0.25">
      <c r="A2155" s="179"/>
      <c r="B2155" s="401"/>
      <c r="C2155" s="402"/>
      <c r="D2155" s="403"/>
      <c r="E2155" s="28" t="s">
        <v>5987</v>
      </c>
      <c r="F2155" s="272"/>
      <c r="G2155" s="282"/>
      <c r="H2155" s="273"/>
      <c r="I2155" s="382">
        <v>5</v>
      </c>
      <c r="J2155" s="383"/>
      <c r="K2155" s="110" t="s">
        <v>5970</v>
      </c>
      <c r="L2155" s="111"/>
      <c r="M2155" s="173" t="s">
        <v>5985</v>
      </c>
      <c r="N2155" s="276"/>
      <c r="O2155" s="174"/>
      <c r="P2155" s="173" t="s">
        <v>5972</v>
      </c>
      <c r="Q2155" s="174"/>
      <c r="R2155" s="155">
        <v>8</v>
      </c>
      <c r="S2155" s="157"/>
      <c r="T2155" s="183">
        <v>4</v>
      </c>
      <c r="U2155" s="185"/>
      <c r="V2155" s="173" t="s">
        <v>1244</v>
      </c>
      <c r="W2155" s="174"/>
      <c r="X2155" s="311"/>
      <c r="Y2155" s="312"/>
      <c r="Z2155" s="313"/>
      <c r="AA2155" s="272"/>
      <c r="AB2155" s="273"/>
      <c r="AC2155" s="401"/>
      <c r="AD2155" s="403"/>
      <c r="AE2155" s="36"/>
      <c r="AF2155" s="167"/>
      <c r="AG2155" s="168"/>
      <c r="AH2155" s="168"/>
      <c r="AI2155" s="271"/>
      <c r="AJ2155" s="271"/>
      <c r="AK2155" s="15"/>
      <c r="AL2155" s="15"/>
    </row>
    <row r="2156" spans="1:38" ht="105" x14ac:dyDescent="0.25">
      <c r="A2156" s="179"/>
      <c r="B2156" s="401"/>
      <c r="C2156" s="402"/>
      <c r="D2156" s="403"/>
      <c r="E2156" s="28" t="s">
        <v>5988</v>
      </c>
      <c r="F2156" s="272"/>
      <c r="G2156" s="282"/>
      <c r="H2156" s="273"/>
      <c r="I2156" s="382">
        <v>5</v>
      </c>
      <c r="J2156" s="383"/>
      <c r="K2156" s="110" t="s">
        <v>5970</v>
      </c>
      <c r="L2156" s="111"/>
      <c r="M2156" s="173" t="s">
        <v>5985</v>
      </c>
      <c r="N2156" s="276"/>
      <c r="O2156" s="174"/>
      <c r="P2156" s="173" t="s">
        <v>5972</v>
      </c>
      <c r="Q2156" s="174"/>
      <c r="R2156" s="155">
        <v>8</v>
      </c>
      <c r="S2156" s="157"/>
      <c r="T2156" s="183">
        <v>4</v>
      </c>
      <c r="U2156" s="185"/>
      <c r="V2156" s="173" t="s">
        <v>1244</v>
      </c>
      <c r="W2156" s="174"/>
      <c r="X2156" s="311"/>
      <c r="Y2156" s="312"/>
      <c r="Z2156" s="313"/>
      <c r="AA2156" s="272"/>
      <c r="AB2156" s="273"/>
      <c r="AC2156" s="401"/>
      <c r="AD2156" s="403"/>
      <c r="AE2156" s="36"/>
      <c r="AF2156" s="167"/>
      <c r="AG2156" s="168"/>
      <c r="AH2156" s="168"/>
      <c r="AI2156" s="271"/>
      <c r="AJ2156" s="271"/>
      <c r="AK2156" s="15"/>
      <c r="AL2156" s="15"/>
    </row>
    <row r="2157" spans="1:38" ht="105" x14ac:dyDescent="0.25">
      <c r="A2157" s="179"/>
      <c r="B2157" s="401"/>
      <c r="C2157" s="402"/>
      <c r="D2157" s="403"/>
      <c r="E2157" s="28" t="s">
        <v>5989</v>
      </c>
      <c r="F2157" s="272"/>
      <c r="G2157" s="282"/>
      <c r="H2157" s="273"/>
      <c r="I2157" s="382">
        <v>5</v>
      </c>
      <c r="J2157" s="383"/>
      <c r="K2157" s="110" t="s">
        <v>5970</v>
      </c>
      <c r="L2157" s="111"/>
      <c r="M2157" s="173" t="s">
        <v>5985</v>
      </c>
      <c r="N2157" s="276"/>
      <c r="O2157" s="174"/>
      <c r="P2157" s="173" t="s">
        <v>5972</v>
      </c>
      <c r="Q2157" s="174"/>
      <c r="R2157" s="155">
        <v>8</v>
      </c>
      <c r="S2157" s="157"/>
      <c r="T2157" s="183">
        <v>4</v>
      </c>
      <c r="U2157" s="185"/>
      <c r="V2157" s="173" t="s">
        <v>1244</v>
      </c>
      <c r="W2157" s="174"/>
      <c r="X2157" s="311"/>
      <c r="Y2157" s="312"/>
      <c r="Z2157" s="313"/>
      <c r="AA2157" s="272"/>
      <c r="AB2157" s="273"/>
      <c r="AC2157" s="401"/>
      <c r="AD2157" s="403"/>
      <c r="AE2157" s="36"/>
      <c r="AF2157" s="167"/>
      <c r="AG2157" s="168"/>
      <c r="AH2157" s="168"/>
      <c r="AI2157" s="271"/>
      <c r="AJ2157" s="271"/>
      <c r="AK2157" s="15"/>
      <c r="AL2157" s="15"/>
    </row>
    <row r="2158" spans="1:38" ht="105" x14ac:dyDescent="0.25">
      <c r="A2158" s="230"/>
      <c r="B2158" s="404"/>
      <c r="C2158" s="405"/>
      <c r="D2158" s="406"/>
      <c r="E2158" s="28" t="s">
        <v>5990</v>
      </c>
      <c r="F2158" s="194"/>
      <c r="G2158" s="197"/>
      <c r="H2158" s="195"/>
      <c r="I2158" s="382">
        <v>5</v>
      </c>
      <c r="J2158" s="383"/>
      <c r="K2158" s="110" t="s">
        <v>5970</v>
      </c>
      <c r="L2158" s="111"/>
      <c r="M2158" s="173" t="s">
        <v>5985</v>
      </c>
      <c r="N2158" s="276"/>
      <c r="O2158" s="174"/>
      <c r="P2158" s="173" t="s">
        <v>5972</v>
      </c>
      <c r="Q2158" s="174"/>
      <c r="R2158" s="160">
        <v>8</v>
      </c>
      <c r="S2158" s="161"/>
      <c r="T2158" s="183">
        <v>4</v>
      </c>
      <c r="U2158" s="185"/>
      <c r="V2158" s="173" t="s">
        <v>1244</v>
      </c>
      <c r="W2158" s="174"/>
      <c r="X2158" s="255"/>
      <c r="Y2158" s="256"/>
      <c r="Z2158" s="257"/>
      <c r="AA2158" s="194"/>
      <c r="AB2158" s="195"/>
      <c r="AC2158" s="404"/>
      <c r="AD2158" s="406"/>
      <c r="AE2158" s="36"/>
      <c r="AF2158" s="214"/>
      <c r="AG2158" s="215"/>
      <c r="AH2158" s="215"/>
      <c r="AI2158" s="271"/>
      <c r="AJ2158" s="271"/>
      <c r="AK2158" s="15"/>
      <c r="AL2158" s="15"/>
    </row>
    <row r="2159" spans="1:38" ht="90" x14ac:dyDescent="0.25">
      <c r="A2159" s="178"/>
      <c r="B2159" s="409" t="s">
        <v>5991</v>
      </c>
      <c r="C2159" s="410"/>
      <c r="D2159" s="411"/>
      <c r="E2159" s="56" t="s">
        <v>3126</v>
      </c>
      <c r="F2159" s="233" t="s">
        <v>3039</v>
      </c>
      <c r="G2159" s="305"/>
      <c r="H2159" s="234"/>
      <c r="I2159" s="380" t="s">
        <v>674</v>
      </c>
      <c r="J2159" s="381"/>
      <c r="K2159" s="143" t="s">
        <v>3333</v>
      </c>
      <c r="L2159" s="145"/>
      <c r="M2159" s="384" t="s">
        <v>2581</v>
      </c>
      <c r="N2159" s="385"/>
      <c r="O2159" s="386"/>
      <c r="P2159" s="173" t="s">
        <v>3127</v>
      </c>
      <c r="Q2159" s="174"/>
      <c r="R2159" s="114" t="s">
        <v>1222</v>
      </c>
      <c r="S2159" s="116"/>
      <c r="T2159" s="114" t="s">
        <v>674</v>
      </c>
      <c r="U2159" s="116"/>
      <c r="V2159" s="173" t="s">
        <v>3128</v>
      </c>
      <c r="W2159" s="174"/>
      <c r="X2159" s="294">
        <v>28</v>
      </c>
      <c r="Y2159" s="295"/>
      <c r="Z2159" s="296"/>
      <c r="AA2159" s="233" t="s">
        <v>1739</v>
      </c>
      <c r="AB2159" s="234"/>
      <c r="AC2159" s="171" t="s">
        <v>3194</v>
      </c>
      <c r="AD2159" s="172"/>
      <c r="AE2159" s="24" t="s">
        <v>5995</v>
      </c>
      <c r="AF2159" s="164"/>
      <c r="AG2159" s="165"/>
      <c r="AH2159" s="165"/>
      <c r="AI2159" s="271"/>
      <c r="AJ2159" s="271"/>
      <c r="AK2159" s="15"/>
      <c r="AL2159" s="15"/>
    </row>
    <row r="2160" spans="1:38" ht="90" x14ac:dyDescent="0.25">
      <c r="A2160" s="179"/>
      <c r="B2160" s="401" t="s">
        <v>4740</v>
      </c>
      <c r="C2160" s="402"/>
      <c r="D2160" s="403"/>
      <c r="E2160" s="56" t="s">
        <v>5997</v>
      </c>
      <c r="F2160" s="235"/>
      <c r="G2160" s="270"/>
      <c r="H2160" s="236"/>
      <c r="I2160" s="380" t="s">
        <v>674</v>
      </c>
      <c r="J2160" s="381"/>
      <c r="K2160" s="104" t="s">
        <v>3333</v>
      </c>
      <c r="L2160" s="105"/>
      <c r="M2160" s="384" t="s">
        <v>2581</v>
      </c>
      <c r="N2160" s="385"/>
      <c r="O2160" s="386"/>
      <c r="P2160" s="173" t="s">
        <v>3127</v>
      </c>
      <c r="Q2160" s="174"/>
      <c r="R2160" s="114" t="s">
        <v>1222</v>
      </c>
      <c r="S2160" s="116"/>
      <c r="T2160" s="114" t="s">
        <v>674</v>
      </c>
      <c r="U2160" s="116"/>
      <c r="V2160" s="173" t="s">
        <v>3128</v>
      </c>
      <c r="W2160" s="174"/>
      <c r="X2160" s="297"/>
      <c r="Y2160" s="298"/>
      <c r="Z2160" s="299"/>
      <c r="AA2160" s="235"/>
      <c r="AB2160" s="236"/>
      <c r="AC2160" s="162" t="s">
        <v>5993</v>
      </c>
      <c r="AD2160" s="163"/>
      <c r="AE2160" s="31" t="s">
        <v>1356</v>
      </c>
      <c r="AF2160" s="167"/>
      <c r="AG2160" s="168"/>
      <c r="AH2160" s="168"/>
      <c r="AI2160" s="271"/>
      <c r="AJ2160" s="271"/>
      <c r="AK2160" s="15"/>
      <c r="AL2160" s="15"/>
    </row>
    <row r="2161" spans="1:38" ht="90" x14ac:dyDescent="0.25">
      <c r="A2161" s="179"/>
      <c r="B2161" s="401" t="s">
        <v>5992</v>
      </c>
      <c r="C2161" s="402"/>
      <c r="D2161" s="403"/>
      <c r="E2161" s="56" t="s">
        <v>3136</v>
      </c>
      <c r="F2161" s="235"/>
      <c r="G2161" s="270"/>
      <c r="H2161" s="236"/>
      <c r="I2161" s="380" t="s">
        <v>674</v>
      </c>
      <c r="J2161" s="381"/>
      <c r="K2161" s="104" t="s">
        <v>3333</v>
      </c>
      <c r="L2161" s="105"/>
      <c r="M2161" s="384" t="s">
        <v>2581</v>
      </c>
      <c r="N2161" s="385"/>
      <c r="O2161" s="386"/>
      <c r="P2161" s="173" t="s">
        <v>3127</v>
      </c>
      <c r="Q2161" s="174"/>
      <c r="R2161" s="114" t="s">
        <v>1222</v>
      </c>
      <c r="S2161" s="116"/>
      <c r="T2161" s="114" t="s">
        <v>674</v>
      </c>
      <c r="U2161" s="116"/>
      <c r="V2161" s="173" t="s">
        <v>3128</v>
      </c>
      <c r="W2161" s="174"/>
      <c r="X2161" s="297"/>
      <c r="Y2161" s="298"/>
      <c r="Z2161" s="299"/>
      <c r="AA2161" s="235"/>
      <c r="AB2161" s="236"/>
      <c r="AC2161" s="162" t="s">
        <v>5994</v>
      </c>
      <c r="AD2161" s="163"/>
      <c r="AE2161" s="31" t="s">
        <v>5996</v>
      </c>
      <c r="AF2161" s="167"/>
      <c r="AG2161" s="168"/>
      <c r="AH2161" s="168"/>
      <c r="AI2161" s="271"/>
      <c r="AJ2161" s="271"/>
      <c r="AK2161" s="15"/>
      <c r="AL2161" s="15"/>
    </row>
    <row r="2162" spans="1:38" ht="90" x14ac:dyDescent="0.25">
      <c r="A2162" s="179"/>
      <c r="B2162" s="401"/>
      <c r="C2162" s="402"/>
      <c r="D2162" s="403"/>
      <c r="E2162" s="56" t="s">
        <v>3137</v>
      </c>
      <c r="F2162" s="235"/>
      <c r="G2162" s="270"/>
      <c r="H2162" s="236"/>
      <c r="I2162" s="380" t="s">
        <v>674</v>
      </c>
      <c r="J2162" s="381"/>
      <c r="K2162" s="104" t="s">
        <v>3333</v>
      </c>
      <c r="L2162" s="105"/>
      <c r="M2162" s="384" t="s">
        <v>2581</v>
      </c>
      <c r="N2162" s="385"/>
      <c r="O2162" s="386"/>
      <c r="P2162" s="173" t="s">
        <v>3127</v>
      </c>
      <c r="Q2162" s="174"/>
      <c r="R2162" s="114" t="s">
        <v>1222</v>
      </c>
      <c r="S2162" s="116"/>
      <c r="T2162" s="114" t="s">
        <v>674</v>
      </c>
      <c r="U2162" s="116"/>
      <c r="V2162" s="173" t="s">
        <v>3128</v>
      </c>
      <c r="W2162" s="174"/>
      <c r="X2162" s="297"/>
      <c r="Y2162" s="298"/>
      <c r="Z2162" s="299"/>
      <c r="AA2162" s="235"/>
      <c r="AB2162" s="236"/>
      <c r="AC2162" s="162"/>
      <c r="AD2162" s="163"/>
      <c r="AE2162" s="31"/>
      <c r="AF2162" s="167"/>
      <c r="AG2162" s="168"/>
      <c r="AH2162" s="168"/>
      <c r="AI2162" s="271"/>
      <c r="AJ2162" s="271"/>
      <c r="AK2162" s="15"/>
      <c r="AL2162" s="15"/>
    </row>
    <row r="2163" spans="1:38" ht="90" x14ac:dyDescent="0.25">
      <c r="A2163" s="179"/>
      <c r="B2163" s="401"/>
      <c r="C2163" s="402"/>
      <c r="D2163" s="403"/>
      <c r="E2163" s="56" t="s">
        <v>5998</v>
      </c>
      <c r="F2163" s="235"/>
      <c r="G2163" s="270"/>
      <c r="H2163" s="236"/>
      <c r="I2163" s="380" t="s">
        <v>674</v>
      </c>
      <c r="J2163" s="381"/>
      <c r="K2163" s="104" t="s">
        <v>3333</v>
      </c>
      <c r="L2163" s="105"/>
      <c r="M2163" s="384" t="s">
        <v>2581</v>
      </c>
      <c r="N2163" s="385"/>
      <c r="O2163" s="386"/>
      <c r="P2163" s="173" t="s">
        <v>3127</v>
      </c>
      <c r="Q2163" s="174"/>
      <c r="R2163" s="114" t="s">
        <v>1222</v>
      </c>
      <c r="S2163" s="116"/>
      <c r="T2163" s="114" t="s">
        <v>674</v>
      </c>
      <c r="U2163" s="116"/>
      <c r="V2163" s="173" t="s">
        <v>3128</v>
      </c>
      <c r="W2163" s="174"/>
      <c r="X2163" s="297"/>
      <c r="Y2163" s="298"/>
      <c r="Z2163" s="299"/>
      <c r="AA2163" s="235"/>
      <c r="AB2163" s="236"/>
      <c r="AC2163" s="162"/>
      <c r="AD2163" s="163"/>
      <c r="AE2163" s="31"/>
      <c r="AF2163" s="167"/>
      <c r="AG2163" s="168"/>
      <c r="AH2163" s="168"/>
      <c r="AI2163" s="271"/>
      <c r="AJ2163" s="271"/>
      <c r="AK2163" s="15"/>
      <c r="AL2163" s="15"/>
    </row>
    <row r="2164" spans="1:38" ht="90" x14ac:dyDescent="0.25">
      <c r="A2164" s="179"/>
      <c r="B2164" s="401"/>
      <c r="C2164" s="402"/>
      <c r="D2164" s="403"/>
      <c r="E2164" s="56" t="s">
        <v>3138</v>
      </c>
      <c r="F2164" s="235"/>
      <c r="G2164" s="270"/>
      <c r="H2164" s="236"/>
      <c r="I2164" s="380" t="s">
        <v>674</v>
      </c>
      <c r="J2164" s="381"/>
      <c r="K2164" s="104" t="s">
        <v>3333</v>
      </c>
      <c r="L2164" s="105"/>
      <c r="M2164" s="384" t="s">
        <v>2581</v>
      </c>
      <c r="N2164" s="385"/>
      <c r="O2164" s="386"/>
      <c r="P2164" s="173" t="s">
        <v>3127</v>
      </c>
      <c r="Q2164" s="174"/>
      <c r="R2164" s="114" t="s">
        <v>1222</v>
      </c>
      <c r="S2164" s="116"/>
      <c r="T2164" s="114" t="s">
        <v>674</v>
      </c>
      <c r="U2164" s="116"/>
      <c r="V2164" s="173" t="s">
        <v>3128</v>
      </c>
      <c r="W2164" s="174"/>
      <c r="X2164" s="297"/>
      <c r="Y2164" s="298"/>
      <c r="Z2164" s="299"/>
      <c r="AA2164" s="235"/>
      <c r="AB2164" s="236"/>
      <c r="AC2164" s="162"/>
      <c r="AD2164" s="163"/>
      <c r="AE2164" s="31"/>
      <c r="AF2164" s="167"/>
      <c r="AG2164" s="168"/>
      <c r="AH2164" s="168"/>
      <c r="AI2164" s="271"/>
      <c r="AJ2164" s="271"/>
      <c r="AK2164" s="15"/>
      <c r="AL2164" s="15"/>
    </row>
    <row r="2165" spans="1:38" ht="90" x14ac:dyDescent="0.25">
      <c r="A2165" s="179"/>
      <c r="B2165" s="401"/>
      <c r="C2165" s="402"/>
      <c r="D2165" s="403"/>
      <c r="E2165" s="56" t="s">
        <v>3139</v>
      </c>
      <c r="F2165" s="237"/>
      <c r="G2165" s="306"/>
      <c r="H2165" s="238"/>
      <c r="I2165" s="380" t="s">
        <v>674</v>
      </c>
      <c r="J2165" s="381"/>
      <c r="K2165" s="146" t="s">
        <v>3333</v>
      </c>
      <c r="L2165" s="148"/>
      <c r="M2165" s="384" t="s">
        <v>2581</v>
      </c>
      <c r="N2165" s="385"/>
      <c r="O2165" s="386"/>
      <c r="P2165" s="173" t="s">
        <v>3127</v>
      </c>
      <c r="Q2165" s="174"/>
      <c r="R2165" s="112" t="s">
        <v>1222</v>
      </c>
      <c r="S2165" s="113"/>
      <c r="T2165" s="114" t="s">
        <v>674</v>
      </c>
      <c r="U2165" s="116"/>
      <c r="V2165" s="173" t="s">
        <v>3128</v>
      </c>
      <c r="W2165" s="174"/>
      <c r="X2165" s="300"/>
      <c r="Y2165" s="301"/>
      <c r="Z2165" s="302"/>
      <c r="AA2165" s="237"/>
      <c r="AB2165" s="238"/>
      <c r="AC2165" s="162"/>
      <c r="AD2165" s="163"/>
      <c r="AE2165" s="31"/>
      <c r="AF2165" s="167"/>
      <c r="AG2165" s="168"/>
      <c r="AH2165" s="168"/>
      <c r="AI2165" s="271"/>
      <c r="AJ2165" s="271"/>
      <c r="AK2165" s="15"/>
      <c r="AL2165" s="15"/>
    </row>
    <row r="2166" spans="1:38" ht="105" x14ac:dyDescent="0.25">
      <c r="A2166" s="179"/>
      <c r="B2166" s="401"/>
      <c r="C2166" s="402"/>
      <c r="D2166" s="403"/>
      <c r="E2166" s="28" t="s">
        <v>5999</v>
      </c>
      <c r="F2166" s="233" t="s">
        <v>4257</v>
      </c>
      <c r="G2166" s="305"/>
      <c r="H2166" s="234"/>
      <c r="I2166" s="382">
        <v>3</v>
      </c>
      <c r="J2166" s="383"/>
      <c r="K2166" s="143" t="s">
        <v>2700</v>
      </c>
      <c r="L2166" s="145"/>
      <c r="M2166" s="173" t="s">
        <v>4589</v>
      </c>
      <c r="N2166" s="276"/>
      <c r="O2166" s="174"/>
      <c r="P2166" s="173" t="s">
        <v>6000</v>
      </c>
      <c r="Q2166" s="174"/>
      <c r="R2166" s="155">
        <v>5</v>
      </c>
      <c r="S2166" s="157"/>
      <c r="T2166" s="183">
        <v>3</v>
      </c>
      <c r="U2166" s="185"/>
      <c r="V2166" s="173" t="s">
        <v>3752</v>
      </c>
      <c r="W2166" s="174"/>
      <c r="X2166" s="294">
        <v>35</v>
      </c>
      <c r="Y2166" s="295"/>
      <c r="Z2166" s="296"/>
      <c r="AA2166" s="233" t="s">
        <v>1751</v>
      </c>
      <c r="AB2166" s="234"/>
      <c r="AC2166" s="162"/>
      <c r="AD2166" s="163"/>
      <c r="AE2166" s="31"/>
      <c r="AF2166" s="167"/>
      <c r="AG2166" s="168"/>
      <c r="AH2166" s="168"/>
      <c r="AI2166" s="271"/>
      <c r="AJ2166" s="271"/>
      <c r="AK2166" s="15"/>
      <c r="AL2166" s="15"/>
    </row>
    <row r="2167" spans="1:38" ht="105" x14ac:dyDescent="0.25">
      <c r="A2167" s="179"/>
      <c r="B2167" s="401"/>
      <c r="C2167" s="402"/>
      <c r="D2167" s="403"/>
      <c r="E2167" s="28" t="s">
        <v>6001</v>
      </c>
      <c r="F2167" s="235"/>
      <c r="G2167" s="270"/>
      <c r="H2167" s="236"/>
      <c r="I2167" s="382">
        <v>3</v>
      </c>
      <c r="J2167" s="383"/>
      <c r="K2167" s="104" t="s">
        <v>2700</v>
      </c>
      <c r="L2167" s="105"/>
      <c r="M2167" s="173" t="s">
        <v>4589</v>
      </c>
      <c r="N2167" s="276"/>
      <c r="O2167" s="174"/>
      <c r="P2167" s="173" t="s">
        <v>6000</v>
      </c>
      <c r="Q2167" s="174"/>
      <c r="R2167" s="155">
        <v>5</v>
      </c>
      <c r="S2167" s="157"/>
      <c r="T2167" s="183">
        <v>3</v>
      </c>
      <c r="U2167" s="185"/>
      <c r="V2167" s="173" t="s">
        <v>3752</v>
      </c>
      <c r="W2167" s="174"/>
      <c r="X2167" s="297"/>
      <c r="Y2167" s="298"/>
      <c r="Z2167" s="299"/>
      <c r="AA2167" s="235"/>
      <c r="AB2167" s="236"/>
      <c r="AC2167" s="162"/>
      <c r="AD2167" s="163"/>
      <c r="AE2167" s="31"/>
      <c r="AF2167" s="167"/>
      <c r="AG2167" s="168"/>
      <c r="AH2167" s="168"/>
      <c r="AI2167" s="271"/>
      <c r="AJ2167" s="271"/>
      <c r="AK2167" s="15"/>
      <c r="AL2167" s="15"/>
    </row>
    <row r="2168" spans="1:38" ht="90" x14ac:dyDescent="0.25">
      <c r="A2168" s="179"/>
      <c r="B2168" s="401"/>
      <c r="C2168" s="402"/>
      <c r="D2168" s="403"/>
      <c r="E2168" s="28" t="s">
        <v>6002</v>
      </c>
      <c r="F2168" s="235"/>
      <c r="G2168" s="270"/>
      <c r="H2168" s="236"/>
      <c r="I2168" s="382">
        <v>3</v>
      </c>
      <c r="J2168" s="383"/>
      <c r="K2168" s="104" t="s">
        <v>2700</v>
      </c>
      <c r="L2168" s="105"/>
      <c r="M2168" s="173" t="s">
        <v>4589</v>
      </c>
      <c r="N2168" s="276"/>
      <c r="O2168" s="174"/>
      <c r="P2168" s="173" t="s">
        <v>6000</v>
      </c>
      <c r="Q2168" s="174"/>
      <c r="R2168" s="155">
        <v>5</v>
      </c>
      <c r="S2168" s="157"/>
      <c r="T2168" s="183">
        <v>3</v>
      </c>
      <c r="U2168" s="185"/>
      <c r="V2168" s="173" t="s">
        <v>3752</v>
      </c>
      <c r="W2168" s="174"/>
      <c r="X2168" s="297"/>
      <c r="Y2168" s="298"/>
      <c r="Z2168" s="299"/>
      <c r="AA2168" s="235"/>
      <c r="AB2168" s="236"/>
      <c r="AC2168" s="162"/>
      <c r="AD2168" s="163"/>
      <c r="AE2168" s="31"/>
      <c r="AF2168" s="167"/>
      <c r="AG2168" s="168"/>
      <c r="AH2168" s="168"/>
      <c r="AI2168" s="271"/>
      <c r="AJ2168" s="271"/>
      <c r="AK2168" s="15"/>
      <c r="AL2168" s="15"/>
    </row>
    <row r="2169" spans="1:38" ht="90" x14ac:dyDescent="0.25">
      <c r="A2169" s="179"/>
      <c r="B2169" s="401"/>
      <c r="C2169" s="402"/>
      <c r="D2169" s="403"/>
      <c r="E2169" s="28" t="s">
        <v>6003</v>
      </c>
      <c r="F2169" s="235"/>
      <c r="G2169" s="270"/>
      <c r="H2169" s="236"/>
      <c r="I2169" s="382">
        <v>3</v>
      </c>
      <c r="J2169" s="383"/>
      <c r="K2169" s="104" t="s">
        <v>2700</v>
      </c>
      <c r="L2169" s="105"/>
      <c r="M2169" s="173" t="s">
        <v>4589</v>
      </c>
      <c r="N2169" s="276"/>
      <c r="O2169" s="174"/>
      <c r="P2169" s="173" t="s">
        <v>6000</v>
      </c>
      <c r="Q2169" s="174"/>
      <c r="R2169" s="155">
        <v>5</v>
      </c>
      <c r="S2169" s="157"/>
      <c r="T2169" s="183">
        <v>3</v>
      </c>
      <c r="U2169" s="185"/>
      <c r="V2169" s="173" t="s">
        <v>3752</v>
      </c>
      <c r="W2169" s="174"/>
      <c r="X2169" s="297"/>
      <c r="Y2169" s="298"/>
      <c r="Z2169" s="299"/>
      <c r="AA2169" s="235"/>
      <c r="AB2169" s="236"/>
      <c r="AC2169" s="162"/>
      <c r="AD2169" s="163"/>
      <c r="AE2169" s="31"/>
      <c r="AF2169" s="167"/>
      <c r="AG2169" s="168"/>
      <c r="AH2169" s="168"/>
      <c r="AI2169" s="271"/>
      <c r="AJ2169" s="271"/>
      <c r="AK2169" s="15"/>
      <c r="AL2169" s="15"/>
    </row>
    <row r="2170" spans="1:38" ht="90" x14ac:dyDescent="0.25">
      <c r="A2170" s="179"/>
      <c r="B2170" s="401"/>
      <c r="C2170" s="402"/>
      <c r="D2170" s="403"/>
      <c r="E2170" s="28" t="s">
        <v>6004</v>
      </c>
      <c r="F2170" s="235"/>
      <c r="G2170" s="270"/>
      <c r="H2170" s="236"/>
      <c r="I2170" s="382">
        <v>3</v>
      </c>
      <c r="J2170" s="383"/>
      <c r="K2170" s="104" t="s">
        <v>2700</v>
      </c>
      <c r="L2170" s="105"/>
      <c r="M2170" s="173" t="s">
        <v>4589</v>
      </c>
      <c r="N2170" s="276"/>
      <c r="O2170" s="174"/>
      <c r="P2170" s="173" t="s">
        <v>6000</v>
      </c>
      <c r="Q2170" s="174"/>
      <c r="R2170" s="155">
        <v>5</v>
      </c>
      <c r="S2170" s="157"/>
      <c r="T2170" s="183">
        <v>3</v>
      </c>
      <c r="U2170" s="185"/>
      <c r="V2170" s="173" t="s">
        <v>3752</v>
      </c>
      <c r="W2170" s="174"/>
      <c r="X2170" s="297"/>
      <c r="Y2170" s="298"/>
      <c r="Z2170" s="299"/>
      <c r="AA2170" s="235"/>
      <c r="AB2170" s="236"/>
      <c r="AC2170" s="162"/>
      <c r="AD2170" s="163"/>
      <c r="AE2170" s="31"/>
      <c r="AF2170" s="167"/>
      <c r="AG2170" s="168"/>
      <c r="AH2170" s="168"/>
      <c r="AI2170" s="271"/>
      <c r="AJ2170" s="271"/>
      <c r="AK2170" s="15"/>
      <c r="AL2170" s="15"/>
    </row>
    <row r="2171" spans="1:38" ht="90" x14ac:dyDescent="0.25">
      <c r="A2171" s="179"/>
      <c r="B2171" s="401"/>
      <c r="C2171" s="402"/>
      <c r="D2171" s="403"/>
      <c r="E2171" s="28" t="s">
        <v>6005</v>
      </c>
      <c r="F2171" s="235"/>
      <c r="G2171" s="270"/>
      <c r="H2171" s="236"/>
      <c r="I2171" s="382">
        <v>3</v>
      </c>
      <c r="J2171" s="383"/>
      <c r="K2171" s="104" t="s">
        <v>2700</v>
      </c>
      <c r="L2171" s="105"/>
      <c r="M2171" s="173" t="s">
        <v>4589</v>
      </c>
      <c r="N2171" s="276"/>
      <c r="O2171" s="174"/>
      <c r="P2171" s="173" t="s">
        <v>6000</v>
      </c>
      <c r="Q2171" s="174"/>
      <c r="R2171" s="155">
        <v>5</v>
      </c>
      <c r="S2171" s="157"/>
      <c r="T2171" s="183">
        <v>3</v>
      </c>
      <c r="U2171" s="185"/>
      <c r="V2171" s="173" t="s">
        <v>3752</v>
      </c>
      <c r="W2171" s="174"/>
      <c r="X2171" s="297"/>
      <c r="Y2171" s="298"/>
      <c r="Z2171" s="299"/>
      <c r="AA2171" s="235"/>
      <c r="AB2171" s="236"/>
      <c r="AC2171" s="162"/>
      <c r="AD2171" s="163"/>
      <c r="AE2171" s="31"/>
      <c r="AF2171" s="167"/>
      <c r="AG2171" s="168"/>
      <c r="AH2171" s="168"/>
      <c r="AI2171" s="271"/>
      <c r="AJ2171" s="271"/>
      <c r="AK2171" s="15"/>
      <c r="AL2171" s="15"/>
    </row>
    <row r="2172" spans="1:38" ht="90" x14ac:dyDescent="0.25">
      <c r="A2172" s="179"/>
      <c r="B2172" s="401"/>
      <c r="C2172" s="402"/>
      <c r="D2172" s="403"/>
      <c r="E2172" s="28" t="s">
        <v>6006</v>
      </c>
      <c r="F2172" s="235"/>
      <c r="G2172" s="270"/>
      <c r="H2172" s="236"/>
      <c r="I2172" s="382">
        <v>3</v>
      </c>
      <c r="J2172" s="383"/>
      <c r="K2172" s="104" t="s">
        <v>2700</v>
      </c>
      <c r="L2172" s="105"/>
      <c r="M2172" s="173" t="s">
        <v>4589</v>
      </c>
      <c r="N2172" s="276"/>
      <c r="O2172" s="174"/>
      <c r="P2172" s="173" t="s">
        <v>6000</v>
      </c>
      <c r="Q2172" s="174"/>
      <c r="R2172" s="155">
        <v>5</v>
      </c>
      <c r="S2172" s="157"/>
      <c r="T2172" s="183">
        <v>3</v>
      </c>
      <c r="U2172" s="185"/>
      <c r="V2172" s="173" t="s">
        <v>3752</v>
      </c>
      <c r="W2172" s="174"/>
      <c r="X2172" s="297"/>
      <c r="Y2172" s="298"/>
      <c r="Z2172" s="299"/>
      <c r="AA2172" s="235"/>
      <c r="AB2172" s="236"/>
      <c r="AC2172" s="162"/>
      <c r="AD2172" s="163"/>
      <c r="AE2172" s="31"/>
      <c r="AF2172" s="167"/>
      <c r="AG2172" s="168"/>
      <c r="AH2172" s="168"/>
      <c r="AI2172" s="271"/>
      <c r="AJ2172" s="271"/>
      <c r="AK2172" s="15"/>
      <c r="AL2172" s="15"/>
    </row>
    <row r="2173" spans="1:38" ht="90" x14ac:dyDescent="0.25">
      <c r="A2173" s="179"/>
      <c r="B2173" s="401"/>
      <c r="C2173" s="402"/>
      <c r="D2173" s="403"/>
      <c r="E2173" s="28" t="s">
        <v>6007</v>
      </c>
      <c r="F2173" s="235"/>
      <c r="G2173" s="270"/>
      <c r="H2173" s="236"/>
      <c r="I2173" s="382">
        <v>3</v>
      </c>
      <c r="J2173" s="383"/>
      <c r="K2173" s="104" t="s">
        <v>2700</v>
      </c>
      <c r="L2173" s="105"/>
      <c r="M2173" s="173" t="s">
        <v>4589</v>
      </c>
      <c r="N2173" s="276"/>
      <c r="O2173" s="174"/>
      <c r="P2173" s="173" t="s">
        <v>6000</v>
      </c>
      <c r="Q2173" s="174"/>
      <c r="R2173" s="155">
        <v>5</v>
      </c>
      <c r="S2173" s="157"/>
      <c r="T2173" s="183">
        <v>3</v>
      </c>
      <c r="U2173" s="185"/>
      <c r="V2173" s="173" t="s">
        <v>3752</v>
      </c>
      <c r="W2173" s="174"/>
      <c r="X2173" s="297"/>
      <c r="Y2173" s="298"/>
      <c r="Z2173" s="299"/>
      <c r="AA2173" s="235"/>
      <c r="AB2173" s="236"/>
      <c r="AC2173" s="162"/>
      <c r="AD2173" s="163"/>
      <c r="AE2173" s="31"/>
      <c r="AF2173" s="167"/>
      <c r="AG2173" s="168"/>
      <c r="AH2173" s="168"/>
      <c r="AI2173" s="271"/>
      <c r="AJ2173" s="271"/>
      <c r="AK2173" s="15"/>
      <c r="AL2173" s="15"/>
    </row>
    <row r="2174" spans="1:38" ht="90" x14ac:dyDescent="0.25">
      <c r="A2174" s="230"/>
      <c r="B2174" s="404"/>
      <c r="C2174" s="405"/>
      <c r="D2174" s="406"/>
      <c r="E2174" s="28" t="s">
        <v>6008</v>
      </c>
      <c r="F2174" s="237"/>
      <c r="G2174" s="306"/>
      <c r="H2174" s="238"/>
      <c r="I2174" s="382">
        <v>3</v>
      </c>
      <c r="J2174" s="383"/>
      <c r="K2174" s="146" t="s">
        <v>2700</v>
      </c>
      <c r="L2174" s="148"/>
      <c r="M2174" s="173" t="s">
        <v>4589</v>
      </c>
      <c r="N2174" s="276"/>
      <c r="O2174" s="174"/>
      <c r="P2174" s="173" t="s">
        <v>6000</v>
      </c>
      <c r="Q2174" s="174"/>
      <c r="R2174" s="160">
        <v>5</v>
      </c>
      <c r="S2174" s="161"/>
      <c r="T2174" s="183">
        <v>3</v>
      </c>
      <c r="U2174" s="185"/>
      <c r="V2174" s="173" t="s">
        <v>3752</v>
      </c>
      <c r="W2174" s="174"/>
      <c r="X2174" s="300"/>
      <c r="Y2174" s="301"/>
      <c r="Z2174" s="302"/>
      <c r="AA2174" s="237"/>
      <c r="AB2174" s="238"/>
      <c r="AC2174" s="212"/>
      <c r="AD2174" s="213"/>
      <c r="AE2174" s="31"/>
      <c r="AF2174" s="214"/>
      <c r="AG2174" s="215"/>
      <c r="AH2174" s="215"/>
      <c r="AI2174" s="271"/>
      <c r="AJ2174" s="271"/>
      <c r="AK2174" s="15"/>
      <c r="AL2174" s="15"/>
    </row>
    <row r="2175" spans="1:38" ht="105" x14ac:dyDescent="0.25">
      <c r="A2175" s="178"/>
      <c r="B2175" s="409" t="s">
        <v>6009</v>
      </c>
      <c r="C2175" s="410"/>
      <c r="D2175" s="411"/>
      <c r="E2175" s="28" t="s">
        <v>6011</v>
      </c>
      <c r="F2175" s="171" t="s">
        <v>6012</v>
      </c>
      <c r="G2175" s="407"/>
      <c r="H2175" s="172"/>
      <c r="I2175" s="380" t="s">
        <v>1739</v>
      </c>
      <c r="J2175" s="381"/>
      <c r="K2175" s="143" t="s">
        <v>3333</v>
      </c>
      <c r="L2175" s="145"/>
      <c r="M2175" s="384" t="s">
        <v>3142</v>
      </c>
      <c r="N2175" s="385"/>
      <c r="O2175" s="386"/>
      <c r="P2175" s="285">
        <v>2</v>
      </c>
      <c r="Q2175" s="286"/>
      <c r="R2175" s="112">
        <v>8</v>
      </c>
      <c r="S2175" s="113"/>
      <c r="T2175" s="183">
        <v>3</v>
      </c>
      <c r="U2175" s="185"/>
      <c r="V2175" s="173" t="s">
        <v>3458</v>
      </c>
      <c r="W2175" s="174"/>
      <c r="X2175" s="261" t="s">
        <v>4946</v>
      </c>
      <c r="Y2175" s="262"/>
      <c r="Z2175" s="263"/>
      <c r="AA2175" s="192" t="s">
        <v>1452</v>
      </c>
      <c r="AB2175" s="193"/>
      <c r="AC2175" s="171" t="s">
        <v>3194</v>
      </c>
      <c r="AD2175" s="172"/>
      <c r="AE2175" s="24" t="s">
        <v>6015</v>
      </c>
      <c r="AF2175" s="164"/>
      <c r="AG2175" s="165"/>
      <c r="AH2175" s="165"/>
      <c r="AI2175" s="271"/>
      <c r="AJ2175" s="271"/>
      <c r="AK2175" s="15"/>
      <c r="AL2175" s="15"/>
    </row>
    <row r="2176" spans="1:38" ht="120" x14ac:dyDescent="0.25">
      <c r="A2176" s="179"/>
      <c r="B2176" s="401" t="s">
        <v>6010</v>
      </c>
      <c r="C2176" s="402"/>
      <c r="D2176" s="403"/>
      <c r="E2176" s="28" t="s">
        <v>6017</v>
      </c>
      <c r="F2176" s="162"/>
      <c r="G2176" s="170"/>
      <c r="H2176" s="163"/>
      <c r="I2176" s="380" t="s">
        <v>1739</v>
      </c>
      <c r="J2176" s="381"/>
      <c r="K2176" s="104" t="s">
        <v>3333</v>
      </c>
      <c r="L2176" s="105"/>
      <c r="M2176" s="384" t="s">
        <v>3142</v>
      </c>
      <c r="N2176" s="385"/>
      <c r="O2176" s="386"/>
      <c r="P2176" s="285">
        <v>2</v>
      </c>
      <c r="Q2176" s="286"/>
      <c r="R2176" s="155">
        <v>8</v>
      </c>
      <c r="S2176" s="157"/>
      <c r="T2176" s="183">
        <v>3</v>
      </c>
      <c r="U2176" s="185"/>
      <c r="V2176" s="173" t="s">
        <v>3458</v>
      </c>
      <c r="W2176" s="174"/>
      <c r="X2176" s="264"/>
      <c r="Y2176" s="265"/>
      <c r="Z2176" s="266"/>
      <c r="AA2176" s="272"/>
      <c r="AB2176" s="273"/>
      <c r="AC2176" s="162" t="s">
        <v>6013</v>
      </c>
      <c r="AD2176" s="163"/>
      <c r="AE2176" s="31" t="s">
        <v>1356</v>
      </c>
      <c r="AF2176" s="167"/>
      <c r="AG2176" s="168"/>
      <c r="AH2176" s="168"/>
      <c r="AI2176" s="271"/>
      <c r="AJ2176" s="271"/>
      <c r="AK2176" s="15"/>
      <c r="AL2176" s="15"/>
    </row>
    <row r="2177" spans="1:38" ht="105" x14ac:dyDescent="0.25">
      <c r="A2177" s="179"/>
      <c r="B2177" s="401"/>
      <c r="C2177" s="402"/>
      <c r="D2177" s="403"/>
      <c r="E2177" s="28" t="s">
        <v>6018</v>
      </c>
      <c r="F2177" s="162"/>
      <c r="G2177" s="170"/>
      <c r="H2177" s="163"/>
      <c r="I2177" s="380" t="s">
        <v>1739</v>
      </c>
      <c r="J2177" s="381"/>
      <c r="K2177" s="104" t="s">
        <v>3333</v>
      </c>
      <c r="L2177" s="105"/>
      <c r="M2177" s="384" t="s">
        <v>3142</v>
      </c>
      <c r="N2177" s="385"/>
      <c r="O2177" s="386"/>
      <c r="P2177" s="285">
        <v>2</v>
      </c>
      <c r="Q2177" s="286"/>
      <c r="R2177" s="155">
        <v>8</v>
      </c>
      <c r="S2177" s="157"/>
      <c r="T2177" s="183">
        <v>3</v>
      </c>
      <c r="U2177" s="185"/>
      <c r="V2177" s="173" t="s">
        <v>3458</v>
      </c>
      <c r="W2177" s="174"/>
      <c r="X2177" s="264"/>
      <c r="Y2177" s="265"/>
      <c r="Z2177" s="266"/>
      <c r="AA2177" s="272"/>
      <c r="AB2177" s="273"/>
      <c r="AC2177" s="162" t="s">
        <v>6014</v>
      </c>
      <c r="AD2177" s="163"/>
      <c r="AE2177" s="31" t="s">
        <v>6016</v>
      </c>
      <c r="AF2177" s="167"/>
      <c r="AG2177" s="168"/>
      <c r="AH2177" s="168"/>
      <c r="AI2177" s="271"/>
      <c r="AJ2177" s="271"/>
      <c r="AK2177" s="15"/>
      <c r="AL2177" s="15"/>
    </row>
    <row r="2178" spans="1:38" ht="120" x14ac:dyDescent="0.25">
      <c r="A2178" s="179"/>
      <c r="B2178" s="401"/>
      <c r="C2178" s="402"/>
      <c r="D2178" s="403"/>
      <c r="E2178" s="28" t="s">
        <v>6019</v>
      </c>
      <c r="F2178" s="162"/>
      <c r="G2178" s="170"/>
      <c r="H2178" s="163"/>
      <c r="I2178" s="380" t="s">
        <v>1739</v>
      </c>
      <c r="J2178" s="381"/>
      <c r="K2178" s="104" t="s">
        <v>3333</v>
      </c>
      <c r="L2178" s="105"/>
      <c r="M2178" s="384" t="s">
        <v>3142</v>
      </c>
      <c r="N2178" s="385"/>
      <c r="O2178" s="386"/>
      <c r="P2178" s="285">
        <v>2</v>
      </c>
      <c r="Q2178" s="286"/>
      <c r="R2178" s="155">
        <v>8</v>
      </c>
      <c r="S2178" s="157"/>
      <c r="T2178" s="183">
        <v>3</v>
      </c>
      <c r="U2178" s="185"/>
      <c r="V2178" s="173" t="s">
        <v>3458</v>
      </c>
      <c r="W2178" s="174"/>
      <c r="X2178" s="264"/>
      <c r="Y2178" s="265"/>
      <c r="Z2178" s="266"/>
      <c r="AA2178" s="272"/>
      <c r="AB2178" s="273"/>
      <c r="AC2178" s="162"/>
      <c r="AD2178" s="163"/>
      <c r="AE2178" s="31"/>
      <c r="AF2178" s="167"/>
      <c r="AG2178" s="168"/>
      <c r="AH2178" s="168"/>
      <c r="AI2178" s="271"/>
      <c r="AJ2178" s="271"/>
      <c r="AK2178" s="15"/>
      <c r="AL2178" s="15"/>
    </row>
    <row r="2179" spans="1:38" ht="105" x14ac:dyDescent="0.25">
      <c r="A2179" s="179"/>
      <c r="B2179" s="401"/>
      <c r="C2179" s="402"/>
      <c r="D2179" s="403"/>
      <c r="E2179" s="28" t="s">
        <v>6020</v>
      </c>
      <c r="F2179" s="212"/>
      <c r="G2179" s="408"/>
      <c r="H2179" s="213"/>
      <c r="I2179" s="380" t="s">
        <v>1739</v>
      </c>
      <c r="J2179" s="381"/>
      <c r="K2179" s="146" t="s">
        <v>3333</v>
      </c>
      <c r="L2179" s="148"/>
      <c r="M2179" s="384" t="s">
        <v>3142</v>
      </c>
      <c r="N2179" s="385"/>
      <c r="O2179" s="386"/>
      <c r="P2179" s="285">
        <v>2</v>
      </c>
      <c r="Q2179" s="286"/>
      <c r="R2179" s="155">
        <v>8</v>
      </c>
      <c r="S2179" s="157"/>
      <c r="T2179" s="183">
        <v>3</v>
      </c>
      <c r="U2179" s="185"/>
      <c r="V2179" s="173" t="s">
        <v>3458</v>
      </c>
      <c r="W2179" s="174"/>
      <c r="X2179" s="267"/>
      <c r="Y2179" s="268"/>
      <c r="Z2179" s="269"/>
      <c r="AA2179" s="194"/>
      <c r="AB2179" s="195"/>
      <c r="AC2179" s="162"/>
      <c r="AD2179" s="163"/>
      <c r="AE2179" s="31"/>
      <c r="AF2179" s="167"/>
      <c r="AG2179" s="168"/>
      <c r="AH2179" s="168"/>
      <c r="AI2179" s="271"/>
      <c r="AJ2179" s="271"/>
      <c r="AK2179" s="15"/>
      <c r="AL2179" s="15"/>
    </row>
    <row r="2180" spans="1:38" ht="90" x14ac:dyDescent="0.25">
      <c r="A2180" s="179"/>
      <c r="B2180" s="401"/>
      <c r="C2180" s="402"/>
      <c r="D2180" s="403"/>
      <c r="E2180" s="28" t="s">
        <v>6021</v>
      </c>
      <c r="F2180" s="233" t="s">
        <v>4257</v>
      </c>
      <c r="G2180" s="305"/>
      <c r="H2180" s="234"/>
      <c r="I2180" s="380" t="s">
        <v>1081</v>
      </c>
      <c r="J2180" s="381"/>
      <c r="K2180" s="143" t="s">
        <v>2700</v>
      </c>
      <c r="L2180" s="145"/>
      <c r="M2180" s="285">
        <v>20</v>
      </c>
      <c r="N2180" s="400"/>
      <c r="O2180" s="286"/>
      <c r="P2180" s="285">
        <v>2</v>
      </c>
      <c r="Q2180" s="286"/>
      <c r="R2180" s="155">
        <v>8</v>
      </c>
      <c r="S2180" s="157"/>
      <c r="T2180" s="183">
        <v>3</v>
      </c>
      <c r="U2180" s="185"/>
      <c r="V2180" s="173" t="s">
        <v>2385</v>
      </c>
      <c r="W2180" s="174"/>
      <c r="X2180" s="261" t="s">
        <v>6022</v>
      </c>
      <c r="Y2180" s="262"/>
      <c r="Z2180" s="263"/>
      <c r="AA2180" s="233" t="s">
        <v>1038</v>
      </c>
      <c r="AB2180" s="234"/>
      <c r="AC2180" s="162"/>
      <c r="AD2180" s="163"/>
      <c r="AE2180" s="31"/>
      <c r="AF2180" s="167"/>
      <c r="AG2180" s="168"/>
      <c r="AH2180" s="168"/>
      <c r="AI2180" s="271"/>
      <c r="AJ2180" s="271"/>
      <c r="AK2180" s="15"/>
      <c r="AL2180" s="15"/>
    </row>
    <row r="2181" spans="1:38" ht="90" x14ac:dyDescent="0.25">
      <c r="A2181" s="179"/>
      <c r="B2181" s="401"/>
      <c r="C2181" s="402"/>
      <c r="D2181" s="403"/>
      <c r="E2181" s="28" t="s">
        <v>6023</v>
      </c>
      <c r="F2181" s="235"/>
      <c r="G2181" s="270"/>
      <c r="H2181" s="236"/>
      <c r="I2181" s="380" t="s">
        <v>1081</v>
      </c>
      <c r="J2181" s="381"/>
      <c r="K2181" s="104" t="s">
        <v>2700</v>
      </c>
      <c r="L2181" s="105"/>
      <c r="M2181" s="285">
        <v>20</v>
      </c>
      <c r="N2181" s="400"/>
      <c r="O2181" s="286"/>
      <c r="P2181" s="285">
        <v>2</v>
      </c>
      <c r="Q2181" s="286"/>
      <c r="R2181" s="155">
        <v>8</v>
      </c>
      <c r="S2181" s="157"/>
      <c r="T2181" s="183">
        <v>3</v>
      </c>
      <c r="U2181" s="185"/>
      <c r="V2181" s="173" t="s">
        <v>2385</v>
      </c>
      <c r="W2181" s="174"/>
      <c r="X2181" s="264"/>
      <c r="Y2181" s="265"/>
      <c r="Z2181" s="266"/>
      <c r="AA2181" s="235"/>
      <c r="AB2181" s="236"/>
      <c r="AC2181" s="162"/>
      <c r="AD2181" s="163"/>
      <c r="AE2181" s="31"/>
      <c r="AF2181" s="167"/>
      <c r="AG2181" s="168"/>
      <c r="AH2181" s="168"/>
      <c r="AI2181" s="271"/>
      <c r="AJ2181" s="271"/>
      <c r="AK2181" s="15"/>
      <c r="AL2181" s="15"/>
    </row>
    <row r="2182" spans="1:38" ht="75" x14ac:dyDescent="0.25">
      <c r="A2182" s="179"/>
      <c r="B2182" s="401"/>
      <c r="C2182" s="402"/>
      <c r="D2182" s="403"/>
      <c r="E2182" s="28" t="s">
        <v>6024</v>
      </c>
      <c r="F2182" s="235"/>
      <c r="G2182" s="270"/>
      <c r="H2182" s="236"/>
      <c r="I2182" s="380" t="s">
        <v>1081</v>
      </c>
      <c r="J2182" s="381"/>
      <c r="K2182" s="104" t="s">
        <v>2700</v>
      </c>
      <c r="L2182" s="105"/>
      <c r="M2182" s="285">
        <v>20</v>
      </c>
      <c r="N2182" s="400"/>
      <c r="O2182" s="286"/>
      <c r="P2182" s="285">
        <v>2</v>
      </c>
      <c r="Q2182" s="286"/>
      <c r="R2182" s="155">
        <v>8</v>
      </c>
      <c r="S2182" s="157"/>
      <c r="T2182" s="183">
        <v>3</v>
      </c>
      <c r="U2182" s="185"/>
      <c r="V2182" s="173" t="s">
        <v>2385</v>
      </c>
      <c r="W2182" s="174"/>
      <c r="X2182" s="264"/>
      <c r="Y2182" s="265"/>
      <c r="Z2182" s="266"/>
      <c r="AA2182" s="235"/>
      <c r="AB2182" s="236"/>
      <c r="AC2182" s="162"/>
      <c r="AD2182" s="163"/>
      <c r="AE2182" s="31"/>
      <c r="AF2182" s="167"/>
      <c r="AG2182" s="168"/>
      <c r="AH2182" s="168"/>
      <c r="AI2182" s="271"/>
      <c r="AJ2182" s="271"/>
      <c r="AK2182" s="15"/>
      <c r="AL2182" s="15"/>
    </row>
    <row r="2183" spans="1:38" ht="75" x14ac:dyDescent="0.25">
      <c r="A2183" s="179"/>
      <c r="B2183" s="401"/>
      <c r="C2183" s="402"/>
      <c r="D2183" s="403"/>
      <c r="E2183" s="28" t="s">
        <v>6025</v>
      </c>
      <c r="F2183" s="235"/>
      <c r="G2183" s="270"/>
      <c r="H2183" s="236"/>
      <c r="I2183" s="380" t="s">
        <v>1081</v>
      </c>
      <c r="J2183" s="381"/>
      <c r="K2183" s="104" t="s">
        <v>2700</v>
      </c>
      <c r="L2183" s="105"/>
      <c r="M2183" s="285">
        <v>20</v>
      </c>
      <c r="N2183" s="400"/>
      <c r="O2183" s="286"/>
      <c r="P2183" s="285">
        <v>2</v>
      </c>
      <c r="Q2183" s="286"/>
      <c r="R2183" s="155">
        <v>8</v>
      </c>
      <c r="S2183" s="157"/>
      <c r="T2183" s="183">
        <v>3</v>
      </c>
      <c r="U2183" s="185"/>
      <c r="V2183" s="173" t="s">
        <v>2385</v>
      </c>
      <c r="W2183" s="174"/>
      <c r="X2183" s="264"/>
      <c r="Y2183" s="265"/>
      <c r="Z2183" s="266"/>
      <c r="AA2183" s="235"/>
      <c r="AB2183" s="236"/>
      <c r="AC2183" s="162"/>
      <c r="AD2183" s="163"/>
      <c r="AE2183" s="31"/>
      <c r="AF2183" s="167"/>
      <c r="AG2183" s="168"/>
      <c r="AH2183" s="168"/>
      <c r="AI2183" s="271"/>
      <c r="AJ2183" s="271"/>
      <c r="AK2183" s="15"/>
      <c r="AL2183" s="15"/>
    </row>
    <row r="2184" spans="1:38" ht="90" x14ac:dyDescent="0.25">
      <c r="A2184" s="179"/>
      <c r="B2184" s="401"/>
      <c r="C2184" s="402"/>
      <c r="D2184" s="403"/>
      <c r="E2184" s="28" t="s">
        <v>6026</v>
      </c>
      <c r="F2184" s="235"/>
      <c r="G2184" s="270"/>
      <c r="H2184" s="236"/>
      <c r="I2184" s="380" t="s">
        <v>1081</v>
      </c>
      <c r="J2184" s="381"/>
      <c r="K2184" s="104" t="s">
        <v>2700</v>
      </c>
      <c r="L2184" s="105"/>
      <c r="M2184" s="285">
        <v>20</v>
      </c>
      <c r="N2184" s="400"/>
      <c r="O2184" s="286"/>
      <c r="P2184" s="285">
        <v>2</v>
      </c>
      <c r="Q2184" s="286"/>
      <c r="R2184" s="155">
        <v>8</v>
      </c>
      <c r="S2184" s="157"/>
      <c r="T2184" s="183">
        <v>3</v>
      </c>
      <c r="U2184" s="185"/>
      <c r="V2184" s="173" t="s">
        <v>2385</v>
      </c>
      <c r="W2184" s="174"/>
      <c r="X2184" s="264"/>
      <c r="Y2184" s="265"/>
      <c r="Z2184" s="266"/>
      <c r="AA2184" s="235"/>
      <c r="AB2184" s="236"/>
      <c r="AC2184" s="162"/>
      <c r="AD2184" s="163"/>
      <c r="AE2184" s="31"/>
      <c r="AF2184" s="167"/>
      <c r="AG2184" s="168"/>
      <c r="AH2184" s="168"/>
      <c r="AI2184" s="271"/>
      <c r="AJ2184" s="271"/>
      <c r="AK2184" s="15"/>
      <c r="AL2184" s="15"/>
    </row>
    <row r="2185" spans="1:38" ht="75" x14ac:dyDescent="0.25">
      <c r="A2185" s="179"/>
      <c r="B2185" s="401"/>
      <c r="C2185" s="402"/>
      <c r="D2185" s="403"/>
      <c r="E2185" s="28" t="s">
        <v>6027</v>
      </c>
      <c r="F2185" s="235"/>
      <c r="G2185" s="270"/>
      <c r="H2185" s="236"/>
      <c r="I2185" s="380" t="s">
        <v>1081</v>
      </c>
      <c r="J2185" s="381"/>
      <c r="K2185" s="104" t="s">
        <v>2700</v>
      </c>
      <c r="L2185" s="105"/>
      <c r="M2185" s="285">
        <v>20</v>
      </c>
      <c r="N2185" s="400"/>
      <c r="O2185" s="286"/>
      <c r="P2185" s="285">
        <v>2</v>
      </c>
      <c r="Q2185" s="286"/>
      <c r="R2185" s="155">
        <v>8</v>
      </c>
      <c r="S2185" s="157"/>
      <c r="T2185" s="183">
        <v>3</v>
      </c>
      <c r="U2185" s="185"/>
      <c r="V2185" s="173" t="s">
        <v>2385</v>
      </c>
      <c r="W2185" s="174"/>
      <c r="X2185" s="264"/>
      <c r="Y2185" s="265"/>
      <c r="Z2185" s="266"/>
      <c r="AA2185" s="235"/>
      <c r="AB2185" s="236"/>
      <c r="AC2185" s="162"/>
      <c r="AD2185" s="163"/>
      <c r="AE2185" s="31"/>
      <c r="AF2185" s="167"/>
      <c r="AG2185" s="168"/>
      <c r="AH2185" s="168"/>
      <c r="AI2185" s="271"/>
      <c r="AJ2185" s="271"/>
      <c r="AK2185" s="15"/>
      <c r="AL2185" s="15"/>
    </row>
    <row r="2186" spans="1:38" ht="75" x14ac:dyDescent="0.25">
      <c r="A2186" s="179"/>
      <c r="B2186" s="401"/>
      <c r="C2186" s="402"/>
      <c r="D2186" s="403"/>
      <c r="E2186" s="28" t="s">
        <v>6028</v>
      </c>
      <c r="F2186" s="235"/>
      <c r="G2186" s="270"/>
      <c r="H2186" s="236"/>
      <c r="I2186" s="380" t="s">
        <v>1081</v>
      </c>
      <c r="J2186" s="381"/>
      <c r="K2186" s="104" t="s">
        <v>2700</v>
      </c>
      <c r="L2186" s="105"/>
      <c r="M2186" s="285">
        <v>20</v>
      </c>
      <c r="N2186" s="400"/>
      <c r="O2186" s="286"/>
      <c r="P2186" s="285">
        <v>2</v>
      </c>
      <c r="Q2186" s="286"/>
      <c r="R2186" s="155">
        <v>8</v>
      </c>
      <c r="S2186" s="157"/>
      <c r="T2186" s="183">
        <v>3</v>
      </c>
      <c r="U2186" s="185"/>
      <c r="V2186" s="173" t="s">
        <v>2385</v>
      </c>
      <c r="W2186" s="174"/>
      <c r="X2186" s="264"/>
      <c r="Y2186" s="265"/>
      <c r="Z2186" s="266"/>
      <c r="AA2186" s="235"/>
      <c r="AB2186" s="236"/>
      <c r="AC2186" s="162"/>
      <c r="AD2186" s="163"/>
      <c r="AE2186" s="31"/>
      <c r="AF2186" s="167"/>
      <c r="AG2186" s="168"/>
      <c r="AH2186" s="168"/>
      <c r="AI2186" s="271"/>
      <c r="AJ2186" s="271"/>
      <c r="AK2186" s="15"/>
      <c r="AL2186" s="15"/>
    </row>
    <row r="2187" spans="1:38" ht="90" x14ac:dyDescent="0.25">
      <c r="A2187" s="179"/>
      <c r="B2187" s="401"/>
      <c r="C2187" s="402"/>
      <c r="D2187" s="403"/>
      <c r="E2187" s="28" t="s">
        <v>6029</v>
      </c>
      <c r="F2187" s="235"/>
      <c r="G2187" s="270"/>
      <c r="H2187" s="236"/>
      <c r="I2187" s="380" t="s">
        <v>1081</v>
      </c>
      <c r="J2187" s="381"/>
      <c r="K2187" s="104" t="s">
        <v>2700</v>
      </c>
      <c r="L2187" s="105"/>
      <c r="M2187" s="285">
        <v>20</v>
      </c>
      <c r="N2187" s="400"/>
      <c r="O2187" s="286"/>
      <c r="P2187" s="285">
        <v>2</v>
      </c>
      <c r="Q2187" s="286"/>
      <c r="R2187" s="155">
        <v>8</v>
      </c>
      <c r="S2187" s="157"/>
      <c r="T2187" s="183">
        <v>3</v>
      </c>
      <c r="U2187" s="185"/>
      <c r="V2187" s="173" t="s">
        <v>2385</v>
      </c>
      <c r="W2187" s="174"/>
      <c r="X2187" s="264"/>
      <c r="Y2187" s="265"/>
      <c r="Z2187" s="266"/>
      <c r="AA2187" s="235"/>
      <c r="AB2187" s="236"/>
      <c r="AC2187" s="162"/>
      <c r="AD2187" s="163"/>
      <c r="AE2187" s="31"/>
      <c r="AF2187" s="167"/>
      <c r="AG2187" s="168"/>
      <c r="AH2187" s="168"/>
      <c r="AI2187" s="271"/>
      <c r="AJ2187" s="271"/>
      <c r="AK2187" s="15"/>
      <c r="AL2187" s="15"/>
    </row>
    <row r="2188" spans="1:38" ht="75" x14ac:dyDescent="0.25">
      <c r="A2188" s="230"/>
      <c r="B2188" s="404"/>
      <c r="C2188" s="405"/>
      <c r="D2188" s="406"/>
      <c r="E2188" s="28" t="s">
        <v>6030</v>
      </c>
      <c r="F2188" s="237"/>
      <c r="G2188" s="306"/>
      <c r="H2188" s="238"/>
      <c r="I2188" s="380" t="s">
        <v>1081</v>
      </c>
      <c r="J2188" s="381"/>
      <c r="K2188" s="146" t="s">
        <v>2700</v>
      </c>
      <c r="L2188" s="148"/>
      <c r="M2188" s="285">
        <v>20</v>
      </c>
      <c r="N2188" s="400"/>
      <c r="O2188" s="286"/>
      <c r="P2188" s="285">
        <v>2</v>
      </c>
      <c r="Q2188" s="286"/>
      <c r="R2188" s="160">
        <v>8</v>
      </c>
      <c r="S2188" s="161"/>
      <c r="T2188" s="183">
        <v>3</v>
      </c>
      <c r="U2188" s="185"/>
      <c r="V2188" s="173" t="s">
        <v>2385</v>
      </c>
      <c r="W2188" s="174"/>
      <c r="X2188" s="267"/>
      <c r="Y2188" s="268"/>
      <c r="Z2188" s="269"/>
      <c r="AA2188" s="237"/>
      <c r="AB2188" s="238"/>
      <c r="AC2188" s="212"/>
      <c r="AD2188" s="213"/>
      <c r="AE2188" s="31"/>
      <c r="AF2188" s="214"/>
      <c r="AG2188" s="215"/>
      <c r="AH2188" s="215"/>
      <c r="AI2188" s="271"/>
      <c r="AJ2188" s="271"/>
      <c r="AK2188" s="15"/>
      <c r="AL2188" s="15"/>
    </row>
    <row r="2189" spans="1:38" ht="105" x14ac:dyDescent="0.3">
      <c r="A2189" s="178"/>
      <c r="B2189" s="223" t="s">
        <v>6031</v>
      </c>
      <c r="C2189" s="398"/>
      <c r="D2189" s="224"/>
      <c r="E2189" s="28" t="s">
        <v>6033</v>
      </c>
      <c r="F2189" s="303" t="s">
        <v>6012</v>
      </c>
      <c r="G2189" s="344"/>
      <c r="H2189" s="304"/>
      <c r="I2189" s="382">
        <v>4</v>
      </c>
      <c r="J2189" s="383"/>
      <c r="K2189" s="171" t="s">
        <v>920</v>
      </c>
      <c r="L2189" s="172"/>
      <c r="M2189" s="392" t="s">
        <v>4095</v>
      </c>
      <c r="N2189" s="393"/>
      <c r="O2189" s="394"/>
      <c r="P2189" s="171" t="s">
        <v>722</v>
      </c>
      <c r="Q2189" s="172"/>
      <c r="R2189" s="387">
        <v>8</v>
      </c>
      <c r="S2189" s="388"/>
      <c r="T2189" s="387">
        <v>3</v>
      </c>
      <c r="U2189" s="388"/>
      <c r="V2189" s="171" t="s">
        <v>6034</v>
      </c>
      <c r="W2189" s="172"/>
      <c r="X2189" s="252">
        <v>55</v>
      </c>
      <c r="Y2189" s="253"/>
      <c r="Z2189" s="254"/>
      <c r="AA2189" s="233" t="s">
        <v>722</v>
      </c>
      <c r="AB2189" s="234"/>
      <c r="AC2189" s="164"/>
      <c r="AD2189" s="166"/>
      <c r="AE2189" s="178"/>
      <c r="AF2189" s="164"/>
      <c r="AG2189" s="165"/>
      <c r="AH2189" s="165"/>
      <c r="AI2189" s="271"/>
      <c r="AJ2189" s="271"/>
      <c r="AK2189" s="15"/>
      <c r="AL2189" s="15"/>
    </row>
    <row r="2190" spans="1:38" ht="105" x14ac:dyDescent="0.3">
      <c r="A2190" s="179"/>
      <c r="B2190" s="239" t="s">
        <v>4740</v>
      </c>
      <c r="C2190" s="399"/>
      <c r="D2190" s="240"/>
      <c r="E2190" s="28" t="s">
        <v>6035</v>
      </c>
      <c r="F2190" s="292"/>
      <c r="G2190" s="314"/>
      <c r="H2190" s="293"/>
      <c r="I2190" s="382">
        <v>4</v>
      </c>
      <c r="J2190" s="383"/>
      <c r="K2190" s="212"/>
      <c r="L2190" s="213"/>
      <c r="M2190" s="395"/>
      <c r="N2190" s="396"/>
      <c r="O2190" s="397"/>
      <c r="P2190" s="212"/>
      <c r="Q2190" s="213"/>
      <c r="R2190" s="389"/>
      <c r="S2190" s="390"/>
      <c r="T2190" s="389"/>
      <c r="U2190" s="390"/>
      <c r="V2190" s="212"/>
      <c r="W2190" s="213"/>
      <c r="X2190" s="311"/>
      <c r="Y2190" s="312"/>
      <c r="Z2190" s="313"/>
      <c r="AA2190" s="235"/>
      <c r="AB2190" s="236"/>
      <c r="AC2190" s="167"/>
      <c r="AD2190" s="169"/>
      <c r="AE2190" s="179"/>
      <c r="AF2190" s="167"/>
      <c r="AG2190" s="168"/>
      <c r="AH2190" s="168"/>
      <c r="AI2190" s="271"/>
      <c r="AJ2190" s="271"/>
      <c r="AK2190" s="15"/>
      <c r="AL2190" s="15"/>
    </row>
    <row r="2191" spans="1:38" ht="105" x14ac:dyDescent="0.3">
      <c r="A2191" s="179"/>
      <c r="B2191" s="239" t="s">
        <v>6032</v>
      </c>
      <c r="C2191" s="399"/>
      <c r="D2191" s="240"/>
      <c r="E2191" s="28" t="s">
        <v>6036</v>
      </c>
      <c r="F2191" s="292"/>
      <c r="G2191" s="314"/>
      <c r="H2191" s="293"/>
      <c r="I2191" s="382">
        <v>4</v>
      </c>
      <c r="J2191" s="383"/>
      <c r="K2191" s="143" t="s">
        <v>3333</v>
      </c>
      <c r="L2191" s="145"/>
      <c r="M2191" s="384" t="s">
        <v>4095</v>
      </c>
      <c r="N2191" s="385"/>
      <c r="O2191" s="386"/>
      <c r="P2191" s="114" t="s">
        <v>722</v>
      </c>
      <c r="Q2191" s="116"/>
      <c r="R2191" s="112">
        <v>8</v>
      </c>
      <c r="S2191" s="113"/>
      <c r="T2191" s="183">
        <v>3</v>
      </c>
      <c r="U2191" s="185"/>
      <c r="V2191" s="173" t="s">
        <v>6034</v>
      </c>
      <c r="W2191" s="174"/>
      <c r="X2191" s="311"/>
      <c r="Y2191" s="312"/>
      <c r="Z2191" s="313"/>
      <c r="AA2191" s="235"/>
      <c r="AB2191" s="236"/>
      <c r="AC2191" s="167"/>
      <c r="AD2191" s="169"/>
      <c r="AE2191" s="179"/>
      <c r="AF2191" s="167"/>
      <c r="AG2191" s="168"/>
      <c r="AH2191" s="168"/>
      <c r="AI2191" s="271"/>
      <c r="AJ2191" s="271"/>
      <c r="AK2191" s="15"/>
      <c r="AL2191" s="15"/>
    </row>
    <row r="2192" spans="1:38" ht="105" x14ac:dyDescent="0.3">
      <c r="A2192" s="179"/>
      <c r="B2192" s="239"/>
      <c r="C2192" s="399"/>
      <c r="D2192" s="240"/>
      <c r="E2192" s="28" t="s">
        <v>6037</v>
      </c>
      <c r="F2192" s="290"/>
      <c r="G2192" s="345"/>
      <c r="H2192" s="291"/>
      <c r="I2192" s="382">
        <v>4</v>
      </c>
      <c r="J2192" s="383"/>
      <c r="K2192" s="146" t="s">
        <v>3333</v>
      </c>
      <c r="L2192" s="148"/>
      <c r="M2192" s="384" t="s">
        <v>4095</v>
      </c>
      <c r="N2192" s="385"/>
      <c r="O2192" s="386"/>
      <c r="P2192" s="114" t="s">
        <v>722</v>
      </c>
      <c r="Q2192" s="116"/>
      <c r="R2192" s="155">
        <v>8</v>
      </c>
      <c r="S2192" s="157"/>
      <c r="T2192" s="183">
        <v>3</v>
      </c>
      <c r="U2192" s="185"/>
      <c r="V2192" s="173" t="s">
        <v>6034</v>
      </c>
      <c r="W2192" s="174"/>
      <c r="X2192" s="255"/>
      <c r="Y2192" s="256"/>
      <c r="Z2192" s="257"/>
      <c r="AA2192" s="237"/>
      <c r="AB2192" s="238"/>
      <c r="AC2192" s="167"/>
      <c r="AD2192" s="169"/>
      <c r="AE2192" s="179"/>
      <c r="AF2192" s="167"/>
      <c r="AG2192" s="168"/>
      <c r="AH2192" s="168"/>
      <c r="AI2192" s="271"/>
      <c r="AJ2192" s="271"/>
      <c r="AK2192" s="15"/>
      <c r="AL2192" s="15"/>
    </row>
    <row r="2193" spans="1:38" ht="75" x14ac:dyDescent="0.3">
      <c r="A2193" s="179"/>
      <c r="B2193" s="239"/>
      <c r="C2193" s="399"/>
      <c r="D2193" s="240"/>
      <c r="E2193" s="28" t="s">
        <v>6038</v>
      </c>
      <c r="F2193" s="192" t="s">
        <v>4257</v>
      </c>
      <c r="G2193" s="196"/>
      <c r="H2193" s="193"/>
      <c r="I2193" s="380" t="s">
        <v>1081</v>
      </c>
      <c r="J2193" s="381"/>
      <c r="K2193" s="143" t="s">
        <v>2700</v>
      </c>
      <c r="L2193" s="145"/>
      <c r="M2193" s="173" t="s">
        <v>977</v>
      </c>
      <c r="N2193" s="276"/>
      <c r="O2193" s="174"/>
      <c r="P2193" s="114" t="s">
        <v>688</v>
      </c>
      <c r="Q2193" s="116"/>
      <c r="R2193" s="155">
        <v>8</v>
      </c>
      <c r="S2193" s="157"/>
      <c r="T2193" s="183">
        <v>3</v>
      </c>
      <c r="U2193" s="185"/>
      <c r="V2193" s="173" t="s">
        <v>6039</v>
      </c>
      <c r="W2193" s="174"/>
      <c r="X2193" s="252">
        <v>59</v>
      </c>
      <c r="Y2193" s="253"/>
      <c r="Z2193" s="254"/>
      <c r="AA2193" s="192" t="s">
        <v>674</v>
      </c>
      <c r="AB2193" s="193"/>
      <c r="AC2193" s="167"/>
      <c r="AD2193" s="169"/>
      <c r="AE2193" s="179"/>
      <c r="AF2193" s="167"/>
      <c r="AG2193" s="168"/>
      <c r="AH2193" s="168"/>
      <c r="AI2193" s="271"/>
      <c r="AJ2193" s="271"/>
      <c r="AK2193" s="15"/>
      <c r="AL2193" s="15"/>
    </row>
    <row r="2194" spans="1:38" ht="75" x14ac:dyDescent="0.3">
      <c r="A2194" s="179"/>
      <c r="B2194" s="239"/>
      <c r="C2194" s="399"/>
      <c r="D2194" s="240"/>
      <c r="E2194" s="28" t="s">
        <v>6040</v>
      </c>
      <c r="F2194" s="272"/>
      <c r="G2194" s="282"/>
      <c r="H2194" s="273"/>
      <c r="I2194" s="380" t="s">
        <v>1081</v>
      </c>
      <c r="J2194" s="381"/>
      <c r="K2194" s="104" t="s">
        <v>2700</v>
      </c>
      <c r="L2194" s="105"/>
      <c r="M2194" s="173" t="s">
        <v>977</v>
      </c>
      <c r="N2194" s="276"/>
      <c r="O2194" s="174"/>
      <c r="P2194" s="114" t="s">
        <v>688</v>
      </c>
      <c r="Q2194" s="116"/>
      <c r="R2194" s="155">
        <v>8</v>
      </c>
      <c r="S2194" s="157"/>
      <c r="T2194" s="183">
        <v>3</v>
      </c>
      <c r="U2194" s="185"/>
      <c r="V2194" s="173" t="s">
        <v>6039</v>
      </c>
      <c r="W2194" s="174"/>
      <c r="X2194" s="311"/>
      <c r="Y2194" s="312"/>
      <c r="Z2194" s="313"/>
      <c r="AA2194" s="272"/>
      <c r="AB2194" s="273"/>
      <c r="AC2194" s="167"/>
      <c r="AD2194" s="169"/>
      <c r="AE2194" s="179"/>
      <c r="AF2194" s="167"/>
      <c r="AG2194" s="168"/>
      <c r="AH2194" s="168"/>
      <c r="AI2194" s="271"/>
      <c r="AJ2194" s="271"/>
      <c r="AK2194" s="15"/>
      <c r="AL2194" s="15"/>
    </row>
    <row r="2195" spans="1:38" ht="75" x14ac:dyDescent="0.3">
      <c r="A2195" s="179"/>
      <c r="B2195" s="239"/>
      <c r="C2195" s="399"/>
      <c r="D2195" s="240"/>
      <c r="E2195" s="28" t="s">
        <v>6041</v>
      </c>
      <c r="F2195" s="272"/>
      <c r="G2195" s="282"/>
      <c r="H2195" s="273"/>
      <c r="I2195" s="380" t="s">
        <v>1081</v>
      </c>
      <c r="J2195" s="381"/>
      <c r="K2195" s="104" t="s">
        <v>2700</v>
      </c>
      <c r="L2195" s="105"/>
      <c r="M2195" s="173" t="s">
        <v>977</v>
      </c>
      <c r="N2195" s="276"/>
      <c r="O2195" s="174"/>
      <c r="P2195" s="114" t="s">
        <v>688</v>
      </c>
      <c r="Q2195" s="116"/>
      <c r="R2195" s="155">
        <v>8</v>
      </c>
      <c r="S2195" s="157"/>
      <c r="T2195" s="183">
        <v>3</v>
      </c>
      <c r="U2195" s="185"/>
      <c r="V2195" s="173" t="s">
        <v>6039</v>
      </c>
      <c r="W2195" s="174"/>
      <c r="X2195" s="311"/>
      <c r="Y2195" s="312"/>
      <c r="Z2195" s="313"/>
      <c r="AA2195" s="272"/>
      <c r="AB2195" s="273"/>
      <c r="AC2195" s="167"/>
      <c r="AD2195" s="169"/>
      <c r="AE2195" s="179"/>
      <c r="AF2195" s="167"/>
      <c r="AG2195" s="168"/>
      <c r="AH2195" s="168"/>
      <c r="AI2195" s="271"/>
      <c r="AJ2195" s="271"/>
      <c r="AK2195" s="15"/>
      <c r="AL2195" s="15"/>
    </row>
    <row r="2196" spans="1:38" ht="75" x14ac:dyDescent="0.3">
      <c r="A2196" s="179"/>
      <c r="B2196" s="239"/>
      <c r="C2196" s="399"/>
      <c r="D2196" s="240"/>
      <c r="E2196" s="28" t="s">
        <v>6042</v>
      </c>
      <c r="F2196" s="272"/>
      <c r="G2196" s="282"/>
      <c r="H2196" s="273"/>
      <c r="I2196" s="380" t="s">
        <v>1081</v>
      </c>
      <c r="J2196" s="381"/>
      <c r="K2196" s="104" t="s">
        <v>2700</v>
      </c>
      <c r="L2196" s="105"/>
      <c r="M2196" s="173" t="s">
        <v>977</v>
      </c>
      <c r="N2196" s="276"/>
      <c r="O2196" s="174"/>
      <c r="P2196" s="114" t="s">
        <v>688</v>
      </c>
      <c r="Q2196" s="116"/>
      <c r="R2196" s="155">
        <v>8</v>
      </c>
      <c r="S2196" s="157"/>
      <c r="T2196" s="183">
        <v>3</v>
      </c>
      <c r="U2196" s="185"/>
      <c r="V2196" s="173" t="s">
        <v>6039</v>
      </c>
      <c r="W2196" s="174"/>
      <c r="X2196" s="311"/>
      <c r="Y2196" s="312"/>
      <c r="Z2196" s="313"/>
      <c r="AA2196" s="272"/>
      <c r="AB2196" s="273"/>
      <c r="AC2196" s="167"/>
      <c r="AD2196" s="169"/>
      <c r="AE2196" s="179"/>
      <c r="AF2196" s="167"/>
      <c r="AG2196" s="168"/>
      <c r="AH2196" s="168"/>
      <c r="AI2196" s="271"/>
      <c r="AJ2196" s="271"/>
      <c r="AK2196" s="15"/>
      <c r="AL2196" s="15"/>
    </row>
    <row r="2197" spans="1:38" ht="75" x14ac:dyDescent="0.3">
      <c r="A2197" s="179"/>
      <c r="B2197" s="239"/>
      <c r="C2197" s="399"/>
      <c r="D2197" s="240"/>
      <c r="E2197" s="28" t="s">
        <v>6043</v>
      </c>
      <c r="F2197" s="272"/>
      <c r="G2197" s="282"/>
      <c r="H2197" s="273"/>
      <c r="I2197" s="380" t="s">
        <v>1081</v>
      </c>
      <c r="J2197" s="381"/>
      <c r="K2197" s="104" t="s">
        <v>2700</v>
      </c>
      <c r="L2197" s="105"/>
      <c r="M2197" s="173" t="s">
        <v>977</v>
      </c>
      <c r="N2197" s="276"/>
      <c r="O2197" s="174"/>
      <c r="P2197" s="114" t="s">
        <v>688</v>
      </c>
      <c r="Q2197" s="116"/>
      <c r="R2197" s="155">
        <v>8</v>
      </c>
      <c r="S2197" s="157"/>
      <c r="T2197" s="183">
        <v>3</v>
      </c>
      <c r="U2197" s="185"/>
      <c r="V2197" s="173" t="s">
        <v>6039</v>
      </c>
      <c r="W2197" s="174"/>
      <c r="X2197" s="311"/>
      <c r="Y2197" s="312"/>
      <c r="Z2197" s="313"/>
      <c r="AA2197" s="272"/>
      <c r="AB2197" s="273"/>
      <c r="AC2197" s="167"/>
      <c r="AD2197" s="169"/>
      <c r="AE2197" s="179"/>
      <c r="AF2197" s="167"/>
      <c r="AG2197" s="168"/>
      <c r="AH2197" s="168"/>
      <c r="AI2197" s="271"/>
      <c r="AJ2197" s="271"/>
      <c r="AK2197" s="15"/>
      <c r="AL2197" s="15"/>
    </row>
    <row r="2198" spans="1:38" ht="75" x14ac:dyDescent="0.3">
      <c r="A2198" s="230"/>
      <c r="B2198" s="225"/>
      <c r="C2198" s="391"/>
      <c r="D2198" s="226"/>
      <c r="E2198" s="28" t="s">
        <v>6044</v>
      </c>
      <c r="F2198" s="194"/>
      <c r="G2198" s="197"/>
      <c r="H2198" s="195"/>
      <c r="I2198" s="380" t="s">
        <v>1081</v>
      </c>
      <c r="J2198" s="381"/>
      <c r="K2198" s="146" t="s">
        <v>2700</v>
      </c>
      <c r="L2198" s="148"/>
      <c r="M2198" s="173" t="s">
        <v>977</v>
      </c>
      <c r="N2198" s="276"/>
      <c r="O2198" s="174"/>
      <c r="P2198" s="114" t="s">
        <v>688</v>
      </c>
      <c r="Q2198" s="116"/>
      <c r="R2198" s="160">
        <v>8</v>
      </c>
      <c r="S2198" s="161"/>
      <c r="T2198" s="183">
        <v>3</v>
      </c>
      <c r="U2198" s="185"/>
      <c r="V2198" s="173" t="s">
        <v>6039</v>
      </c>
      <c r="W2198" s="174"/>
      <c r="X2198" s="255"/>
      <c r="Y2198" s="256"/>
      <c r="Z2198" s="257"/>
      <c r="AA2198" s="194"/>
      <c r="AB2198" s="195"/>
      <c r="AC2198" s="214"/>
      <c r="AD2198" s="216"/>
      <c r="AE2198" s="230"/>
      <c r="AF2198" s="214"/>
      <c r="AG2198" s="215"/>
      <c r="AH2198" s="215"/>
      <c r="AI2198" s="271"/>
      <c r="AJ2198" s="271"/>
      <c r="AK2198" s="15"/>
      <c r="AL2198" s="15"/>
    </row>
    <row r="2199" spans="1:38" ht="105" x14ac:dyDescent="0.25">
      <c r="A2199" s="178"/>
      <c r="B2199" s="303" t="s">
        <v>6045</v>
      </c>
      <c r="C2199" s="344"/>
      <c r="D2199" s="304"/>
      <c r="E2199" s="28" t="s">
        <v>6046</v>
      </c>
      <c r="F2199" s="233" t="s">
        <v>6047</v>
      </c>
      <c r="G2199" s="305"/>
      <c r="H2199" s="234"/>
      <c r="I2199" s="380" t="s">
        <v>911</v>
      </c>
      <c r="J2199" s="381"/>
      <c r="K2199" s="143" t="s">
        <v>6048</v>
      </c>
      <c r="L2199" s="145"/>
      <c r="M2199" s="173" t="s">
        <v>6049</v>
      </c>
      <c r="N2199" s="276"/>
      <c r="O2199" s="174"/>
      <c r="P2199" s="183">
        <v>3</v>
      </c>
      <c r="Q2199" s="185"/>
      <c r="R2199" s="112">
        <v>7</v>
      </c>
      <c r="S2199" s="113"/>
      <c r="T2199" s="183">
        <v>4</v>
      </c>
      <c r="U2199" s="185"/>
      <c r="V2199" s="173" t="s">
        <v>1488</v>
      </c>
      <c r="W2199" s="174"/>
      <c r="X2199" s="252">
        <v>79</v>
      </c>
      <c r="Y2199" s="253"/>
      <c r="Z2199" s="254"/>
      <c r="AA2199" s="233" t="s">
        <v>879</v>
      </c>
      <c r="AB2199" s="234"/>
      <c r="AC2199" s="223" t="s">
        <v>675</v>
      </c>
      <c r="AD2199" s="224"/>
      <c r="AE2199" s="24" t="s">
        <v>6052</v>
      </c>
      <c r="AF2199" s="303" t="s">
        <v>2566</v>
      </c>
      <c r="AG2199" s="344"/>
      <c r="AH2199" s="344"/>
      <c r="AI2199" s="271"/>
      <c r="AJ2199" s="271"/>
      <c r="AK2199" s="15"/>
      <c r="AL2199" s="15"/>
    </row>
    <row r="2200" spans="1:38" ht="90" x14ac:dyDescent="0.25">
      <c r="A2200" s="179"/>
      <c r="B2200" s="292"/>
      <c r="C2200" s="314"/>
      <c r="D2200" s="293"/>
      <c r="E2200" s="28" t="s">
        <v>6054</v>
      </c>
      <c r="F2200" s="235"/>
      <c r="G2200" s="270"/>
      <c r="H2200" s="236"/>
      <c r="I2200" s="380" t="s">
        <v>911</v>
      </c>
      <c r="J2200" s="381"/>
      <c r="K2200" s="104" t="s">
        <v>6048</v>
      </c>
      <c r="L2200" s="105"/>
      <c r="M2200" s="173" t="s">
        <v>6049</v>
      </c>
      <c r="N2200" s="276"/>
      <c r="O2200" s="174"/>
      <c r="P2200" s="183">
        <v>3</v>
      </c>
      <c r="Q2200" s="185"/>
      <c r="R2200" s="155">
        <v>7</v>
      </c>
      <c r="S2200" s="157"/>
      <c r="T2200" s="183">
        <v>4</v>
      </c>
      <c r="U2200" s="185"/>
      <c r="V2200" s="173" t="s">
        <v>1488</v>
      </c>
      <c r="W2200" s="174"/>
      <c r="X2200" s="311"/>
      <c r="Y2200" s="312"/>
      <c r="Z2200" s="313"/>
      <c r="AA2200" s="235"/>
      <c r="AB2200" s="236"/>
      <c r="AC2200" s="239" t="s">
        <v>6050</v>
      </c>
      <c r="AD2200" s="240"/>
      <c r="AE2200" s="31" t="s">
        <v>1356</v>
      </c>
      <c r="AF2200" s="292" t="s">
        <v>3401</v>
      </c>
      <c r="AG2200" s="314"/>
      <c r="AH2200" s="314"/>
      <c r="AI2200" s="271"/>
      <c r="AJ2200" s="271"/>
      <c r="AK2200" s="15"/>
      <c r="AL2200" s="15"/>
    </row>
    <row r="2201" spans="1:38" ht="90" x14ac:dyDescent="0.25">
      <c r="A2201" s="179"/>
      <c r="B2201" s="292"/>
      <c r="C2201" s="314"/>
      <c r="D2201" s="293"/>
      <c r="E2201" s="28" t="s">
        <v>6055</v>
      </c>
      <c r="F2201" s="235"/>
      <c r="G2201" s="270"/>
      <c r="H2201" s="236"/>
      <c r="I2201" s="380" t="s">
        <v>911</v>
      </c>
      <c r="J2201" s="381"/>
      <c r="K2201" s="104" t="s">
        <v>6048</v>
      </c>
      <c r="L2201" s="105"/>
      <c r="M2201" s="173" t="s">
        <v>6049</v>
      </c>
      <c r="N2201" s="276"/>
      <c r="O2201" s="174"/>
      <c r="P2201" s="183">
        <v>3</v>
      </c>
      <c r="Q2201" s="185"/>
      <c r="R2201" s="155">
        <v>7</v>
      </c>
      <c r="S2201" s="157"/>
      <c r="T2201" s="183">
        <v>4</v>
      </c>
      <c r="U2201" s="185"/>
      <c r="V2201" s="173" t="s">
        <v>1488</v>
      </c>
      <c r="W2201" s="174"/>
      <c r="X2201" s="311"/>
      <c r="Y2201" s="312"/>
      <c r="Z2201" s="313"/>
      <c r="AA2201" s="235"/>
      <c r="AB2201" s="236"/>
      <c r="AC2201" s="239" t="s">
        <v>2211</v>
      </c>
      <c r="AD2201" s="240"/>
      <c r="AE2201" s="31" t="s">
        <v>6053</v>
      </c>
      <c r="AF2201" s="292"/>
      <c r="AG2201" s="314"/>
      <c r="AH2201" s="314"/>
      <c r="AI2201" s="271"/>
      <c r="AJ2201" s="271"/>
      <c r="AK2201" s="15"/>
      <c r="AL2201" s="15"/>
    </row>
    <row r="2202" spans="1:38" ht="90" x14ac:dyDescent="0.25">
      <c r="A2202" s="179"/>
      <c r="B2202" s="292"/>
      <c r="C2202" s="314"/>
      <c r="D2202" s="293"/>
      <c r="E2202" s="28" t="s">
        <v>6056</v>
      </c>
      <c r="F2202" s="235"/>
      <c r="G2202" s="270"/>
      <c r="H2202" s="236"/>
      <c r="I2202" s="380" t="s">
        <v>911</v>
      </c>
      <c r="J2202" s="381"/>
      <c r="K2202" s="104" t="s">
        <v>6048</v>
      </c>
      <c r="L2202" s="105"/>
      <c r="M2202" s="173" t="s">
        <v>6049</v>
      </c>
      <c r="N2202" s="276"/>
      <c r="O2202" s="174"/>
      <c r="P2202" s="183">
        <v>3</v>
      </c>
      <c r="Q2202" s="185"/>
      <c r="R2202" s="155">
        <v>7</v>
      </c>
      <c r="S2202" s="157"/>
      <c r="T2202" s="183">
        <v>4</v>
      </c>
      <c r="U2202" s="185"/>
      <c r="V2202" s="173" t="s">
        <v>1488</v>
      </c>
      <c r="W2202" s="174"/>
      <c r="X2202" s="255"/>
      <c r="Y2202" s="256"/>
      <c r="Z2202" s="257"/>
      <c r="AA2202" s="237"/>
      <c r="AB2202" s="238"/>
      <c r="AC2202" s="239" t="s">
        <v>6051</v>
      </c>
      <c r="AD2202" s="240"/>
      <c r="AE2202" s="31"/>
      <c r="AF2202" s="292"/>
      <c r="AG2202" s="314"/>
      <c r="AH2202" s="314"/>
      <c r="AI2202" s="271"/>
      <c r="AJ2202" s="271"/>
      <c r="AK2202" s="15"/>
      <c r="AL2202" s="15"/>
    </row>
    <row r="2203" spans="1:38" ht="90" x14ac:dyDescent="0.25">
      <c r="A2203" s="179"/>
      <c r="B2203" s="292"/>
      <c r="C2203" s="314"/>
      <c r="D2203" s="293"/>
      <c r="E2203" s="28" t="s">
        <v>6057</v>
      </c>
      <c r="F2203" s="235"/>
      <c r="G2203" s="270"/>
      <c r="H2203" s="236"/>
      <c r="I2203" s="380" t="s">
        <v>911</v>
      </c>
      <c r="J2203" s="381"/>
      <c r="K2203" s="104" t="s">
        <v>6048</v>
      </c>
      <c r="L2203" s="105"/>
      <c r="M2203" s="173" t="s">
        <v>5667</v>
      </c>
      <c r="N2203" s="276"/>
      <c r="O2203" s="174"/>
      <c r="P2203" s="183">
        <v>3</v>
      </c>
      <c r="Q2203" s="185"/>
      <c r="R2203" s="155">
        <v>7</v>
      </c>
      <c r="S2203" s="157"/>
      <c r="T2203" s="183">
        <v>4</v>
      </c>
      <c r="U2203" s="185"/>
      <c r="V2203" s="173" t="s">
        <v>1492</v>
      </c>
      <c r="W2203" s="174"/>
      <c r="X2203" s="252">
        <v>89</v>
      </c>
      <c r="Y2203" s="253"/>
      <c r="Z2203" s="254"/>
      <c r="AA2203" s="192" t="s">
        <v>688</v>
      </c>
      <c r="AB2203" s="193"/>
      <c r="AC2203" s="239"/>
      <c r="AD2203" s="240"/>
      <c r="AE2203" s="31"/>
      <c r="AF2203" s="292"/>
      <c r="AG2203" s="314"/>
      <c r="AH2203" s="314"/>
      <c r="AI2203" s="271"/>
      <c r="AJ2203" s="271"/>
      <c r="AK2203" s="15"/>
      <c r="AL2203" s="15"/>
    </row>
    <row r="2204" spans="1:38" ht="90" x14ac:dyDescent="0.25">
      <c r="A2204" s="230"/>
      <c r="B2204" s="290"/>
      <c r="C2204" s="345"/>
      <c r="D2204" s="291"/>
      <c r="E2204" s="28" t="s">
        <v>6058</v>
      </c>
      <c r="F2204" s="237"/>
      <c r="G2204" s="306"/>
      <c r="H2204" s="238"/>
      <c r="I2204" s="380" t="s">
        <v>911</v>
      </c>
      <c r="J2204" s="381"/>
      <c r="K2204" s="146" t="s">
        <v>6048</v>
      </c>
      <c r="L2204" s="148"/>
      <c r="M2204" s="173" t="s">
        <v>5667</v>
      </c>
      <c r="N2204" s="276"/>
      <c r="O2204" s="174"/>
      <c r="P2204" s="183">
        <v>3</v>
      </c>
      <c r="Q2204" s="185"/>
      <c r="R2204" s="160">
        <v>7</v>
      </c>
      <c r="S2204" s="161"/>
      <c r="T2204" s="183">
        <v>4</v>
      </c>
      <c r="U2204" s="185"/>
      <c r="V2204" s="173" t="s">
        <v>1492</v>
      </c>
      <c r="W2204" s="174"/>
      <c r="X2204" s="255"/>
      <c r="Y2204" s="256"/>
      <c r="Z2204" s="257"/>
      <c r="AA2204" s="194"/>
      <c r="AB2204" s="195"/>
      <c r="AC2204" s="225"/>
      <c r="AD2204" s="226"/>
      <c r="AE2204" s="31"/>
      <c r="AF2204" s="290"/>
      <c r="AG2204" s="345"/>
      <c r="AH2204" s="345"/>
      <c r="AI2204" s="271"/>
      <c r="AJ2204" s="271"/>
      <c r="AK2204" s="15"/>
      <c r="AL2204" s="15"/>
    </row>
    <row r="2205" spans="1:38" ht="75" x14ac:dyDescent="0.25">
      <c r="A2205" s="17"/>
      <c r="B2205" s="164"/>
      <c r="C2205" s="165"/>
      <c r="D2205" s="166"/>
      <c r="E2205" s="49" t="s">
        <v>6059</v>
      </c>
      <c r="F2205" s="366" t="s">
        <v>6060</v>
      </c>
      <c r="G2205" s="367"/>
      <c r="H2205" s="368"/>
      <c r="I2205" s="377">
        <v>7</v>
      </c>
      <c r="J2205" s="378"/>
      <c r="K2205" s="362" t="s">
        <v>6061</v>
      </c>
      <c r="L2205" s="363"/>
      <c r="M2205" s="360" t="s">
        <v>6062</v>
      </c>
      <c r="N2205" s="379"/>
      <c r="O2205" s="361"/>
      <c r="P2205" s="360" t="s">
        <v>3476</v>
      </c>
      <c r="Q2205" s="361"/>
      <c r="R2205" s="375" t="s">
        <v>3532</v>
      </c>
      <c r="S2205" s="376"/>
      <c r="T2205" s="358">
        <v>5</v>
      </c>
      <c r="U2205" s="359"/>
      <c r="V2205" s="360" t="s">
        <v>6063</v>
      </c>
      <c r="W2205" s="361"/>
      <c r="X2205" s="334">
        <v>199</v>
      </c>
      <c r="Y2205" s="335"/>
      <c r="Z2205" s="336"/>
      <c r="AA2205" s="362" t="s">
        <v>922</v>
      </c>
      <c r="AB2205" s="363"/>
      <c r="AC2205" s="164"/>
      <c r="AD2205" s="166"/>
      <c r="AE2205" s="55"/>
      <c r="AF2205" s="164"/>
      <c r="AG2205" s="165"/>
      <c r="AH2205" s="165"/>
      <c r="AI2205" s="271"/>
      <c r="AJ2205" s="271"/>
      <c r="AK2205" s="15"/>
      <c r="AL2205" s="15"/>
    </row>
    <row r="2206" spans="1:38" ht="75" x14ac:dyDescent="0.3">
      <c r="A2206" s="33"/>
      <c r="B2206" s="214"/>
      <c r="C2206" s="215"/>
      <c r="D2206" s="216"/>
      <c r="E2206" s="19" t="s">
        <v>6064</v>
      </c>
      <c r="F2206" s="346" t="s">
        <v>6065</v>
      </c>
      <c r="G2206" s="347"/>
      <c r="H2206" s="348"/>
      <c r="I2206" s="349">
        <v>11</v>
      </c>
      <c r="J2206" s="350"/>
      <c r="K2206" s="351" t="s">
        <v>6066</v>
      </c>
      <c r="L2206" s="352"/>
      <c r="M2206" s="332" t="s">
        <v>3652</v>
      </c>
      <c r="N2206" s="374"/>
      <c r="O2206" s="333"/>
      <c r="P2206" s="353" t="s">
        <v>3850</v>
      </c>
      <c r="Q2206" s="355"/>
      <c r="R2206" s="349">
        <v>25</v>
      </c>
      <c r="S2206" s="350"/>
      <c r="T2206" s="349">
        <v>5</v>
      </c>
      <c r="U2206" s="350"/>
      <c r="V2206" s="332" t="s">
        <v>6067</v>
      </c>
      <c r="W2206" s="333"/>
      <c r="X2206" s="334">
        <v>299</v>
      </c>
      <c r="Y2206" s="335"/>
      <c r="Z2206" s="336"/>
      <c r="AA2206" s="337" t="s">
        <v>922</v>
      </c>
      <c r="AB2206" s="338"/>
      <c r="AC2206" s="214"/>
      <c r="AD2206" s="216"/>
      <c r="AE2206" s="55"/>
      <c r="AF2206" s="214"/>
      <c r="AG2206" s="215"/>
      <c r="AH2206" s="216"/>
      <c r="AI2206" s="167"/>
      <c r="AJ2206" s="48"/>
      <c r="AK2206" s="15"/>
      <c r="AL2206" s="15"/>
    </row>
    <row r="2207" spans="1:38" ht="105" x14ac:dyDescent="0.35">
      <c r="A2207" s="178"/>
      <c r="B2207" s="119"/>
      <c r="C2207" s="139"/>
      <c r="D2207" s="120"/>
      <c r="E2207" s="28" t="s">
        <v>6068</v>
      </c>
      <c r="F2207" s="124" t="s">
        <v>6069</v>
      </c>
      <c r="G2207" s="182"/>
      <c r="H2207" s="125"/>
      <c r="I2207" s="183">
        <v>7</v>
      </c>
      <c r="J2207" s="185"/>
      <c r="K2207" s="110" t="s">
        <v>3438</v>
      </c>
      <c r="L2207" s="111"/>
      <c r="M2207" s="173" t="s">
        <v>6062</v>
      </c>
      <c r="N2207" s="276"/>
      <c r="O2207" s="174"/>
      <c r="P2207" s="173" t="s">
        <v>3476</v>
      </c>
      <c r="Q2207" s="174"/>
      <c r="R2207" s="114" t="s">
        <v>3532</v>
      </c>
      <c r="S2207" s="116"/>
      <c r="T2207" s="183">
        <v>5</v>
      </c>
      <c r="U2207" s="185"/>
      <c r="V2207" s="173" t="s">
        <v>6063</v>
      </c>
      <c r="W2207" s="174"/>
      <c r="X2207" s="227">
        <v>109</v>
      </c>
      <c r="Y2207" s="228"/>
      <c r="Z2207" s="229"/>
      <c r="AA2207" s="110" t="s">
        <v>717</v>
      </c>
      <c r="AB2207" s="111"/>
      <c r="AC2207" s="171" t="s">
        <v>3194</v>
      </c>
      <c r="AD2207" s="172"/>
      <c r="AE2207" s="57"/>
      <c r="AF2207" s="164"/>
      <c r="AG2207" s="165"/>
      <c r="AH2207" s="166"/>
      <c r="AI2207" s="167"/>
      <c r="AJ2207" s="48"/>
      <c r="AK2207" s="15"/>
      <c r="AL2207" s="15"/>
    </row>
    <row r="2208" spans="1:38" ht="135" x14ac:dyDescent="0.35">
      <c r="A2208" s="179"/>
      <c r="B2208" s="121"/>
      <c r="C2208" s="122"/>
      <c r="D2208" s="123"/>
      <c r="E2208" s="28" t="s">
        <v>6073</v>
      </c>
      <c r="F2208" s="119"/>
      <c r="G2208" s="139"/>
      <c r="H2208" s="120"/>
      <c r="I2208" s="183">
        <v>18</v>
      </c>
      <c r="J2208" s="185"/>
      <c r="K2208" s="143" t="s">
        <v>4648</v>
      </c>
      <c r="L2208" s="145"/>
      <c r="M2208" s="173" t="s">
        <v>3255</v>
      </c>
      <c r="N2208" s="276"/>
      <c r="O2208" s="174"/>
      <c r="P2208" s="208" t="s">
        <v>3850</v>
      </c>
      <c r="Q2208" s="209"/>
      <c r="R2208" s="204">
        <v>26</v>
      </c>
      <c r="S2208" s="205"/>
      <c r="T2208" s="183">
        <v>6</v>
      </c>
      <c r="U2208" s="185"/>
      <c r="V2208" s="173" t="s">
        <v>6074</v>
      </c>
      <c r="W2208" s="174"/>
      <c r="X2208" s="294">
        <v>209</v>
      </c>
      <c r="Y2208" s="295"/>
      <c r="Z2208" s="296"/>
      <c r="AA2208" s="233" t="s">
        <v>826</v>
      </c>
      <c r="AB2208" s="234"/>
      <c r="AC2208" s="162" t="s">
        <v>6070</v>
      </c>
      <c r="AD2208" s="163"/>
      <c r="AE2208" s="58"/>
      <c r="AF2208" s="167"/>
      <c r="AG2208" s="168"/>
      <c r="AH2208" s="169"/>
      <c r="AI2208" s="167"/>
      <c r="AJ2208" s="48"/>
      <c r="AK2208" s="15"/>
      <c r="AL2208" s="15"/>
    </row>
    <row r="2209" spans="1:38" ht="135" x14ac:dyDescent="0.35">
      <c r="A2209" s="179"/>
      <c r="B2209" s="121"/>
      <c r="C2209" s="122"/>
      <c r="D2209" s="123"/>
      <c r="E2209" s="28" t="s">
        <v>6075</v>
      </c>
      <c r="F2209" s="121"/>
      <c r="G2209" s="122"/>
      <c r="H2209" s="123"/>
      <c r="I2209" s="183">
        <v>18</v>
      </c>
      <c r="J2209" s="185"/>
      <c r="K2209" s="104" t="s">
        <v>4648</v>
      </c>
      <c r="L2209" s="105"/>
      <c r="M2209" s="173" t="s">
        <v>3255</v>
      </c>
      <c r="N2209" s="276"/>
      <c r="O2209" s="174"/>
      <c r="P2209" s="280" t="s">
        <v>3850</v>
      </c>
      <c r="Q2209" s="281"/>
      <c r="R2209" s="231">
        <v>26</v>
      </c>
      <c r="S2209" s="232"/>
      <c r="T2209" s="183">
        <v>6</v>
      </c>
      <c r="U2209" s="185"/>
      <c r="V2209" s="173" t="s">
        <v>6074</v>
      </c>
      <c r="W2209" s="174"/>
      <c r="X2209" s="297"/>
      <c r="Y2209" s="298"/>
      <c r="Z2209" s="299"/>
      <c r="AA2209" s="235"/>
      <c r="AB2209" s="236"/>
      <c r="AC2209" s="162" t="s">
        <v>6071</v>
      </c>
      <c r="AD2209" s="163"/>
      <c r="AE2209" s="58"/>
      <c r="AF2209" s="167"/>
      <c r="AG2209" s="168"/>
      <c r="AH2209" s="169"/>
      <c r="AI2209" s="167"/>
      <c r="AJ2209" s="48"/>
      <c r="AK2209" s="15"/>
      <c r="AL2209" s="15"/>
    </row>
    <row r="2210" spans="1:38" ht="135" x14ac:dyDescent="0.35">
      <c r="A2210" s="179"/>
      <c r="B2210" s="121"/>
      <c r="C2210" s="122"/>
      <c r="D2210" s="123"/>
      <c r="E2210" s="28" t="s">
        <v>6076</v>
      </c>
      <c r="F2210" s="121"/>
      <c r="G2210" s="122"/>
      <c r="H2210" s="123"/>
      <c r="I2210" s="183">
        <v>18</v>
      </c>
      <c r="J2210" s="185"/>
      <c r="K2210" s="104" t="s">
        <v>4648</v>
      </c>
      <c r="L2210" s="105"/>
      <c r="M2210" s="173" t="s">
        <v>3255</v>
      </c>
      <c r="N2210" s="276"/>
      <c r="O2210" s="174"/>
      <c r="P2210" s="280" t="s">
        <v>3850</v>
      </c>
      <c r="Q2210" s="281"/>
      <c r="R2210" s="231">
        <v>26</v>
      </c>
      <c r="S2210" s="232"/>
      <c r="T2210" s="183">
        <v>6</v>
      </c>
      <c r="U2210" s="185"/>
      <c r="V2210" s="173" t="s">
        <v>6074</v>
      </c>
      <c r="W2210" s="174"/>
      <c r="X2210" s="297"/>
      <c r="Y2210" s="298"/>
      <c r="Z2210" s="299"/>
      <c r="AA2210" s="235"/>
      <c r="AB2210" s="236"/>
      <c r="AC2210" s="162" t="s">
        <v>5699</v>
      </c>
      <c r="AD2210" s="163"/>
      <c r="AE2210" s="58"/>
      <c r="AF2210" s="167"/>
      <c r="AG2210" s="168"/>
      <c r="AH2210" s="169"/>
      <c r="AI2210" s="167"/>
      <c r="AJ2210" s="48"/>
      <c r="AK2210" s="15"/>
      <c r="AL2210" s="15"/>
    </row>
    <row r="2211" spans="1:38" ht="135" x14ac:dyDescent="0.35">
      <c r="A2211" s="179"/>
      <c r="B2211" s="121"/>
      <c r="C2211" s="122"/>
      <c r="D2211" s="123"/>
      <c r="E2211" s="28" t="s">
        <v>6077</v>
      </c>
      <c r="F2211" s="121"/>
      <c r="G2211" s="122"/>
      <c r="H2211" s="123"/>
      <c r="I2211" s="183">
        <v>18</v>
      </c>
      <c r="J2211" s="185"/>
      <c r="K2211" s="104" t="s">
        <v>4648</v>
      </c>
      <c r="L2211" s="105"/>
      <c r="M2211" s="173" t="s">
        <v>3255</v>
      </c>
      <c r="N2211" s="276"/>
      <c r="O2211" s="174"/>
      <c r="P2211" s="280" t="s">
        <v>3850</v>
      </c>
      <c r="Q2211" s="281"/>
      <c r="R2211" s="231">
        <v>26</v>
      </c>
      <c r="S2211" s="232"/>
      <c r="T2211" s="183">
        <v>6</v>
      </c>
      <c r="U2211" s="185"/>
      <c r="V2211" s="173" t="s">
        <v>6074</v>
      </c>
      <c r="W2211" s="174"/>
      <c r="X2211" s="297"/>
      <c r="Y2211" s="298"/>
      <c r="Z2211" s="299"/>
      <c r="AA2211" s="235"/>
      <c r="AB2211" s="236"/>
      <c r="AC2211" s="162" t="s">
        <v>6072</v>
      </c>
      <c r="AD2211" s="163"/>
      <c r="AE2211" s="58"/>
      <c r="AF2211" s="167"/>
      <c r="AG2211" s="168"/>
      <c r="AH2211" s="169"/>
      <c r="AI2211" s="167"/>
      <c r="AJ2211" s="48"/>
      <c r="AK2211" s="15"/>
      <c r="AL2211" s="15"/>
    </row>
    <row r="2212" spans="1:38" ht="135" x14ac:dyDescent="0.35">
      <c r="A2212" s="179"/>
      <c r="B2212" s="121"/>
      <c r="C2212" s="122"/>
      <c r="D2212" s="123"/>
      <c r="E2212" s="28" t="s">
        <v>6078</v>
      </c>
      <c r="F2212" s="121"/>
      <c r="G2212" s="122"/>
      <c r="H2212" s="123"/>
      <c r="I2212" s="183">
        <v>18</v>
      </c>
      <c r="J2212" s="185"/>
      <c r="K2212" s="104" t="s">
        <v>4648</v>
      </c>
      <c r="L2212" s="105"/>
      <c r="M2212" s="173" t="s">
        <v>3255</v>
      </c>
      <c r="N2212" s="276"/>
      <c r="O2212" s="174"/>
      <c r="P2212" s="280" t="s">
        <v>3850</v>
      </c>
      <c r="Q2212" s="281"/>
      <c r="R2212" s="231">
        <v>26</v>
      </c>
      <c r="S2212" s="232"/>
      <c r="T2212" s="183">
        <v>6</v>
      </c>
      <c r="U2212" s="185"/>
      <c r="V2212" s="173" t="s">
        <v>6074</v>
      </c>
      <c r="W2212" s="174"/>
      <c r="X2212" s="297"/>
      <c r="Y2212" s="298"/>
      <c r="Z2212" s="299"/>
      <c r="AA2212" s="235"/>
      <c r="AB2212" s="236"/>
      <c r="AC2212" s="162"/>
      <c r="AD2212" s="163"/>
      <c r="AE2212" s="58"/>
      <c r="AF2212" s="167"/>
      <c r="AG2212" s="168"/>
      <c r="AH2212" s="169"/>
      <c r="AI2212" s="167"/>
      <c r="AJ2212" s="48"/>
      <c r="AK2212" s="15"/>
      <c r="AL2212" s="15"/>
    </row>
    <row r="2213" spans="1:38" ht="135" x14ac:dyDescent="0.3">
      <c r="A2213" s="179"/>
      <c r="B2213" s="135"/>
      <c r="C2213" s="136"/>
      <c r="D2213" s="137"/>
      <c r="E2213" s="28" t="s">
        <v>6079</v>
      </c>
      <c r="F2213" s="272" t="s">
        <v>4647</v>
      </c>
      <c r="G2213" s="282"/>
      <c r="H2213" s="273"/>
      <c r="I2213" s="183">
        <v>18</v>
      </c>
      <c r="J2213" s="185"/>
      <c r="K2213" s="104" t="s">
        <v>4648</v>
      </c>
      <c r="L2213" s="105"/>
      <c r="M2213" s="173" t="s">
        <v>3255</v>
      </c>
      <c r="N2213" s="276"/>
      <c r="O2213" s="174"/>
      <c r="P2213" s="280" t="s">
        <v>3850</v>
      </c>
      <c r="Q2213" s="281"/>
      <c r="R2213" s="155">
        <v>26</v>
      </c>
      <c r="S2213" s="157"/>
      <c r="T2213" s="183">
        <v>6</v>
      </c>
      <c r="U2213" s="185"/>
      <c r="V2213" s="173" t="s">
        <v>6074</v>
      </c>
      <c r="W2213" s="174"/>
      <c r="X2213" s="297"/>
      <c r="Y2213" s="298"/>
      <c r="Z2213" s="299"/>
      <c r="AA2213" s="235"/>
      <c r="AB2213" s="236"/>
      <c r="AC2213" s="162"/>
      <c r="AD2213" s="163"/>
      <c r="AE2213" s="128"/>
      <c r="AF2213" s="167"/>
      <c r="AG2213" s="168"/>
      <c r="AH2213" s="169"/>
      <c r="AI2213" s="167"/>
      <c r="AJ2213" s="48"/>
      <c r="AK2213" s="15"/>
      <c r="AL2213" s="15"/>
    </row>
    <row r="2214" spans="1:38" ht="135" x14ac:dyDescent="0.3">
      <c r="A2214" s="179"/>
      <c r="B2214" s="135"/>
      <c r="C2214" s="136"/>
      <c r="D2214" s="137"/>
      <c r="E2214" s="28" t="s">
        <v>6080</v>
      </c>
      <c r="F2214" s="272"/>
      <c r="G2214" s="282"/>
      <c r="H2214" s="273"/>
      <c r="I2214" s="183">
        <v>18</v>
      </c>
      <c r="J2214" s="185"/>
      <c r="K2214" s="104" t="s">
        <v>4648</v>
      </c>
      <c r="L2214" s="105"/>
      <c r="M2214" s="173" t="s">
        <v>3255</v>
      </c>
      <c r="N2214" s="276"/>
      <c r="O2214" s="174"/>
      <c r="P2214" s="280" t="s">
        <v>3850</v>
      </c>
      <c r="Q2214" s="281"/>
      <c r="R2214" s="155">
        <v>26</v>
      </c>
      <c r="S2214" s="157"/>
      <c r="T2214" s="183">
        <v>6</v>
      </c>
      <c r="U2214" s="185"/>
      <c r="V2214" s="173" t="s">
        <v>6074</v>
      </c>
      <c r="W2214" s="174"/>
      <c r="X2214" s="297"/>
      <c r="Y2214" s="298"/>
      <c r="Z2214" s="299"/>
      <c r="AA2214" s="235"/>
      <c r="AB2214" s="236"/>
      <c r="AC2214" s="162"/>
      <c r="AD2214" s="163"/>
      <c r="AE2214" s="128"/>
      <c r="AF2214" s="167"/>
      <c r="AG2214" s="168"/>
      <c r="AH2214" s="169"/>
      <c r="AI2214" s="167"/>
      <c r="AJ2214" s="48"/>
      <c r="AK2214" s="15"/>
      <c r="AL2214" s="15"/>
    </row>
    <row r="2215" spans="1:38" ht="135" x14ac:dyDescent="0.35">
      <c r="A2215" s="179"/>
      <c r="B2215" s="121"/>
      <c r="C2215" s="122"/>
      <c r="D2215" s="123"/>
      <c r="E2215" s="28" t="s">
        <v>6081</v>
      </c>
      <c r="F2215" s="121"/>
      <c r="G2215" s="122"/>
      <c r="H2215" s="123"/>
      <c r="I2215" s="183">
        <v>18</v>
      </c>
      <c r="J2215" s="185"/>
      <c r="K2215" s="104" t="s">
        <v>4648</v>
      </c>
      <c r="L2215" s="105"/>
      <c r="M2215" s="173" t="s">
        <v>3255</v>
      </c>
      <c r="N2215" s="276"/>
      <c r="O2215" s="174"/>
      <c r="P2215" s="280" t="s">
        <v>3850</v>
      </c>
      <c r="Q2215" s="281"/>
      <c r="R2215" s="231">
        <v>26</v>
      </c>
      <c r="S2215" s="232"/>
      <c r="T2215" s="183">
        <v>6</v>
      </c>
      <c r="U2215" s="185"/>
      <c r="V2215" s="173" t="s">
        <v>6074</v>
      </c>
      <c r="W2215" s="174"/>
      <c r="X2215" s="300"/>
      <c r="Y2215" s="301"/>
      <c r="Z2215" s="302"/>
      <c r="AA2215" s="237"/>
      <c r="AB2215" s="238"/>
      <c r="AC2215" s="162"/>
      <c r="AD2215" s="163"/>
      <c r="AE2215" s="58"/>
      <c r="AF2215" s="167"/>
      <c r="AG2215" s="168"/>
      <c r="AH2215" s="169"/>
      <c r="AI2215" s="167"/>
      <c r="AJ2215" s="48"/>
      <c r="AK2215" s="15"/>
      <c r="AL2215" s="15"/>
    </row>
    <row r="2216" spans="1:38" ht="135" x14ac:dyDescent="0.35">
      <c r="A2216" s="179"/>
      <c r="B2216" s="121"/>
      <c r="C2216" s="122"/>
      <c r="D2216" s="123"/>
      <c r="E2216" s="28" t="s">
        <v>6082</v>
      </c>
      <c r="F2216" s="121"/>
      <c r="G2216" s="122"/>
      <c r="H2216" s="123"/>
      <c r="I2216" s="183">
        <v>18</v>
      </c>
      <c r="J2216" s="185"/>
      <c r="K2216" s="104" t="s">
        <v>4648</v>
      </c>
      <c r="L2216" s="105"/>
      <c r="M2216" s="173" t="s">
        <v>6083</v>
      </c>
      <c r="N2216" s="276"/>
      <c r="O2216" s="174"/>
      <c r="P2216" s="280" t="s">
        <v>3850</v>
      </c>
      <c r="Q2216" s="281"/>
      <c r="R2216" s="231">
        <v>26</v>
      </c>
      <c r="S2216" s="232"/>
      <c r="T2216" s="183">
        <v>6</v>
      </c>
      <c r="U2216" s="185"/>
      <c r="V2216" s="173" t="s">
        <v>6084</v>
      </c>
      <c r="W2216" s="174"/>
      <c r="X2216" s="252">
        <v>219</v>
      </c>
      <c r="Y2216" s="253"/>
      <c r="Z2216" s="254"/>
      <c r="AA2216" s="192" t="s">
        <v>826</v>
      </c>
      <c r="AB2216" s="193"/>
      <c r="AC2216" s="162"/>
      <c r="AD2216" s="163"/>
      <c r="AE2216" s="58"/>
      <c r="AF2216" s="167"/>
      <c r="AG2216" s="168"/>
      <c r="AH2216" s="169"/>
      <c r="AI2216" s="167"/>
      <c r="AJ2216" s="48"/>
      <c r="AK2216" s="15"/>
      <c r="AL2216" s="15"/>
    </row>
    <row r="2217" spans="1:38" ht="135" x14ac:dyDescent="0.35">
      <c r="A2217" s="179"/>
      <c r="B2217" s="121"/>
      <c r="C2217" s="122"/>
      <c r="D2217" s="123"/>
      <c r="E2217" s="28" t="s">
        <v>6085</v>
      </c>
      <c r="F2217" s="121"/>
      <c r="G2217" s="122"/>
      <c r="H2217" s="123"/>
      <c r="I2217" s="183">
        <v>18</v>
      </c>
      <c r="J2217" s="185"/>
      <c r="K2217" s="104" t="s">
        <v>4648</v>
      </c>
      <c r="L2217" s="105"/>
      <c r="M2217" s="173" t="s">
        <v>6083</v>
      </c>
      <c r="N2217" s="276"/>
      <c r="O2217" s="174"/>
      <c r="P2217" s="280" t="s">
        <v>3850</v>
      </c>
      <c r="Q2217" s="281"/>
      <c r="R2217" s="231">
        <v>26</v>
      </c>
      <c r="S2217" s="232"/>
      <c r="T2217" s="183">
        <v>6</v>
      </c>
      <c r="U2217" s="185"/>
      <c r="V2217" s="173" t="s">
        <v>6084</v>
      </c>
      <c r="W2217" s="174"/>
      <c r="X2217" s="311"/>
      <c r="Y2217" s="312"/>
      <c r="Z2217" s="313"/>
      <c r="AA2217" s="272"/>
      <c r="AB2217" s="273"/>
      <c r="AC2217" s="162"/>
      <c r="AD2217" s="163"/>
      <c r="AE2217" s="40" t="s">
        <v>4072</v>
      </c>
      <c r="AF2217" s="167"/>
      <c r="AG2217" s="168"/>
      <c r="AH2217" s="169"/>
      <c r="AI2217" s="167"/>
      <c r="AJ2217" s="48"/>
      <c r="AK2217" s="15"/>
      <c r="AL2217" s="15"/>
    </row>
    <row r="2218" spans="1:38" ht="135" x14ac:dyDescent="0.35">
      <c r="A2218" s="179"/>
      <c r="B2218" s="121"/>
      <c r="C2218" s="122"/>
      <c r="D2218" s="123"/>
      <c r="E2218" s="28" t="s">
        <v>6086</v>
      </c>
      <c r="F2218" s="121"/>
      <c r="G2218" s="122"/>
      <c r="H2218" s="123"/>
      <c r="I2218" s="183">
        <v>18</v>
      </c>
      <c r="J2218" s="185"/>
      <c r="K2218" s="104" t="s">
        <v>4648</v>
      </c>
      <c r="L2218" s="105"/>
      <c r="M2218" s="173" t="s">
        <v>6083</v>
      </c>
      <c r="N2218" s="276"/>
      <c r="O2218" s="174"/>
      <c r="P2218" s="280" t="s">
        <v>3850</v>
      </c>
      <c r="Q2218" s="281"/>
      <c r="R2218" s="231">
        <v>26</v>
      </c>
      <c r="S2218" s="232"/>
      <c r="T2218" s="183">
        <v>6</v>
      </c>
      <c r="U2218" s="185"/>
      <c r="V2218" s="173" t="s">
        <v>6084</v>
      </c>
      <c r="W2218" s="174"/>
      <c r="X2218" s="311"/>
      <c r="Y2218" s="312"/>
      <c r="Z2218" s="313"/>
      <c r="AA2218" s="272"/>
      <c r="AB2218" s="273"/>
      <c r="AC2218" s="162"/>
      <c r="AD2218" s="163"/>
      <c r="AE2218" s="40" t="s">
        <v>6087</v>
      </c>
      <c r="AF2218" s="167"/>
      <c r="AG2218" s="168"/>
      <c r="AH2218" s="169"/>
      <c r="AI2218" s="167"/>
      <c r="AJ2218" s="48"/>
      <c r="AK2218" s="15"/>
      <c r="AL2218" s="15"/>
    </row>
    <row r="2219" spans="1:38" ht="30" x14ac:dyDescent="0.3">
      <c r="A2219" s="179"/>
      <c r="B2219" s="155" t="s">
        <v>6088</v>
      </c>
      <c r="C2219" s="156"/>
      <c r="D2219" s="157"/>
      <c r="E2219" s="64" t="s">
        <v>6089</v>
      </c>
      <c r="F2219" s="135"/>
      <c r="G2219" s="136"/>
      <c r="H2219" s="137"/>
      <c r="I2219" s="204">
        <v>18</v>
      </c>
      <c r="J2219" s="205"/>
      <c r="K2219" s="104" t="s">
        <v>4648</v>
      </c>
      <c r="L2219" s="105"/>
      <c r="M2219" s="208" t="s">
        <v>6083</v>
      </c>
      <c r="N2219" s="283"/>
      <c r="O2219" s="209"/>
      <c r="P2219" s="280" t="s">
        <v>3850</v>
      </c>
      <c r="Q2219" s="281"/>
      <c r="R2219" s="231">
        <v>26</v>
      </c>
      <c r="S2219" s="232"/>
      <c r="T2219" s="204">
        <v>6</v>
      </c>
      <c r="U2219" s="205"/>
      <c r="V2219" s="208" t="s">
        <v>6084</v>
      </c>
      <c r="W2219" s="209"/>
      <c r="X2219" s="311"/>
      <c r="Y2219" s="312"/>
      <c r="Z2219" s="313"/>
      <c r="AA2219" s="272"/>
      <c r="AB2219" s="273"/>
      <c r="AC2219" s="162"/>
      <c r="AD2219" s="163"/>
      <c r="AE2219" s="46" t="s">
        <v>6090</v>
      </c>
      <c r="AF2219" s="167"/>
      <c r="AG2219" s="168"/>
      <c r="AH2219" s="169"/>
      <c r="AI2219" s="167"/>
      <c r="AJ2219" s="271"/>
      <c r="AK2219" s="15"/>
      <c r="AL2219" s="15"/>
    </row>
    <row r="2220" spans="1:38" ht="45" x14ac:dyDescent="0.3">
      <c r="A2220" s="179"/>
      <c r="B2220" s="155"/>
      <c r="C2220" s="156"/>
      <c r="D2220" s="157"/>
      <c r="E2220" s="65"/>
      <c r="F2220" s="151"/>
      <c r="G2220" s="159"/>
      <c r="H2220" s="152"/>
      <c r="I2220" s="206"/>
      <c r="J2220" s="207"/>
      <c r="K2220" s="146"/>
      <c r="L2220" s="148"/>
      <c r="M2220" s="210"/>
      <c r="N2220" s="284"/>
      <c r="O2220" s="211"/>
      <c r="P2220" s="210"/>
      <c r="Q2220" s="211"/>
      <c r="R2220" s="206"/>
      <c r="S2220" s="207"/>
      <c r="T2220" s="206"/>
      <c r="U2220" s="207"/>
      <c r="V2220" s="210"/>
      <c r="W2220" s="211"/>
      <c r="X2220" s="255"/>
      <c r="Y2220" s="256"/>
      <c r="Z2220" s="257"/>
      <c r="AA2220" s="194"/>
      <c r="AB2220" s="195"/>
      <c r="AC2220" s="162"/>
      <c r="AD2220" s="163"/>
      <c r="AE2220" s="46" t="s">
        <v>1356</v>
      </c>
      <c r="AF2220" s="167"/>
      <c r="AG2220" s="168"/>
      <c r="AH2220" s="169"/>
      <c r="AI2220" s="167"/>
      <c r="AJ2220" s="271"/>
      <c r="AK2220" s="15"/>
      <c r="AL2220" s="15"/>
    </row>
    <row r="2221" spans="1:38" ht="165" x14ac:dyDescent="0.35">
      <c r="A2221" s="179"/>
      <c r="B2221" s="121"/>
      <c r="C2221" s="122"/>
      <c r="D2221" s="123"/>
      <c r="E2221" s="28" t="s">
        <v>6091</v>
      </c>
      <c r="F2221" s="119"/>
      <c r="G2221" s="139"/>
      <c r="H2221" s="120"/>
      <c r="I2221" s="110" t="s">
        <v>1522</v>
      </c>
      <c r="J2221" s="111"/>
      <c r="K2221" s="88" t="s">
        <v>4671</v>
      </c>
      <c r="L2221" s="89"/>
      <c r="M2221" s="173" t="s">
        <v>6092</v>
      </c>
      <c r="N2221" s="276"/>
      <c r="O2221" s="174"/>
      <c r="P2221" s="173" t="s">
        <v>1087</v>
      </c>
      <c r="Q2221" s="174"/>
      <c r="R2221" s="204">
        <v>39</v>
      </c>
      <c r="S2221" s="205"/>
      <c r="T2221" s="183">
        <v>6</v>
      </c>
      <c r="U2221" s="185"/>
      <c r="V2221" s="173" t="s">
        <v>6093</v>
      </c>
      <c r="W2221" s="174"/>
      <c r="X2221" s="294">
        <v>289</v>
      </c>
      <c r="Y2221" s="295"/>
      <c r="Z2221" s="296"/>
      <c r="AA2221" s="233" t="s">
        <v>1452</v>
      </c>
      <c r="AB2221" s="234"/>
      <c r="AC2221" s="162"/>
      <c r="AD2221" s="163"/>
      <c r="AE2221" s="40" t="s">
        <v>6094</v>
      </c>
      <c r="AF2221" s="167"/>
      <c r="AG2221" s="168"/>
      <c r="AH2221" s="169"/>
      <c r="AI2221" s="167"/>
      <c r="AJ2221" s="48"/>
      <c r="AK2221" s="15"/>
      <c r="AL2221" s="15"/>
    </row>
    <row r="2222" spans="1:38" ht="165" x14ac:dyDescent="0.35">
      <c r="A2222" s="179"/>
      <c r="B2222" s="121"/>
      <c r="C2222" s="122"/>
      <c r="D2222" s="123"/>
      <c r="E2222" s="28" t="s">
        <v>6095</v>
      </c>
      <c r="F2222" s="121"/>
      <c r="G2222" s="122"/>
      <c r="H2222" s="123"/>
      <c r="I2222" s="110" t="s">
        <v>1522</v>
      </c>
      <c r="J2222" s="111"/>
      <c r="K2222" s="126" t="s">
        <v>4671</v>
      </c>
      <c r="L2222" s="127"/>
      <c r="M2222" s="173" t="s">
        <v>6092</v>
      </c>
      <c r="N2222" s="276"/>
      <c r="O2222" s="174"/>
      <c r="P2222" s="173" t="s">
        <v>1087</v>
      </c>
      <c r="Q2222" s="174"/>
      <c r="R2222" s="231">
        <v>39</v>
      </c>
      <c r="S2222" s="232"/>
      <c r="T2222" s="183">
        <v>6</v>
      </c>
      <c r="U2222" s="185"/>
      <c r="V2222" s="173" t="s">
        <v>6093</v>
      </c>
      <c r="W2222" s="174"/>
      <c r="X2222" s="297"/>
      <c r="Y2222" s="298"/>
      <c r="Z2222" s="299"/>
      <c r="AA2222" s="235"/>
      <c r="AB2222" s="236"/>
      <c r="AC2222" s="162"/>
      <c r="AD2222" s="163"/>
      <c r="AE2222" s="40" t="s">
        <v>6096</v>
      </c>
      <c r="AF2222" s="167"/>
      <c r="AG2222" s="168"/>
      <c r="AH2222" s="169"/>
      <c r="AI2222" s="167"/>
      <c r="AJ2222" s="48"/>
      <c r="AK2222" s="15"/>
      <c r="AL2222" s="15"/>
    </row>
    <row r="2223" spans="1:38" ht="165" x14ac:dyDescent="0.35">
      <c r="A2223" s="179"/>
      <c r="B2223" s="121"/>
      <c r="C2223" s="122"/>
      <c r="D2223" s="123"/>
      <c r="E2223" s="28" t="s">
        <v>6097</v>
      </c>
      <c r="F2223" s="121"/>
      <c r="G2223" s="122"/>
      <c r="H2223" s="123"/>
      <c r="I2223" s="110" t="s">
        <v>1522</v>
      </c>
      <c r="J2223" s="111"/>
      <c r="K2223" s="126" t="s">
        <v>4671</v>
      </c>
      <c r="L2223" s="127"/>
      <c r="M2223" s="173" t="s">
        <v>6092</v>
      </c>
      <c r="N2223" s="276"/>
      <c r="O2223" s="174"/>
      <c r="P2223" s="173" t="s">
        <v>1087</v>
      </c>
      <c r="Q2223" s="174"/>
      <c r="R2223" s="231">
        <v>39</v>
      </c>
      <c r="S2223" s="232"/>
      <c r="T2223" s="183">
        <v>6</v>
      </c>
      <c r="U2223" s="185"/>
      <c r="V2223" s="173" t="s">
        <v>6093</v>
      </c>
      <c r="W2223" s="174"/>
      <c r="X2223" s="297"/>
      <c r="Y2223" s="298"/>
      <c r="Z2223" s="299"/>
      <c r="AA2223" s="235"/>
      <c r="AB2223" s="236"/>
      <c r="AC2223" s="162"/>
      <c r="AD2223" s="163"/>
      <c r="AE2223" s="58"/>
      <c r="AF2223" s="167"/>
      <c r="AG2223" s="168"/>
      <c r="AH2223" s="169"/>
      <c r="AI2223" s="167"/>
      <c r="AJ2223" s="48"/>
      <c r="AK2223" s="15"/>
      <c r="AL2223" s="15"/>
    </row>
    <row r="2224" spans="1:38" ht="165" x14ac:dyDescent="0.35">
      <c r="A2224" s="179"/>
      <c r="B2224" s="121"/>
      <c r="C2224" s="122"/>
      <c r="D2224" s="123"/>
      <c r="E2224" s="28" t="s">
        <v>6098</v>
      </c>
      <c r="F2224" s="121"/>
      <c r="G2224" s="122"/>
      <c r="H2224" s="123"/>
      <c r="I2224" s="110" t="s">
        <v>1522</v>
      </c>
      <c r="J2224" s="111"/>
      <c r="K2224" s="126" t="s">
        <v>4671</v>
      </c>
      <c r="L2224" s="127"/>
      <c r="M2224" s="173" t="s">
        <v>6092</v>
      </c>
      <c r="N2224" s="276"/>
      <c r="O2224" s="174"/>
      <c r="P2224" s="173" t="s">
        <v>1087</v>
      </c>
      <c r="Q2224" s="174"/>
      <c r="R2224" s="231">
        <v>39</v>
      </c>
      <c r="S2224" s="232"/>
      <c r="T2224" s="183">
        <v>6</v>
      </c>
      <c r="U2224" s="185"/>
      <c r="V2224" s="173" t="s">
        <v>6093</v>
      </c>
      <c r="W2224" s="174"/>
      <c r="X2224" s="297"/>
      <c r="Y2224" s="298"/>
      <c r="Z2224" s="299"/>
      <c r="AA2224" s="235"/>
      <c r="AB2224" s="236"/>
      <c r="AC2224" s="162"/>
      <c r="AD2224" s="163"/>
      <c r="AE2224" s="58"/>
      <c r="AF2224" s="167"/>
      <c r="AG2224" s="168"/>
      <c r="AH2224" s="169"/>
      <c r="AI2224" s="167"/>
      <c r="AJ2224" s="48"/>
      <c r="AK2224" s="15"/>
      <c r="AL2224" s="15"/>
    </row>
    <row r="2225" spans="1:38" ht="165" x14ac:dyDescent="0.35">
      <c r="A2225" s="179"/>
      <c r="B2225" s="121"/>
      <c r="C2225" s="122"/>
      <c r="D2225" s="123"/>
      <c r="E2225" s="28" t="s">
        <v>6099</v>
      </c>
      <c r="F2225" s="121"/>
      <c r="G2225" s="122"/>
      <c r="H2225" s="123"/>
      <c r="I2225" s="110" t="s">
        <v>1522</v>
      </c>
      <c r="J2225" s="111"/>
      <c r="K2225" s="126" t="s">
        <v>4671</v>
      </c>
      <c r="L2225" s="127"/>
      <c r="M2225" s="173" t="s">
        <v>6092</v>
      </c>
      <c r="N2225" s="276"/>
      <c r="O2225" s="174"/>
      <c r="P2225" s="173" t="s">
        <v>1087</v>
      </c>
      <c r="Q2225" s="174"/>
      <c r="R2225" s="231">
        <v>39</v>
      </c>
      <c r="S2225" s="232"/>
      <c r="T2225" s="183">
        <v>6</v>
      </c>
      <c r="U2225" s="185"/>
      <c r="V2225" s="173" t="s">
        <v>6093</v>
      </c>
      <c r="W2225" s="174"/>
      <c r="X2225" s="297"/>
      <c r="Y2225" s="298"/>
      <c r="Z2225" s="299"/>
      <c r="AA2225" s="235"/>
      <c r="AB2225" s="236"/>
      <c r="AC2225" s="162"/>
      <c r="AD2225" s="163"/>
      <c r="AE2225" s="58"/>
      <c r="AF2225" s="167"/>
      <c r="AG2225" s="168"/>
      <c r="AH2225" s="169"/>
      <c r="AI2225" s="167"/>
      <c r="AJ2225" s="48"/>
      <c r="AK2225" s="15"/>
      <c r="AL2225" s="15"/>
    </row>
    <row r="2226" spans="1:38" ht="165" x14ac:dyDescent="0.3">
      <c r="A2226" s="179"/>
      <c r="B2226" s="135"/>
      <c r="C2226" s="136"/>
      <c r="D2226" s="137"/>
      <c r="E2226" s="28" t="s">
        <v>6100</v>
      </c>
      <c r="F2226" s="272" t="s">
        <v>4670</v>
      </c>
      <c r="G2226" s="282"/>
      <c r="H2226" s="273"/>
      <c r="I2226" s="110" t="s">
        <v>1522</v>
      </c>
      <c r="J2226" s="111"/>
      <c r="K2226" s="126" t="s">
        <v>4671</v>
      </c>
      <c r="L2226" s="127"/>
      <c r="M2226" s="173" t="s">
        <v>6092</v>
      </c>
      <c r="N2226" s="276"/>
      <c r="O2226" s="174"/>
      <c r="P2226" s="173" t="s">
        <v>1087</v>
      </c>
      <c r="Q2226" s="174"/>
      <c r="R2226" s="155">
        <v>39</v>
      </c>
      <c r="S2226" s="157"/>
      <c r="T2226" s="183">
        <v>6</v>
      </c>
      <c r="U2226" s="185"/>
      <c r="V2226" s="173" t="s">
        <v>6093</v>
      </c>
      <c r="W2226" s="174"/>
      <c r="X2226" s="297"/>
      <c r="Y2226" s="298"/>
      <c r="Z2226" s="299"/>
      <c r="AA2226" s="235"/>
      <c r="AB2226" s="236"/>
      <c r="AC2226" s="162"/>
      <c r="AD2226" s="163"/>
      <c r="AE2226" s="128"/>
      <c r="AF2226" s="167"/>
      <c r="AG2226" s="168"/>
      <c r="AH2226" s="169"/>
      <c r="AI2226" s="167"/>
      <c r="AJ2226" s="48"/>
      <c r="AK2226" s="15"/>
      <c r="AL2226" s="15"/>
    </row>
    <row r="2227" spans="1:38" ht="165" x14ac:dyDescent="0.3">
      <c r="A2227" s="179"/>
      <c r="B2227" s="135"/>
      <c r="C2227" s="136"/>
      <c r="D2227" s="137"/>
      <c r="E2227" s="28" t="s">
        <v>6101</v>
      </c>
      <c r="F2227" s="272"/>
      <c r="G2227" s="282"/>
      <c r="H2227" s="273"/>
      <c r="I2227" s="110" t="s">
        <v>1522</v>
      </c>
      <c r="J2227" s="111"/>
      <c r="K2227" s="126" t="s">
        <v>4671</v>
      </c>
      <c r="L2227" s="127"/>
      <c r="M2227" s="173" t="s">
        <v>6092</v>
      </c>
      <c r="N2227" s="276"/>
      <c r="O2227" s="174"/>
      <c r="P2227" s="173" t="s">
        <v>1087</v>
      </c>
      <c r="Q2227" s="174"/>
      <c r="R2227" s="155">
        <v>39</v>
      </c>
      <c r="S2227" s="157"/>
      <c r="T2227" s="183">
        <v>6</v>
      </c>
      <c r="U2227" s="185"/>
      <c r="V2227" s="173" t="s">
        <v>6093</v>
      </c>
      <c r="W2227" s="174"/>
      <c r="X2227" s="297"/>
      <c r="Y2227" s="298"/>
      <c r="Z2227" s="299"/>
      <c r="AA2227" s="235"/>
      <c r="AB2227" s="236"/>
      <c r="AC2227" s="162"/>
      <c r="AD2227" s="163"/>
      <c r="AE2227" s="128"/>
      <c r="AF2227" s="167"/>
      <c r="AG2227" s="168"/>
      <c r="AH2227" s="169"/>
      <c r="AI2227" s="167"/>
      <c r="AJ2227" s="48"/>
      <c r="AK2227" s="15"/>
      <c r="AL2227" s="15"/>
    </row>
    <row r="2228" spans="1:38" ht="165" x14ac:dyDescent="0.35">
      <c r="A2228" s="179"/>
      <c r="B2228" s="121"/>
      <c r="C2228" s="122"/>
      <c r="D2228" s="123"/>
      <c r="E2228" s="28" t="s">
        <v>6102</v>
      </c>
      <c r="F2228" s="121"/>
      <c r="G2228" s="122"/>
      <c r="H2228" s="123"/>
      <c r="I2228" s="110" t="s">
        <v>1522</v>
      </c>
      <c r="J2228" s="111"/>
      <c r="K2228" s="126" t="s">
        <v>4671</v>
      </c>
      <c r="L2228" s="127"/>
      <c r="M2228" s="173" t="s">
        <v>6092</v>
      </c>
      <c r="N2228" s="276"/>
      <c r="O2228" s="174"/>
      <c r="P2228" s="173" t="s">
        <v>1087</v>
      </c>
      <c r="Q2228" s="174"/>
      <c r="R2228" s="231">
        <v>39</v>
      </c>
      <c r="S2228" s="232"/>
      <c r="T2228" s="183">
        <v>6</v>
      </c>
      <c r="U2228" s="185"/>
      <c r="V2228" s="173" t="s">
        <v>6093</v>
      </c>
      <c r="W2228" s="174"/>
      <c r="X2228" s="300"/>
      <c r="Y2228" s="301"/>
      <c r="Z2228" s="302"/>
      <c r="AA2228" s="237"/>
      <c r="AB2228" s="238"/>
      <c r="AC2228" s="162"/>
      <c r="AD2228" s="163"/>
      <c r="AE2228" s="58"/>
      <c r="AF2228" s="167"/>
      <c r="AG2228" s="168"/>
      <c r="AH2228" s="169"/>
      <c r="AI2228" s="167"/>
      <c r="AJ2228" s="48"/>
      <c r="AK2228" s="15"/>
      <c r="AL2228" s="15"/>
    </row>
    <row r="2229" spans="1:38" ht="165" x14ac:dyDescent="0.35">
      <c r="A2229" s="179"/>
      <c r="B2229" s="121"/>
      <c r="C2229" s="122"/>
      <c r="D2229" s="123"/>
      <c r="E2229" s="28" t="s">
        <v>6103</v>
      </c>
      <c r="F2229" s="121"/>
      <c r="G2229" s="122"/>
      <c r="H2229" s="123"/>
      <c r="I2229" s="110" t="s">
        <v>1522</v>
      </c>
      <c r="J2229" s="111"/>
      <c r="K2229" s="126" t="s">
        <v>4671</v>
      </c>
      <c r="L2229" s="127"/>
      <c r="M2229" s="173" t="s">
        <v>1101</v>
      </c>
      <c r="N2229" s="276"/>
      <c r="O2229" s="174"/>
      <c r="P2229" s="173" t="s">
        <v>1087</v>
      </c>
      <c r="Q2229" s="174"/>
      <c r="R2229" s="231">
        <v>39</v>
      </c>
      <c r="S2229" s="232"/>
      <c r="T2229" s="183">
        <v>6</v>
      </c>
      <c r="U2229" s="185"/>
      <c r="V2229" s="173" t="s">
        <v>6104</v>
      </c>
      <c r="W2229" s="174"/>
      <c r="X2229" s="252">
        <v>299</v>
      </c>
      <c r="Y2229" s="253"/>
      <c r="Z2229" s="254"/>
      <c r="AA2229" s="233" t="s">
        <v>758</v>
      </c>
      <c r="AB2229" s="234"/>
      <c r="AC2229" s="162"/>
      <c r="AD2229" s="163"/>
      <c r="AE2229" s="58"/>
      <c r="AF2229" s="167"/>
      <c r="AG2229" s="168"/>
      <c r="AH2229" s="169"/>
      <c r="AI2229" s="167"/>
      <c r="AJ2229" s="48"/>
      <c r="AK2229" s="15"/>
      <c r="AL2229" s="15"/>
    </row>
    <row r="2230" spans="1:38" ht="165" x14ac:dyDescent="0.35">
      <c r="A2230" s="179"/>
      <c r="B2230" s="121"/>
      <c r="C2230" s="122"/>
      <c r="D2230" s="123"/>
      <c r="E2230" s="28" t="s">
        <v>6105</v>
      </c>
      <c r="F2230" s="121"/>
      <c r="G2230" s="122"/>
      <c r="H2230" s="123"/>
      <c r="I2230" s="110" t="s">
        <v>1522</v>
      </c>
      <c r="J2230" s="111"/>
      <c r="K2230" s="126" t="s">
        <v>4671</v>
      </c>
      <c r="L2230" s="127"/>
      <c r="M2230" s="173" t="s">
        <v>1101</v>
      </c>
      <c r="N2230" s="276"/>
      <c r="O2230" s="174"/>
      <c r="P2230" s="173" t="s">
        <v>1087</v>
      </c>
      <c r="Q2230" s="174"/>
      <c r="R2230" s="231">
        <v>39</v>
      </c>
      <c r="S2230" s="232"/>
      <c r="T2230" s="183">
        <v>6</v>
      </c>
      <c r="U2230" s="185"/>
      <c r="V2230" s="173" t="s">
        <v>6104</v>
      </c>
      <c r="W2230" s="174"/>
      <c r="X2230" s="311"/>
      <c r="Y2230" s="312"/>
      <c r="Z2230" s="313"/>
      <c r="AA2230" s="235"/>
      <c r="AB2230" s="236"/>
      <c r="AC2230" s="162"/>
      <c r="AD2230" s="163"/>
      <c r="AE2230" s="58"/>
      <c r="AF2230" s="167"/>
      <c r="AG2230" s="168"/>
      <c r="AH2230" s="169"/>
      <c r="AI2230" s="167"/>
      <c r="AJ2230" s="48"/>
      <c r="AK2230" s="15"/>
      <c r="AL2230" s="15"/>
    </row>
    <row r="2231" spans="1:38" ht="165" x14ac:dyDescent="0.35">
      <c r="A2231" s="179"/>
      <c r="B2231" s="121"/>
      <c r="C2231" s="122"/>
      <c r="D2231" s="123"/>
      <c r="E2231" s="28" t="s">
        <v>6106</v>
      </c>
      <c r="F2231" s="121"/>
      <c r="G2231" s="122"/>
      <c r="H2231" s="123"/>
      <c r="I2231" s="110" t="s">
        <v>1522</v>
      </c>
      <c r="J2231" s="111"/>
      <c r="K2231" s="126" t="s">
        <v>4671</v>
      </c>
      <c r="L2231" s="127"/>
      <c r="M2231" s="173" t="s">
        <v>1101</v>
      </c>
      <c r="N2231" s="276"/>
      <c r="O2231" s="174"/>
      <c r="P2231" s="173" t="s">
        <v>1087</v>
      </c>
      <c r="Q2231" s="174"/>
      <c r="R2231" s="231">
        <v>39</v>
      </c>
      <c r="S2231" s="232"/>
      <c r="T2231" s="183">
        <v>6</v>
      </c>
      <c r="U2231" s="185"/>
      <c r="V2231" s="173" t="s">
        <v>6104</v>
      </c>
      <c r="W2231" s="174"/>
      <c r="X2231" s="311"/>
      <c r="Y2231" s="312"/>
      <c r="Z2231" s="313"/>
      <c r="AA2231" s="235"/>
      <c r="AB2231" s="236"/>
      <c r="AC2231" s="162"/>
      <c r="AD2231" s="163"/>
      <c r="AE2231" s="58"/>
      <c r="AF2231" s="167"/>
      <c r="AG2231" s="168"/>
      <c r="AH2231" s="169"/>
      <c r="AI2231" s="167"/>
      <c r="AJ2231" s="48"/>
      <c r="AK2231" s="15"/>
      <c r="AL2231" s="15"/>
    </row>
    <row r="2232" spans="1:38" ht="165" x14ac:dyDescent="0.35">
      <c r="A2232" s="230"/>
      <c r="B2232" s="93"/>
      <c r="C2232" s="106"/>
      <c r="D2232" s="94"/>
      <c r="E2232" s="28" t="s">
        <v>6107</v>
      </c>
      <c r="F2232" s="93"/>
      <c r="G2232" s="106"/>
      <c r="H2232" s="94"/>
      <c r="I2232" s="110" t="s">
        <v>1522</v>
      </c>
      <c r="J2232" s="111"/>
      <c r="K2232" s="117" t="s">
        <v>4671</v>
      </c>
      <c r="L2232" s="118"/>
      <c r="M2232" s="173" t="s">
        <v>1101</v>
      </c>
      <c r="N2232" s="276"/>
      <c r="O2232" s="174"/>
      <c r="P2232" s="173" t="s">
        <v>1087</v>
      </c>
      <c r="Q2232" s="174"/>
      <c r="R2232" s="206">
        <v>39</v>
      </c>
      <c r="S2232" s="207"/>
      <c r="T2232" s="183">
        <v>6</v>
      </c>
      <c r="U2232" s="185"/>
      <c r="V2232" s="173" t="s">
        <v>6104</v>
      </c>
      <c r="W2232" s="174"/>
      <c r="X2232" s="255"/>
      <c r="Y2232" s="256"/>
      <c r="Z2232" s="257"/>
      <c r="AA2232" s="237"/>
      <c r="AB2232" s="238"/>
      <c r="AC2232" s="212"/>
      <c r="AD2232" s="213"/>
      <c r="AE2232" s="52"/>
      <c r="AF2232" s="214"/>
      <c r="AG2232" s="215"/>
      <c r="AH2232" s="216"/>
      <c r="AI2232" s="167"/>
      <c r="AJ2232" s="48"/>
      <c r="AK2232" s="15"/>
      <c r="AL2232" s="15"/>
    </row>
    <row r="2233" spans="1:38" ht="76" x14ac:dyDescent="0.35">
      <c r="A2233" s="178"/>
      <c r="B2233" s="119"/>
      <c r="C2233" s="139"/>
      <c r="D2233" s="120"/>
      <c r="E2233" s="28" t="s">
        <v>6108</v>
      </c>
      <c r="F2233" s="119"/>
      <c r="G2233" s="139"/>
      <c r="H2233" s="120"/>
      <c r="I2233" s="110" t="s">
        <v>722</v>
      </c>
      <c r="J2233" s="111"/>
      <c r="K2233" s="143" t="s">
        <v>4327</v>
      </c>
      <c r="L2233" s="145"/>
      <c r="M2233" s="114" t="s">
        <v>903</v>
      </c>
      <c r="N2233" s="115"/>
      <c r="O2233" s="116"/>
      <c r="P2233" s="183">
        <v>2</v>
      </c>
      <c r="Q2233" s="185"/>
      <c r="R2233" s="204">
        <v>5</v>
      </c>
      <c r="S2233" s="205"/>
      <c r="T2233" s="183">
        <v>3</v>
      </c>
      <c r="U2233" s="185"/>
      <c r="V2233" s="173" t="s">
        <v>2373</v>
      </c>
      <c r="W2233" s="174"/>
      <c r="X2233" s="294">
        <v>34</v>
      </c>
      <c r="Y2233" s="295"/>
      <c r="Z2233" s="296"/>
      <c r="AA2233" s="233" t="s">
        <v>6109</v>
      </c>
      <c r="AB2233" s="234"/>
      <c r="AC2233" s="303" t="s">
        <v>3194</v>
      </c>
      <c r="AD2233" s="304"/>
      <c r="AE2233" s="35" t="s">
        <v>6113</v>
      </c>
      <c r="AF2233" s="164"/>
      <c r="AG2233" s="165"/>
      <c r="AH2233" s="166"/>
      <c r="AI2233" s="167"/>
      <c r="AJ2233" s="48"/>
      <c r="AK2233" s="15"/>
      <c r="AL2233" s="15"/>
    </row>
    <row r="2234" spans="1:38" ht="75" x14ac:dyDescent="0.35">
      <c r="A2234" s="179"/>
      <c r="B2234" s="121"/>
      <c r="C2234" s="122"/>
      <c r="D2234" s="123"/>
      <c r="E2234" s="28" t="s">
        <v>6115</v>
      </c>
      <c r="F2234" s="121"/>
      <c r="G2234" s="122"/>
      <c r="H2234" s="123"/>
      <c r="I2234" s="110" t="s">
        <v>722</v>
      </c>
      <c r="J2234" s="111"/>
      <c r="K2234" s="104" t="s">
        <v>4327</v>
      </c>
      <c r="L2234" s="105"/>
      <c r="M2234" s="114" t="s">
        <v>903</v>
      </c>
      <c r="N2234" s="115"/>
      <c r="O2234" s="116"/>
      <c r="P2234" s="183">
        <v>2</v>
      </c>
      <c r="Q2234" s="185"/>
      <c r="R2234" s="231">
        <v>5</v>
      </c>
      <c r="S2234" s="232"/>
      <c r="T2234" s="183">
        <v>3</v>
      </c>
      <c r="U2234" s="185"/>
      <c r="V2234" s="173" t="s">
        <v>2373</v>
      </c>
      <c r="W2234" s="174"/>
      <c r="X2234" s="297"/>
      <c r="Y2234" s="298"/>
      <c r="Z2234" s="299"/>
      <c r="AA2234" s="235"/>
      <c r="AB2234" s="236"/>
      <c r="AC2234" s="292" t="s">
        <v>6110</v>
      </c>
      <c r="AD2234" s="293"/>
      <c r="AE2234" s="36" t="s">
        <v>1356</v>
      </c>
      <c r="AF2234" s="167"/>
      <c r="AG2234" s="168"/>
      <c r="AH2234" s="169"/>
      <c r="AI2234" s="167"/>
      <c r="AJ2234" s="48"/>
      <c r="AK2234" s="15"/>
      <c r="AL2234" s="15"/>
    </row>
    <row r="2235" spans="1:38" ht="75" x14ac:dyDescent="0.35">
      <c r="A2235" s="179"/>
      <c r="B2235" s="121"/>
      <c r="C2235" s="122"/>
      <c r="D2235" s="123"/>
      <c r="E2235" s="28" t="s">
        <v>6116</v>
      </c>
      <c r="F2235" s="121"/>
      <c r="G2235" s="122"/>
      <c r="H2235" s="123"/>
      <c r="I2235" s="110" t="s">
        <v>722</v>
      </c>
      <c r="J2235" s="111"/>
      <c r="K2235" s="104" t="s">
        <v>4327</v>
      </c>
      <c r="L2235" s="105"/>
      <c r="M2235" s="114" t="s">
        <v>903</v>
      </c>
      <c r="N2235" s="115"/>
      <c r="O2235" s="116"/>
      <c r="P2235" s="183">
        <v>2</v>
      </c>
      <c r="Q2235" s="185"/>
      <c r="R2235" s="231">
        <v>5</v>
      </c>
      <c r="S2235" s="232"/>
      <c r="T2235" s="183">
        <v>3</v>
      </c>
      <c r="U2235" s="185"/>
      <c r="V2235" s="173" t="s">
        <v>2373</v>
      </c>
      <c r="W2235" s="174"/>
      <c r="X2235" s="297"/>
      <c r="Y2235" s="298"/>
      <c r="Z2235" s="299"/>
      <c r="AA2235" s="235"/>
      <c r="AB2235" s="236"/>
      <c r="AC2235" s="292" t="s">
        <v>1939</v>
      </c>
      <c r="AD2235" s="293"/>
      <c r="AE2235" s="36" t="s">
        <v>6114</v>
      </c>
      <c r="AF2235" s="167"/>
      <c r="AG2235" s="168"/>
      <c r="AH2235" s="169"/>
      <c r="AI2235" s="167"/>
      <c r="AJ2235" s="48"/>
      <c r="AK2235" s="15"/>
      <c r="AL2235" s="15"/>
    </row>
    <row r="2236" spans="1:38" ht="75" x14ac:dyDescent="0.35">
      <c r="A2236" s="179"/>
      <c r="B2236" s="121"/>
      <c r="C2236" s="122"/>
      <c r="D2236" s="123"/>
      <c r="E2236" s="28" t="s">
        <v>6117</v>
      </c>
      <c r="F2236" s="121"/>
      <c r="G2236" s="122"/>
      <c r="H2236" s="123"/>
      <c r="I2236" s="110" t="s">
        <v>722</v>
      </c>
      <c r="J2236" s="111"/>
      <c r="K2236" s="104" t="s">
        <v>4327</v>
      </c>
      <c r="L2236" s="105"/>
      <c r="M2236" s="114" t="s">
        <v>903</v>
      </c>
      <c r="N2236" s="115"/>
      <c r="O2236" s="116"/>
      <c r="P2236" s="183">
        <v>2</v>
      </c>
      <c r="Q2236" s="185"/>
      <c r="R2236" s="231">
        <v>5</v>
      </c>
      <c r="S2236" s="232"/>
      <c r="T2236" s="183">
        <v>3</v>
      </c>
      <c r="U2236" s="185"/>
      <c r="V2236" s="173" t="s">
        <v>2373</v>
      </c>
      <c r="W2236" s="174"/>
      <c r="X2236" s="297"/>
      <c r="Y2236" s="298"/>
      <c r="Z2236" s="299"/>
      <c r="AA2236" s="235"/>
      <c r="AB2236" s="236"/>
      <c r="AC2236" s="292" t="s">
        <v>6111</v>
      </c>
      <c r="AD2236" s="293"/>
      <c r="AE2236" s="36"/>
      <c r="AF2236" s="167"/>
      <c r="AG2236" s="168"/>
      <c r="AH2236" s="169"/>
      <c r="AI2236" s="167"/>
      <c r="AJ2236" s="48"/>
      <c r="AK2236" s="15"/>
      <c r="AL2236" s="15"/>
    </row>
    <row r="2237" spans="1:38" ht="75" x14ac:dyDescent="0.35">
      <c r="A2237" s="179"/>
      <c r="B2237" s="121"/>
      <c r="C2237" s="122"/>
      <c r="D2237" s="123"/>
      <c r="E2237" s="28" t="s">
        <v>6118</v>
      </c>
      <c r="F2237" s="121"/>
      <c r="G2237" s="122"/>
      <c r="H2237" s="123"/>
      <c r="I2237" s="110" t="s">
        <v>722</v>
      </c>
      <c r="J2237" s="111"/>
      <c r="K2237" s="104" t="s">
        <v>4327</v>
      </c>
      <c r="L2237" s="105"/>
      <c r="M2237" s="114" t="s">
        <v>903</v>
      </c>
      <c r="N2237" s="115"/>
      <c r="O2237" s="116"/>
      <c r="P2237" s="183">
        <v>2</v>
      </c>
      <c r="Q2237" s="185"/>
      <c r="R2237" s="231">
        <v>5</v>
      </c>
      <c r="S2237" s="232"/>
      <c r="T2237" s="183">
        <v>3</v>
      </c>
      <c r="U2237" s="185"/>
      <c r="V2237" s="173" t="s">
        <v>2373</v>
      </c>
      <c r="W2237" s="174"/>
      <c r="X2237" s="297"/>
      <c r="Y2237" s="298"/>
      <c r="Z2237" s="299"/>
      <c r="AA2237" s="235"/>
      <c r="AB2237" s="236"/>
      <c r="AC2237" s="292" t="s">
        <v>6112</v>
      </c>
      <c r="AD2237" s="293"/>
      <c r="AE2237" s="36"/>
      <c r="AF2237" s="167"/>
      <c r="AG2237" s="168"/>
      <c r="AH2237" s="169"/>
      <c r="AI2237" s="167"/>
      <c r="AJ2237" s="48"/>
      <c r="AK2237" s="15"/>
      <c r="AL2237" s="15"/>
    </row>
    <row r="2238" spans="1:38" ht="75" x14ac:dyDescent="0.35">
      <c r="A2238" s="179"/>
      <c r="B2238" s="121"/>
      <c r="C2238" s="122"/>
      <c r="D2238" s="123"/>
      <c r="E2238" s="28" t="s">
        <v>6119</v>
      </c>
      <c r="F2238" s="121"/>
      <c r="G2238" s="122"/>
      <c r="H2238" s="123"/>
      <c r="I2238" s="110" t="s">
        <v>722</v>
      </c>
      <c r="J2238" s="111"/>
      <c r="K2238" s="104" t="s">
        <v>4327</v>
      </c>
      <c r="L2238" s="105"/>
      <c r="M2238" s="114" t="s">
        <v>903</v>
      </c>
      <c r="N2238" s="115"/>
      <c r="O2238" s="116"/>
      <c r="P2238" s="183">
        <v>2</v>
      </c>
      <c r="Q2238" s="185"/>
      <c r="R2238" s="231">
        <v>5</v>
      </c>
      <c r="S2238" s="232"/>
      <c r="T2238" s="183">
        <v>3</v>
      </c>
      <c r="U2238" s="185"/>
      <c r="V2238" s="173" t="s">
        <v>2373</v>
      </c>
      <c r="W2238" s="174"/>
      <c r="X2238" s="297"/>
      <c r="Y2238" s="298"/>
      <c r="Z2238" s="299"/>
      <c r="AA2238" s="235"/>
      <c r="AB2238" s="236"/>
      <c r="AC2238" s="292"/>
      <c r="AD2238" s="293"/>
      <c r="AE2238" s="36"/>
      <c r="AF2238" s="167"/>
      <c r="AG2238" s="168"/>
      <c r="AH2238" s="169"/>
      <c r="AI2238" s="167"/>
      <c r="AJ2238" s="48"/>
      <c r="AK2238" s="15"/>
      <c r="AL2238" s="15"/>
    </row>
    <row r="2239" spans="1:38" ht="75" x14ac:dyDescent="0.35">
      <c r="A2239" s="179"/>
      <c r="B2239" s="121"/>
      <c r="C2239" s="122"/>
      <c r="D2239" s="123"/>
      <c r="E2239" s="28" t="s">
        <v>6120</v>
      </c>
      <c r="F2239" s="121"/>
      <c r="G2239" s="122"/>
      <c r="H2239" s="123"/>
      <c r="I2239" s="110" t="s">
        <v>722</v>
      </c>
      <c r="J2239" s="111"/>
      <c r="K2239" s="104" t="s">
        <v>4327</v>
      </c>
      <c r="L2239" s="105"/>
      <c r="M2239" s="114" t="s">
        <v>903</v>
      </c>
      <c r="N2239" s="115"/>
      <c r="O2239" s="116"/>
      <c r="P2239" s="183">
        <v>2</v>
      </c>
      <c r="Q2239" s="185"/>
      <c r="R2239" s="231">
        <v>5</v>
      </c>
      <c r="S2239" s="232"/>
      <c r="T2239" s="183">
        <v>3</v>
      </c>
      <c r="U2239" s="185"/>
      <c r="V2239" s="173" t="s">
        <v>2373</v>
      </c>
      <c r="W2239" s="174"/>
      <c r="X2239" s="297"/>
      <c r="Y2239" s="298"/>
      <c r="Z2239" s="299"/>
      <c r="AA2239" s="235"/>
      <c r="AB2239" s="236"/>
      <c r="AC2239" s="292"/>
      <c r="AD2239" s="293"/>
      <c r="AE2239" s="36"/>
      <c r="AF2239" s="167"/>
      <c r="AG2239" s="168"/>
      <c r="AH2239" s="169"/>
      <c r="AI2239" s="167"/>
      <c r="AJ2239" s="48"/>
      <c r="AK2239" s="15"/>
      <c r="AL2239" s="15"/>
    </row>
    <row r="2240" spans="1:38" ht="75" x14ac:dyDescent="0.35">
      <c r="A2240" s="179"/>
      <c r="B2240" s="121"/>
      <c r="C2240" s="122"/>
      <c r="D2240" s="123"/>
      <c r="E2240" s="28" t="s">
        <v>6121</v>
      </c>
      <c r="F2240" s="121"/>
      <c r="G2240" s="122"/>
      <c r="H2240" s="123"/>
      <c r="I2240" s="110" t="s">
        <v>722</v>
      </c>
      <c r="J2240" s="111"/>
      <c r="K2240" s="104" t="s">
        <v>4327</v>
      </c>
      <c r="L2240" s="105"/>
      <c r="M2240" s="114" t="s">
        <v>903</v>
      </c>
      <c r="N2240" s="115"/>
      <c r="O2240" s="116"/>
      <c r="P2240" s="183">
        <v>2</v>
      </c>
      <c r="Q2240" s="185"/>
      <c r="R2240" s="231">
        <v>5</v>
      </c>
      <c r="S2240" s="232"/>
      <c r="T2240" s="183">
        <v>3</v>
      </c>
      <c r="U2240" s="185"/>
      <c r="V2240" s="173" t="s">
        <v>2373</v>
      </c>
      <c r="W2240" s="174"/>
      <c r="X2240" s="297"/>
      <c r="Y2240" s="298"/>
      <c r="Z2240" s="299"/>
      <c r="AA2240" s="235"/>
      <c r="AB2240" s="236"/>
      <c r="AC2240" s="292"/>
      <c r="AD2240" s="293"/>
      <c r="AE2240" s="36"/>
      <c r="AF2240" s="167"/>
      <c r="AG2240" s="168"/>
      <c r="AH2240" s="169"/>
      <c r="AI2240" s="167"/>
      <c r="AJ2240" s="48"/>
      <c r="AK2240" s="15"/>
      <c r="AL2240" s="15"/>
    </row>
    <row r="2241" spans="1:38" ht="75" x14ac:dyDescent="0.35">
      <c r="A2241" s="179"/>
      <c r="B2241" s="121"/>
      <c r="C2241" s="122"/>
      <c r="D2241" s="123"/>
      <c r="E2241" s="28" t="s">
        <v>6122</v>
      </c>
      <c r="F2241" s="121"/>
      <c r="G2241" s="122"/>
      <c r="H2241" s="123"/>
      <c r="I2241" s="110" t="s">
        <v>722</v>
      </c>
      <c r="J2241" s="111"/>
      <c r="K2241" s="104" t="s">
        <v>4327</v>
      </c>
      <c r="L2241" s="105"/>
      <c r="M2241" s="114" t="s">
        <v>903</v>
      </c>
      <c r="N2241" s="115"/>
      <c r="O2241" s="116"/>
      <c r="P2241" s="183">
        <v>2</v>
      </c>
      <c r="Q2241" s="185"/>
      <c r="R2241" s="231">
        <v>5</v>
      </c>
      <c r="S2241" s="232"/>
      <c r="T2241" s="183">
        <v>3</v>
      </c>
      <c r="U2241" s="185"/>
      <c r="V2241" s="173" t="s">
        <v>2373</v>
      </c>
      <c r="W2241" s="174"/>
      <c r="X2241" s="297"/>
      <c r="Y2241" s="298"/>
      <c r="Z2241" s="299"/>
      <c r="AA2241" s="235"/>
      <c r="AB2241" s="236"/>
      <c r="AC2241" s="292"/>
      <c r="AD2241" s="293"/>
      <c r="AE2241" s="36"/>
      <c r="AF2241" s="167"/>
      <c r="AG2241" s="168"/>
      <c r="AH2241" s="169"/>
      <c r="AI2241" s="167"/>
      <c r="AJ2241" s="48"/>
      <c r="AK2241" s="15"/>
      <c r="AL2241" s="15"/>
    </row>
    <row r="2242" spans="1:38" ht="75" x14ac:dyDescent="0.35">
      <c r="A2242" s="179"/>
      <c r="B2242" s="121"/>
      <c r="C2242" s="122"/>
      <c r="D2242" s="123"/>
      <c r="E2242" s="28" t="s">
        <v>6123</v>
      </c>
      <c r="F2242" s="121"/>
      <c r="G2242" s="122"/>
      <c r="H2242" s="123"/>
      <c r="I2242" s="110" t="s">
        <v>722</v>
      </c>
      <c r="J2242" s="111"/>
      <c r="K2242" s="104" t="s">
        <v>4327</v>
      </c>
      <c r="L2242" s="105"/>
      <c r="M2242" s="114" t="s">
        <v>903</v>
      </c>
      <c r="N2242" s="115"/>
      <c r="O2242" s="116"/>
      <c r="P2242" s="183">
        <v>2</v>
      </c>
      <c r="Q2242" s="185"/>
      <c r="R2242" s="231">
        <v>5</v>
      </c>
      <c r="S2242" s="232"/>
      <c r="T2242" s="183">
        <v>3</v>
      </c>
      <c r="U2242" s="185"/>
      <c r="V2242" s="173" t="s">
        <v>2373</v>
      </c>
      <c r="W2242" s="174"/>
      <c r="X2242" s="297"/>
      <c r="Y2242" s="298"/>
      <c r="Z2242" s="299"/>
      <c r="AA2242" s="235"/>
      <c r="AB2242" s="236"/>
      <c r="AC2242" s="292"/>
      <c r="AD2242" s="293"/>
      <c r="AE2242" s="36"/>
      <c r="AF2242" s="167"/>
      <c r="AG2242" s="168"/>
      <c r="AH2242" s="169"/>
      <c r="AI2242" s="167"/>
      <c r="AJ2242" s="48"/>
      <c r="AK2242" s="15"/>
      <c r="AL2242" s="15"/>
    </row>
    <row r="2243" spans="1:38" ht="75" x14ac:dyDescent="0.35">
      <c r="A2243" s="179"/>
      <c r="B2243" s="121"/>
      <c r="C2243" s="122"/>
      <c r="D2243" s="123"/>
      <c r="E2243" s="28" t="s">
        <v>6124</v>
      </c>
      <c r="F2243" s="121"/>
      <c r="G2243" s="122"/>
      <c r="H2243" s="123"/>
      <c r="I2243" s="110" t="s">
        <v>722</v>
      </c>
      <c r="J2243" s="111"/>
      <c r="K2243" s="104" t="s">
        <v>4327</v>
      </c>
      <c r="L2243" s="105"/>
      <c r="M2243" s="114" t="s">
        <v>903</v>
      </c>
      <c r="N2243" s="115"/>
      <c r="O2243" s="116"/>
      <c r="P2243" s="183">
        <v>2</v>
      </c>
      <c r="Q2243" s="185"/>
      <c r="R2243" s="231">
        <v>5</v>
      </c>
      <c r="S2243" s="232"/>
      <c r="T2243" s="183">
        <v>3</v>
      </c>
      <c r="U2243" s="185"/>
      <c r="V2243" s="173" t="s">
        <v>2373</v>
      </c>
      <c r="W2243" s="174"/>
      <c r="X2243" s="297"/>
      <c r="Y2243" s="298"/>
      <c r="Z2243" s="299"/>
      <c r="AA2243" s="235"/>
      <c r="AB2243" s="236"/>
      <c r="AC2243" s="292"/>
      <c r="AD2243" s="293"/>
      <c r="AE2243" s="36"/>
      <c r="AF2243" s="167"/>
      <c r="AG2243" s="168"/>
      <c r="AH2243" s="169"/>
      <c r="AI2243" s="167"/>
      <c r="AJ2243" s="48"/>
      <c r="AK2243" s="15"/>
      <c r="AL2243" s="15"/>
    </row>
    <row r="2244" spans="1:38" ht="75" x14ac:dyDescent="0.25">
      <c r="A2244" s="179"/>
      <c r="B2244" s="162" t="s">
        <v>6125</v>
      </c>
      <c r="C2244" s="170"/>
      <c r="D2244" s="163"/>
      <c r="E2244" s="28" t="s">
        <v>6126</v>
      </c>
      <c r="F2244" s="272" t="s">
        <v>6127</v>
      </c>
      <c r="G2244" s="282"/>
      <c r="H2244" s="273"/>
      <c r="I2244" s="110" t="s">
        <v>722</v>
      </c>
      <c r="J2244" s="111"/>
      <c r="K2244" s="104" t="s">
        <v>4327</v>
      </c>
      <c r="L2244" s="105"/>
      <c r="M2244" s="114" t="s">
        <v>903</v>
      </c>
      <c r="N2244" s="115"/>
      <c r="O2244" s="116"/>
      <c r="P2244" s="183">
        <v>2</v>
      </c>
      <c r="Q2244" s="185"/>
      <c r="R2244" s="155">
        <v>5</v>
      </c>
      <c r="S2244" s="157"/>
      <c r="T2244" s="183">
        <v>3</v>
      </c>
      <c r="U2244" s="185"/>
      <c r="V2244" s="173" t="s">
        <v>2373</v>
      </c>
      <c r="W2244" s="174"/>
      <c r="X2244" s="297"/>
      <c r="Y2244" s="298"/>
      <c r="Z2244" s="299"/>
      <c r="AA2244" s="235"/>
      <c r="AB2244" s="236"/>
      <c r="AC2244" s="292"/>
      <c r="AD2244" s="293"/>
      <c r="AE2244" s="36"/>
      <c r="AF2244" s="167"/>
      <c r="AG2244" s="168"/>
      <c r="AH2244" s="169"/>
      <c r="AI2244" s="167"/>
      <c r="AJ2244" s="48"/>
      <c r="AK2244" s="15"/>
      <c r="AL2244" s="15"/>
    </row>
    <row r="2245" spans="1:38" ht="75" x14ac:dyDescent="0.25">
      <c r="A2245" s="179"/>
      <c r="B2245" s="162"/>
      <c r="C2245" s="170"/>
      <c r="D2245" s="163"/>
      <c r="E2245" s="28" t="s">
        <v>6128</v>
      </c>
      <c r="F2245" s="272"/>
      <c r="G2245" s="282"/>
      <c r="H2245" s="273"/>
      <c r="I2245" s="110" t="s">
        <v>722</v>
      </c>
      <c r="J2245" s="111"/>
      <c r="K2245" s="104" t="s">
        <v>4327</v>
      </c>
      <c r="L2245" s="105"/>
      <c r="M2245" s="114" t="s">
        <v>903</v>
      </c>
      <c r="N2245" s="115"/>
      <c r="O2245" s="116"/>
      <c r="P2245" s="183">
        <v>2</v>
      </c>
      <c r="Q2245" s="185"/>
      <c r="R2245" s="155">
        <v>5</v>
      </c>
      <c r="S2245" s="157"/>
      <c r="T2245" s="183">
        <v>3</v>
      </c>
      <c r="U2245" s="185"/>
      <c r="V2245" s="173" t="s">
        <v>2373</v>
      </c>
      <c r="W2245" s="174"/>
      <c r="X2245" s="297"/>
      <c r="Y2245" s="298"/>
      <c r="Z2245" s="299"/>
      <c r="AA2245" s="235"/>
      <c r="AB2245" s="236"/>
      <c r="AC2245" s="292"/>
      <c r="AD2245" s="293"/>
      <c r="AE2245" s="36"/>
      <c r="AF2245" s="167"/>
      <c r="AG2245" s="168"/>
      <c r="AH2245" s="169"/>
      <c r="AI2245" s="167"/>
      <c r="AJ2245" s="48"/>
      <c r="AK2245" s="15"/>
      <c r="AL2245" s="15"/>
    </row>
    <row r="2246" spans="1:38" ht="75" x14ac:dyDescent="0.35">
      <c r="A2246" s="179"/>
      <c r="B2246" s="121"/>
      <c r="C2246" s="122"/>
      <c r="D2246" s="123"/>
      <c r="E2246" s="28" t="s">
        <v>6129</v>
      </c>
      <c r="F2246" s="121"/>
      <c r="G2246" s="122"/>
      <c r="H2246" s="123"/>
      <c r="I2246" s="110" t="s">
        <v>722</v>
      </c>
      <c r="J2246" s="111"/>
      <c r="K2246" s="104" t="s">
        <v>4327</v>
      </c>
      <c r="L2246" s="105"/>
      <c r="M2246" s="114" t="s">
        <v>903</v>
      </c>
      <c r="N2246" s="115"/>
      <c r="O2246" s="116"/>
      <c r="P2246" s="183">
        <v>2</v>
      </c>
      <c r="Q2246" s="185"/>
      <c r="R2246" s="231">
        <v>5</v>
      </c>
      <c r="S2246" s="232"/>
      <c r="T2246" s="183">
        <v>3</v>
      </c>
      <c r="U2246" s="185"/>
      <c r="V2246" s="173" t="s">
        <v>2373</v>
      </c>
      <c r="W2246" s="174"/>
      <c r="X2246" s="297"/>
      <c r="Y2246" s="298"/>
      <c r="Z2246" s="299"/>
      <c r="AA2246" s="235"/>
      <c r="AB2246" s="236"/>
      <c r="AC2246" s="292"/>
      <c r="AD2246" s="293"/>
      <c r="AE2246" s="36"/>
      <c r="AF2246" s="167"/>
      <c r="AG2246" s="168"/>
      <c r="AH2246" s="169"/>
      <c r="AI2246" s="167"/>
      <c r="AJ2246" s="48"/>
      <c r="AK2246" s="15"/>
      <c r="AL2246" s="15"/>
    </row>
    <row r="2247" spans="1:38" ht="75" x14ac:dyDescent="0.35">
      <c r="A2247" s="179"/>
      <c r="B2247" s="121"/>
      <c r="C2247" s="122"/>
      <c r="D2247" s="123"/>
      <c r="E2247" s="28" t="s">
        <v>6130</v>
      </c>
      <c r="F2247" s="121"/>
      <c r="G2247" s="122"/>
      <c r="H2247" s="123"/>
      <c r="I2247" s="110" t="s">
        <v>722</v>
      </c>
      <c r="J2247" s="111"/>
      <c r="K2247" s="104" t="s">
        <v>4327</v>
      </c>
      <c r="L2247" s="105"/>
      <c r="M2247" s="114" t="s">
        <v>903</v>
      </c>
      <c r="N2247" s="115"/>
      <c r="O2247" s="116"/>
      <c r="P2247" s="183">
        <v>2</v>
      </c>
      <c r="Q2247" s="185"/>
      <c r="R2247" s="231">
        <v>5</v>
      </c>
      <c r="S2247" s="232"/>
      <c r="T2247" s="183">
        <v>3</v>
      </c>
      <c r="U2247" s="185"/>
      <c r="V2247" s="173" t="s">
        <v>2373</v>
      </c>
      <c r="W2247" s="174"/>
      <c r="X2247" s="297"/>
      <c r="Y2247" s="298"/>
      <c r="Z2247" s="299"/>
      <c r="AA2247" s="235"/>
      <c r="AB2247" s="236"/>
      <c r="AC2247" s="292"/>
      <c r="AD2247" s="293"/>
      <c r="AE2247" s="36"/>
      <c r="AF2247" s="167"/>
      <c r="AG2247" s="168"/>
      <c r="AH2247" s="169"/>
      <c r="AI2247" s="167"/>
      <c r="AJ2247" s="48"/>
      <c r="AK2247" s="15"/>
      <c r="AL2247" s="15"/>
    </row>
    <row r="2248" spans="1:38" ht="75" x14ac:dyDescent="0.35">
      <c r="A2248" s="179"/>
      <c r="B2248" s="121"/>
      <c r="C2248" s="122"/>
      <c r="D2248" s="123"/>
      <c r="E2248" s="28" t="s">
        <v>6131</v>
      </c>
      <c r="F2248" s="121"/>
      <c r="G2248" s="122"/>
      <c r="H2248" s="123"/>
      <c r="I2248" s="110" t="s">
        <v>722</v>
      </c>
      <c r="J2248" s="111"/>
      <c r="K2248" s="104" t="s">
        <v>4327</v>
      </c>
      <c r="L2248" s="105"/>
      <c r="M2248" s="114" t="s">
        <v>903</v>
      </c>
      <c r="N2248" s="115"/>
      <c r="O2248" s="116"/>
      <c r="P2248" s="183">
        <v>2</v>
      </c>
      <c r="Q2248" s="185"/>
      <c r="R2248" s="231">
        <v>5</v>
      </c>
      <c r="S2248" s="232"/>
      <c r="T2248" s="183">
        <v>3</v>
      </c>
      <c r="U2248" s="185"/>
      <c r="V2248" s="173" t="s">
        <v>2373</v>
      </c>
      <c r="W2248" s="174"/>
      <c r="X2248" s="300"/>
      <c r="Y2248" s="301"/>
      <c r="Z2248" s="302"/>
      <c r="AA2248" s="237"/>
      <c r="AB2248" s="238"/>
      <c r="AC2248" s="292"/>
      <c r="AD2248" s="293"/>
      <c r="AE2248" s="36"/>
      <c r="AF2248" s="167"/>
      <c r="AG2248" s="168"/>
      <c r="AH2248" s="169"/>
      <c r="AI2248" s="167"/>
      <c r="AJ2248" s="48"/>
      <c r="AK2248" s="15"/>
      <c r="AL2248" s="15"/>
    </row>
    <row r="2249" spans="1:38" ht="75" x14ac:dyDescent="0.35">
      <c r="A2249" s="179"/>
      <c r="B2249" s="121"/>
      <c r="C2249" s="122"/>
      <c r="D2249" s="123"/>
      <c r="E2249" s="28" t="s">
        <v>6132</v>
      </c>
      <c r="F2249" s="121"/>
      <c r="G2249" s="122"/>
      <c r="H2249" s="123"/>
      <c r="I2249" s="110" t="s">
        <v>722</v>
      </c>
      <c r="J2249" s="111"/>
      <c r="K2249" s="104" t="s">
        <v>4327</v>
      </c>
      <c r="L2249" s="105"/>
      <c r="M2249" s="114" t="s">
        <v>6133</v>
      </c>
      <c r="N2249" s="115"/>
      <c r="O2249" s="116"/>
      <c r="P2249" s="183">
        <v>2</v>
      </c>
      <c r="Q2249" s="185"/>
      <c r="R2249" s="231">
        <v>5</v>
      </c>
      <c r="S2249" s="232"/>
      <c r="T2249" s="183">
        <v>3</v>
      </c>
      <c r="U2249" s="185"/>
      <c r="V2249" s="173" t="s">
        <v>3472</v>
      </c>
      <c r="W2249" s="174"/>
      <c r="X2249" s="294">
        <v>35</v>
      </c>
      <c r="Y2249" s="295"/>
      <c r="Z2249" s="296"/>
      <c r="AA2249" s="233" t="s">
        <v>6134</v>
      </c>
      <c r="AB2249" s="234"/>
      <c r="AC2249" s="292"/>
      <c r="AD2249" s="293"/>
      <c r="AE2249" s="36"/>
      <c r="AF2249" s="167"/>
      <c r="AG2249" s="168"/>
      <c r="AH2249" s="169"/>
      <c r="AI2249" s="167"/>
      <c r="AJ2249" s="48"/>
      <c r="AK2249" s="15"/>
      <c r="AL2249" s="15"/>
    </row>
    <row r="2250" spans="1:38" ht="75" x14ac:dyDescent="0.35">
      <c r="A2250" s="179"/>
      <c r="B2250" s="121"/>
      <c r="C2250" s="122"/>
      <c r="D2250" s="123"/>
      <c r="E2250" s="28" t="s">
        <v>6135</v>
      </c>
      <c r="F2250" s="121"/>
      <c r="G2250" s="122"/>
      <c r="H2250" s="123"/>
      <c r="I2250" s="110" t="s">
        <v>722</v>
      </c>
      <c r="J2250" s="111"/>
      <c r="K2250" s="104" t="s">
        <v>4327</v>
      </c>
      <c r="L2250" s="105"/>
      <c r="M2250" s="114" t="s">
        <v>6133</v>
      </c>
      <c r="N2250" s="115"/>
      <c r="O2250" s="116"/>
      <c r="P2250" s="183">
        <v>2</v>
      </c>
      <c r="Q2250" s="185"/>
      <c r="R2250" s="231">
        <v>5</v>
      </c>
      <c r="S2250" s="232"/>
      <c r="T2250" s="183">
        <v>3</v>
      </c>
      <c r="U2250" s="185"/>
      <c r="V2250" s="173" t="s">
        <v>3472</v>
      </c>
      <c r="W2250" s="174"/>
      <c r="X2250" s="297"/>
      <c r="Y2250" s="298"/>
      <c r="Z2250" s="299"/>
      <c r="AA2250" s="235"/>
      <c r="AB2250" s="236"/>
      <c r="AC2250" s="292"/>
      <c r="AD2250" s="293"/>
      <c r="AE2250" s="36"/>
      <c r="AF2250" s="167"/>
      <c r="AG2250" s="168"/>
      <c r="AH2250" s="169"/>
      <c r="AI2250" s="167"/>
      <c r="AJ2250" s="48"/>
      <c r="AK2250" s="15"/>
      <c r="AL2250" s="15"/>
    </row>
    <row r="2251" spans="1:38" ht="75" x14ac:dyDescent="0.35">
      <c r="A2251" s="179"/>
      <c r="B2251" s="121"/>
      <c r="C2251" s="122"/>
      <c r="D2251" s="123"/>
      <c r="E2251" s="28" t="s">
        <v>6136</v>
      </c>
      <c r="F2251" s="121"/>
      <c r="G2251" s="122"/>
      <c r="H2251" s="123"/>
      <c r="I2251" s="110" t="s">
        <v>722</v>
      </c>
      <c r="J2251" s="111"/>
      <c r="K2251" s="104" t="s">
        <v>4327</v>
      </c>
      <c r="L2251" s="105"/>
      <c r="M2251" s="114" t="s">
        <v>6133</v>
      </c>
      <c r="N2251" s="115"/>
      <c r="O2251" s="116"/>
      <c r="P2251" s="183">
        <v>2</v>
      </c>
      <c r="Q2251" s="185"/>
      <c r="R2251" s="231">
        <v>5</v>
      </c>
      <c r="S2251" s="232"/>
      <c r="T2251" s="183">
        <v>3</v>
      </c>
      <c r="U2251" s="185"/>
      <c r="V2251" s="173" t="s">
        <v>3472</v>
      </c>
      <c r="W2251" s="174"/>
      <c r="X2251" s="297"/>
      <c r="Y2251" s="298"/>
      <c r="Z2251" s="299"/>
      <c r="AA2251" s="235"/>
      <c r="AB2251" s="236"/>
      <c r="AC2251" s="292"/>
      <c r="AD2251" s="293"/>
      <c r="AE2251" s="36"/>
      <c r="AF2251" s="167"/>
      <c r="AG2251" s="168"/>
      <c r="AH2251" s="169"/>
      <c r="AI2251" s="167"/>
      <c r="AJ2251" s="48"/>
      <c r="AK2251" s="15"/>
      <c r="AL2251" s="15"/>
    </row>
    <row r="2252" spans="1:38" ht="75" x14ac:dyDescent="0.35">
      <c r="A2252" s="179"/>
      <c r="B2252" s="121"/>
      <c r="C2252" s="122"/>
      <c r="D2252" s="123"/>
      <c r="E2252" s="28" t="s">
        <v>6137</v>
      </c>
      <c r="F2252" s="121"/>
      <c r="G2252" s="122"/>
      <c r="H2252" s="123"/>
      <c r="I2252" s="110" t="s">
        <v>722</v>
      </c>
      <c r="J2252" s="111"/>
      <c r="K2252" s="104" t="s">
        <v>4327</v>
      </c>
      <c r="L2252" s="105"/>
      <c r="M2252" s="114" t="s">
        <v>6133</v>
      </c>
      <c r="N2252" s="115"/>
      <c r="O2252" s="116"/>
      <c r="P2252" s="183">
        <v>2</v>
      </c>
      <c r="Q2252" s="185"/>
      <c r="R2252" s="231">
        <v>5</v>
      </c>
      <c r="S2252" s="232"/>
      <c r="T2252" s="183">
        <v>3</v>
      </c>
      <c r="U2252" s="185"/>
      <c r="V2252" s="173" t="s">
        <v>3472</v>
      </c>
      <c r="W2252" s="174"/>
      <c r="X2252" s="297"/>
      <c r="Y2252" s="298"/>
      <c r="Z2252" s="299"/>
      <c r="AA2252" s="235"/>
      <c r="AB2252" s="236"/>
      <c r="AC2252" s="292"/>
      <c r="AD2252" s="293"/>
      <c r="AE2252" s="36"/>
      <c r="AF2252" s="167"/>
      <c r="AG2252" s="168"/>
      <c r="AH2252" s="169"/>
      <c r="AI2252" s="167"/>
      <c r="AJ2252" s="48"/>
      <c r="AK2252" s="15"/>
      <c r="AL2252" s="15"/>
    </row>
    <row r="2253" spans="1:38" ht="75" x14ac:dyDescent="0.35">
      <c r="A2253" s="179"/>
      <c r="B2253" s="121"/>
      <c r="C2253" s="122"/>
      <c r="D2253" s="123"/>
      <c r="E2253" s="28" t="s">
        <v>6138</v>
      </c>
      <c r="F2253" s="121"/>
      <c r="G2253" s="122"/>
      <c r="H2253" s="123"/>
      <c r="I2253" s="110" t="s">
        <v>722</v>
      </c>
      <c r="J2253" s="111"/>
      <c r="K2253" s="104" t="s">
        <v>4327</v>
      </c>
      <c r="L2253" s="105"/>
      <c r="M2253" s="114" t="s">
        <v>6133</v>
      </c>
      <c r="N2253" s="115"/>
      <c r="O2253" s="116"/>
      <c r="P2253" s="183">
        <v>2</v>
      </c>
      <c r="Q2253" s="185"/>
      <c r="R2253" s="231">
        <v>5</v>
      </c>
      <c r="S2253" s="232"/>
      <c r="T2253" s="183">
        <v>3</v>
      </c>
      <c r="U2253" s="185"/>
      <c r="V2253" s="173" t="s">
        <v>3472</v>
      </c>
      <c r="W2253" s="174"/>
      <c r="X2253" s="297"/>
      <c r="Y2253" s="298"/>
      <c r="Z2253" s="299"/>
      <c r="AA2253" s="235"/>
      <c r="AB2253" s="236"/>
      <c r="AC2253" s="292"/>
      <c r="AD2253" s="293"/>
      <c r="AE2253" s="36"/>
      <c r="AF2253" s="167"/>
      <c r="AG2253" s="168"/>
      <c r="AH2253" s="169"/>
      <c r="AI2253" s="167"/>
      <c r="AJ2253" s="48"/>
      <c r="AK2253" s="15"/>
      <c r="AL2253" s="15"/>
    </row>
    <row r="2254" spans="1:38" ht="75" x14ac:dyDescent="0.35">
      <c r="A2254" s="179"/>
      <c r="B2254" s="121"/>
      <c r="C2254" s="122"/>
      <c r="D2254" s="123"/>
      <c r="E2254" s="28" t="s">
        <v>6139</v>
      </c>
      <c r="F2254" s="121"/>
      <c r="G2254" s="122"/>
      <c r="H2254" s="123"/>
      <c r="I2254" s="110" t="s">
        <v>722</v>
      </c>
      <c r="J2254" s="111"/>
      <c r="K2254" s="104" t="s">
        <v>4327</v>
      </c>
      <c r="L2254" s="105"/>
      <c r="M2254" s="114" t="s">
        <v>6133</v>
      </c>
      <c r="N2254" s="115"/>
      <c r="O2254" s="116"/>
      <c r="P2254" s="183">
        <v>2</v>
      </c>
      <c r="Q2254" s="185"/>
      <c r="R2254" s="231">
        <v>5</v>
      </c>
      <c r="S2254" s="232"/>
      <c r="T2254" s="183">
        <v>3</v>
      </c>
      <c r="U2254" s="185"/>
      <c r="V2254" s="173" t="s">
        <v>3472</v>
      </c>
      <c r="W2254" s="174"/>
      <c r="X2254" s="297"/>
      <c r="Y2254" s="298"/>
      <c r="Z2254" s="299"/>
      <c r="AA2254" s="235"/>
      <c r="AB2254" s="236"/>
      <c r="AC2254" s="292"/>
      <c r="AD2254" s="293"/>
      <c r="AE2254" s="36"/>
      <c r="AF2254" s="167"/>
      <c r="AG2254" s="168"/>
      <c r="AH2254" s="169"/>
      <c r="AI2254" s="167"/>
      <c r="AJ2254" s="48"/>
      <c r="AK2254" s="15"/>
      <c r="AL2254" s="15"/>
    </row>
    <row r="2255" spans="1:38" ht="75" x14ac:dyDescent="0.35">
      <c r="A2255" s="179"/>
      <c r="B2255" s="121"/>
      <c r="C2255" s="122"/>
      <c r="D2255" s="123"/>
      <c r="E2255" s="28" t="s">
        <v>6140</v>
      </c>
      <c r="F2255" s="121"/>
      <c r="G2255" s="122"/>
      <c r="H2255" s="123"/>
      <c r="I2255" s="110" t="s">
        <v>722</v>
      </c>
      <c r="J2255" s="111"/>
      <c r="K2255" s="104" t="s">
        <v>4327</v>
      </c>
      <c r="L2255" s="105"/>
      <c r="M2255" s="114" t="s">
        <v>6133</v>
      </c>
      <c r="N2255" s="115"/>
      <c r="O2255" s="116"/>
      <c r="P2255" s="183">
        <v>2</v>
      </c>
      <c r="Q2255" s="185"/>
      <c r="R2255" s="231">
        <v>5</v>
      </c>
      <c r="S2255" s="232"/>
      <c r="T2255" s="183">
        <v>3</v>
      </c>
      <c r="U2255" s="185"/>
      <c r="V2255" s="173" t="s">
        <v>3472</v>
      </c>
      <c r="W2255" s="174"/>
      <c r="X2255" s="297"/>
      <c r="Y2255" s="298"/>
      <c r="Z2255" s="299"/>
      <c r="AA2255" s="235"/>
      <c r="AB2255" s="236"/>
      <c r="AC2255" s="292"/>
      <c r="AD2255" s="293"/>
      <c r="AE2255" s="36"/>
      <c r="AF2255" s="167"/>
      <c r="AG2255" s="168"/>
      <c r="AH2255" s="169"/>
      <c r="AI2255" s="167"/>
      <c r="AJ2255" s="48"/>
      <c r="AK2255" s="15"/>
      <c r="AL2255" s="15"/>
    </row>
    <row r="2256" spans="1:38" ht="75" x14ac:dyDescent="0.35">
      <c r="A2256" s="230"/>
      <c r="B2256" s="93"/>
      <c r="C2256" s="106"/>
      <c r="D2256" s="94"/>
      <c r="E2256" s="28" t="s">
        <v>6141</v>
      </c>
      <c r="F2256" s="93"/>
      <c r="G2256" s="106"/>
      <c r="H2256" s="94"/>
      <c r="I2256" s="110" t="s">
        <v>722</v>
      </c>
      <c r="J2256" s="111"/>
      <c r="K2256" s="146" t="s">
        <v>4327</v>
      </c>
      <c r="L2256" s="148"/>
      <c r="M2256" s="114" t="s">
        <v>6133</v>
      </c>
      <c r="N2256" s="115"/>
      <c r="O2256" s="116"/>
      <c r="P2256" s="183">
        <v>2</v>
      </c>
      <c r="Q2256" s="185"/>
      <c r="R2256" s="206">
        <v>5</v>
      </c>
      <c r="S2256" s="207"/>
      <c r="T2256" s="183">
        <v>3</v>
      </c>
      <c r="U2256" s="185"/>
      <c r="V2256" s="173" t="s">
        <v>3472</v>
      </c>
      <c r="W2256" s="174"/>
      <c r="X2256" s="300"/>
      <c r="Y2256" s="301"/>
      <c r="Z2256" s="302"/>
      <c r="AA2256" s="237"/>
      <c r="AB2256" s="238"/>
      <c r="AC2256" s="290"/>
      <c r="AD2256" s="291"/>
      <c r="AE2256" s="36"/>
      <c r="AF2256" s="214"/>
      <c r="AG2256" s="215"/>
      <c r="AH2256" s="216"/>
      <c r="AI2256" s="214"/>
      <c r="AJ2256" s="48"/>
      <c r="AK2256" s="15"/>
      <c r="AL2256" s="15"/>
    </row>
    <row r="2257" spans="1:38" ht="75" x14ac:dyDescent="0.25">
      <c r="A2257" s="178"/>
      <c r="B2257" s="303" t="s">
        <v>6142</v>
      </c>
      <c r="C2257" s="344"/>
      <c r="D2257" s="304"/>
      <c r="E2257" s="49" t="s">
        <v>6143</v>
      </c>
      <c r="F2257" s="366" t="s">
        <v>6144</v>
      </c>
      <c r="G2257" s="367"/>
      <c r="H2257" s="368"/>
      <c r="I2257" s="358">
        <v>8</v>
      </c>
      <c r="J2257" s="359"/>
      <c r="K2257" s="362" t="s">
        <v>6145</v>
      </c>
      <c r="L2257" s="363"/>
      <c r="M2257" s="369" t="s">
        <v>3668</v>
      </c>
      <c r="N2257" s="370"/>
      <c r="O2257" s="371"/>
      <c r="P2257" s="372">
        <v>4</v>
      </c>
      <c r="Q2257" s="373"/>
      <c r="R2257" s="358">
        <v>15</v>
      </c>
      <c r="S2257" s="359"/>
      <c r="T2257" s="358">
        <v>10</v>
      </c>
      <c r="U2257" s="359"/>
      <c r="V2257" s="360" t="s">
        <v>4193</v>
      </c>
      <c r="W2257" s="361"/>
      <c r="X2257" s="334">
        <v>198</v>
      </c>
      <c r="Y2257" s="335"/>
      <c r="Z2257" s="336"/>
      <c r="AA2257" s="362" t="s">
        <v>879</v>
      </c>
      <c r="AB2257" s="363"/>
      <c r="AC2257" s="364" t="s">
        <v>6484</v>
      </c>
      <c r="AD2257" s="365"/>
      <c r="AE2257" s="24" t="s">
        <v>1356</v>
      </c>
      <c r="AF2257" s="303" t="s">
        <v>2566</v>
      </c>
      <c r="AG2257" s="344"/>
      <c r="AH2257" s="304"/>
      <c r="AI2257" s="24" t="s">
        <v>6147</v>
      </c>
      <c r="AJ2257" s="48"/>
      <c r="AK2257" s="15"/>
      <c r="AL2257" s="15"/>
    </row>
    <row r="2258" spans="1:38" ht="120" x14ac:dyDescent="0.3">
      <c r="A2258" s="230"/>
      <c r="B2258" s="290"/>
      <c r="C2258" s="345"/>
      <c r="D2258" s="291"/>
      <c r="E2258" s="19" t="s">
        <v>6149</v>
      </c>
      <c r="F2258" s="346" t="s">
        <v>6150</v>
      </c>
      <c r="G2258" s="347"/>
      <c r="H2258" s="348"/>
      <c r="I2258" s="349">
        <v>12</v>
      </c>
      <c r="J2258" s="350"/>
      <c r="K2258" s="351" t="s">
        <v>6151</v>
      </c>
      <c r="L2258" s="352"/>
      <c r="M2258" s="353" t="s">
        <v>2167</v>
      </c>
      <c r="N2258" s="354"/>
      <c r="O2258" s="355"/>
      <c r="P2258" s="356">
        <v>6</v>
      </c>
      <c r="Q2258" s="357"/>
      <c r="R2258" s="349">
        <v>25</v>
      </c>
      <c r="S2258" s="350"/>
      <c r="T2258" s="349">
        <v>10</v>
      </c>
      <c r="U2258" s="350"/>
      <c r="V2258" s="332" t="s">
        <v>6152</v>
      </c>
      <c r="W2258" s="333"/>
      <c r="X2258" s="334">
        <v>228</v>
      </c>
      <c r="Y2258" s="335"/>
      <c r="Z2258" s="336"/>
      <c r="AA2258" s="337" t="s">
        <v>758</v>
      </c>
      <c r="AB2258" s="338"/>
      <c r="AC2258" s="342" t="s">
        <v>6485</v>
      </c>
      <c r="AD2258" s="343"/>
      <c r="AE2258" s="31" t="s">
        <v>6146</v>
      </c>
      <c r="AF2258" s="290" t="s">
        <v>3401</v>
      </c>
      <c r="AG2258" s="345"/>
      <c r="AH2258" s="291"/>
      <c r="AI2258" s="31" t="s">
        <v>6148</v>
      </c>
      <c r="AJ2258" s="48"/>
      <c r="AK2258" s="15"/>
      <c r="AL2258" s="15"/>
    </row>
    <row r="2259" spans="1:38" ht="45" x14ac:dyDescent="0.25">
      <c r="A2259" s="178"/>
      <c r="B2259" s="149"/>
      <c r="C2259" s="158"/>
      <c r="D2259" s="150"/>
      <c r="E2259" s="35" t="s">
        <v>6153</v>
      </c>
      <c r="F2259" s="149"/>
      <c r="G2259" s="158"/>
      <c r="H2259" s="150"/>
      <c r="I2259" s="233" t="s">
        <v>6154</v>
      </c>
      <c r="J2259" s="234"/>
      <c r="K2259" s="233" t="s">
        <v>5065</v>
      </c>
      <c r="L2259" s="234"/>
      <c r="M2259" s="339">
        <v>31</v>
      </c>
      <c r="N2259" s="340"/>
      <c r="O2259" s="341"/>
      <c r="P2259" s="339">
        <v>2</v>
      </c>
      <c r="Q2259" s="341"/>
      <c r="R2259" s="328">
        <v>5</v>
      </c>
      <c r="S2259" s="329"/>
      <c r="T2259" s="328">
        <v>3</v>
      </c>
      <c r="U2259" s="329"/>
      <c r="V2259" s="330" t="s">
        <v>3406</v>
      </c>
      <c r="W2259" s="331"/>
      <c r="X2259" s="252">
        <v>58</v>
      </c>
      <c r="Y2259" s="253"/>
      <c r="Z2259" s="254"/>
      <c r="AA2259" s="233" t="s">
        <v>1023</v>
      </c>
      <c r="AB2259" s="234"/>
      <c r="AC2259" s="149"/>
      <c r="AD2259" s="150"/>
      <c r="AE2259" s="54"/>
      <c r="AF2259" s="164"/>
      <c r="AG2259" s="165"/>
      <c r="AH2259" s="166"/>
      <c r="AI2259" s="164"/>
      <c r="AJ2259" s="48"/>
      <c r="AK2259" s="15"/>
      <c r="AL2259" s="15"/>
    </row>
    <row r="2260" spans="1:38" ht="15.5" x14ac:dyDescent="0.35">
      <c r="A2260" s="179"/>
      <c r="B2260" s="121"/>
      <c r="C2260" s="122"/>
      <c r="D2260" s="123"/>
      <c r="E2260" s="52"/>
      <c r="F2260" s="121"/>
      <c r="G2260" s="122"/>
      <c r="H2260" s="123"/>
      <c r="I2260" s="93"/>
      <c r="J2260" s="94"/>
      <c r="K2260" s="93"/>
      <c r="L2260" s="94"/>
      <c r="M2260" s="325"/>
      <c r="N2260" s="327"/>
      <c r="O2260" s="326"/>
      <c r="P2260" s="325"/>
      <c r="Q2260" s="326"/>
      <c r="R2260" s="121"/>
      <c r="S2260" s="123"/>
      <c r="T2260" s="93"/>
      <c r="U2260" s="94"/>
      <c r="V2260" s="325"/>
      <c r="W2260" s="326"/>
      <c r="X2260" s="90"/>
      <c r="Y2260" s="91"/>
      <c r="Z2260" s="92"/>
      <c r="AA2260" s="93"/>
      <c r="AB2260" s="94"/>
      <c r="AC2260" s="155" t="s">
        <v>3194</v>
      </c>
      <c r="AD2260" s="157"/>
      <c r="AE2260" s="58"/>
      <c r="AF2260" s="167"/>
      <c r="AG2260" s="168"/>
      <c r="AH2260" s="169"/>
      <c r="AI2260" s="167"/>
      <c r="AJ2260" s="48"/>
      <c r="AK2260" s="15"/>
      <c r="AL2260" s="15"/>
    </row>
    <row r="2261" spans="1:38" ht="45" x14ac:dyDescent="0.35">
      <c r="A2261" s="179"/>
      <c r="B2261" s="121"/>
      <c r="C2261" s="122"/>
      <c r="D2261" s="123"/>
      <c r="E2261" s="58"/>
      <c r="F2261" s="121"/>
      <c r="G2261" s="122"/>
      <c r="H2261" s="123"/>
      <c r="I2261" s="119"/>
      <c r="J2261" s="120"/>
      <c r="K2261" s="119"/>
      <c r="L2261" s="120"/>
      <c r="M2261" s="316"/>
      <c r="N2261" s="317"/>
      <c r="O2261" s="318"/>
      <c r="P2261" s="316"/>
      <c r="Q2261" s="318"/>
      <c r="R2261" s="121"/>
      <c r="S2261" s="123"/>
      <c r="T2261" s="119"/>
      <c r="U2261" s="120"/>
      <c r="V2261" s="316"/>
      <c r="W2261" s="318"/>
      <c r="X2261" s="129"/>
      <c r="Y2261" s="130"/>
      <c r="Z2261" s="131"/>
      <c r="AA2261" s="119"/>
      <c r="AB2261" s="120"/>
      <c r="AC2261" s="155" t="s">
        <v>6155</v>
      </c>
      <c r="AD2261" s="157"/>
      <c r="AE2261" s="40" t="s">
        <v>1356</v>
      </c>
      <c r="AF2261" s="167"/>
      <c r="AG2261" s="168"/>
      <c r="AH2261" s="169"/>
      <c r="AI2261" s="167"/>
      <c r="AJ2261" s="48"/>
      <c r="AK2261" s="15"/>
      <c r="AL2261" s="15"/>
    </row>
    <row r="2262" spans="1:38" ht="45" x14ac:dyDescent="0.3">
      <c r="A2262" s="179"/>
      <c r="B2262" s="155" t="s">
        <v>6156</v>
      </c>
      <c r="C2262" s="156"/>
      <c r="D2262" s="157"/>
      <c r="E2262" s="63" t="s">
        <v>6157</v>
      </c>
      <c r="F2262" s="155" t="s">
        <v>6158</v>
      </c>
      <c r="G2262" s="156"/>
      <c r="H2262" s="157"/>
      <c r="I2262" s="104" t="s">
        <v>6154</v>
      </c>
      <c r="J2262" s="105"/>
      <c r="K2262" s="104" t="s">
        <v>5065</v>
      </c>
      <c r="L2262" s="105"/>
      <c r="M2262" s="322">
        <v>28</v>
      </c>
      <c r="N2262" s="324"/>
      <c r="O2262" s="323"/>
      <c r="P2262" s="322">
        <v>2</v>
      </c>
      <c r="Q2262" s="323"/>
      <c r="R2262" s="231">
        <v>5</v>
      </c>
      <c r="S2262" s="232"/>
      <c r="T2262" s="231">
        <v>3</v>
      </c>
      <c r="U2262" s="232"/>
      <c r="V2262" s="280" t="s">
        <v>6159</v>
      </c>
      <c r="W2262" s="281"/>
      <c r="X2262" s="247">
        <v>53</v>
      </c>
      <c r="Y2262" s="248"/>
      <c r="Z2262" s="249"/>
      <c r="AA2262" s="104" t="s">
        <v>1342</v>
      </c>
      <c r="AB2262" s="105"/>
      <c r="AC2262" s="126" t="s">
        <v>828</v>
      </c>
      <c r="AD2262" s="127"/>
      <c r="AE2262" s="40" t="s">
        <v>6160</v>
      </c>
      <c r="AF2262" s="167"/>
      <c r="AG2262" s="168"/>
      <c r="AH2262" s="169"/>
      <c r="AI2262" s="167"/>
      <c r="AJ2262" s="271"/>
      <c r="AK2262" s="15"/>
      <c r="AL2262" s="15"/>
    </row>
    <row r="2263" spans="1:38" ht="15.5" x14ac:dyDescent="0.3">
      <c r="A2263" s="179"/>
      <c r="B2263" s="155"/>
      <c r="C2263" s="156"/>
      <c r="D2263" s="157"/>
      <c r="E2263" s="63"/>
      <c r="F2263" s="155"/>
      <c r="G2263" s="156"/>
      <c r="H2263" s="157"/>
      <c r="I2263" s="104"/>
      <c r="J2263" s="105"/>
      <c r="K2263" s="104"/>
      <c r="L2263" s="105"/>
      <c r="M2263" s="322"/>
      <c r="N2263" s="324"/>
      <c r="O2263" s="323"/>
      <c r="P2263" s="322"/>
      <c r="Q2263" s="323"/>
      <c r="R2263" s="231"/>
      <c r="S2263" s="232"/>
      <c r="T2263" s="231"/>
      <c r="U2263" s="232"/>
      <c r="V2263" s="280"/>
      <c r="W2263" s="281"/>
      <c r="X2263" s="247"/>
      <c r="Y2263" s="248"/>
      <c r="Z2263" s="249"/>
      <c r="AA2263" s="104"/>
      <c r="AB2263" s="105"/>
      <c r="AC2263" s="126" t="s">
        <v>2211</v>
      </c>
      <c r="AD2263" s="127"/>
      <c r="AE2263" s="40" t="s">
        <v>6161</v>
      </c>
      <c r="AF2263" s="167"/>
      <c r="AG2263" s="168"/>
      <c r="AH2263" s="169"/>
      <c r="AI2263" s="167"/>
      <c r="AJ2263" s="271"/>
      <c r="AK2263" s="15"/>
      <c r="AL2263" s="15"/>
    </row>
    <row r="2264" spans="1:38" ht="15.5" x14ac:dyDescent="0.35">
      <c r="A2264" s="179"/>
      <c r="B2264" s="121"/>
      <c r="C2264" s="122"/>
      <c r="D2264" s="123"/>
      <c r="E2264" s="58"/>
      <c r="F2264" s="121"/>
      <c r="G2264" s="122"/>
      <c r="H2264" s="123"/>
      <c r="I2264" s="121"/>
      <c r="J2264" s="123"/>
      <c r="K2264" s="121"/>
      <c r="L2264" s="123"/>
      <c r="M2264" s="319"/>
      <c r="N2264" s="321"/>
      <c r="O2264" s="320"/>
      <c r="P2264" s="319"/>
      <c r="Q2264" s="320"/>
      <c r="R2264" s="121"/>
      <c r="S2264" s="123"/>
      <c r="T2264" s="121"/>
      <c r="U2264" s="123"/>
      <c r="V2264" s="319"/>
      <c r="W2264" s="320"/>
      <c r="X2264" s="140"/>
      <c r="Y2264" s="141"/>
      <c r="Z2264" s="142"/>
      <c r="AA2264" s="121"/>
      <c r="AB2264" s="123"/>
      <c r="AC2264" s="155" t="s">
        <v>6162</v>
      </c>
      <c r="AD2264" s="157"/>
      <c r="AE2264" s="58"/>
      <c r="AF2264" s="167"/>
      <c r="AG2264" s="168"/>
      <c r="AH2264" s="169"/>
      <c r="AI2264" s="167"/>
      <c r="AJ2264" s="48"/>
      <c r="AK2264" s="15"/>
      <c r="AL2264" s="15"/>
    </row>
    <row r="2265" spans="1:38" ht="15.5" x14ac:dyDescent="0.35">
      <c r="A2265" s="179"/>
      <c r="B2265" s="135"/>
      <c r="C2265" s="136"/>
      <c r="D2265" s="136"/>
      <c r="E2265" s="39"/>
      <c r="F2265" s="135"/>
      <c r="G2265" s="136"/>
      <c r="H2265" s="136"/>
      <c r="I2265" s="106"/>
      <c r="J2265" s="106"/>
      <c r="K2265" s="106"/>
      <c r="L2265" s="106"/>
      <c r="M2265" s="106"/>
      <c r="N2265" s="106"/>
      <c r="O2265" s="106"/>
      <c r="P2265" s="106"/>
      <c r="Q2265" s="94"/>
      <c r="R2265" s="135"/>
      <c r="S2265" s="136"/>
      <c r="T2265" s="106"/>
      <c r="U2265" s="106"/>
      <c r="V2265" s="106"/>
      <c r="W2265" s="106"/>
      <c r="X2265" s="106"/>
      <c r="Y2265" s="106"/>
      <c r="Z2265" s="106"/>
      <c r="AA2265" s="106"/>
      <c r="AB2265" s="94"/>
      <c r="AC2265" s="126" t="s">
        <v>6163</v>
      </c>
      <c r="AD2265" s="127"/>
      <c r="AE2265" s="128"/>
      <c r="AF2265" s="167"/>
      <c r="AG2265" s="168"/>
      <c r="AH2265" s="169"/>
      <c r="AI2265" s="167"/>
      <c r="AJ2265" s="48"/>
      <c r="AK2265" s="15"/>
      <c r="AL2265" s="15"/>
    </row>
    <row r="2266" spans="1:38" ht="15.5" x14ac:dyDescent="0.35">
      <c r="A2266" s="179"/>
      <c r="B2266" s="135"/>
      <c r="C2266" s="136"/>
      <c r="D2266" s="136"/>
      <c r="E2266" s="57"/>
      <c r="F2266" s="135"/>
      <c r="G2266" s="136"/>
      <c r="H2266" s="136"/>
      <c r="I2266" s="119"/>
      <c r="J2266" s="120"/>
      <c r="K2266" s="119"/>
      <c r="L2266" s="120"/>
      <c r="M2266" s="316"/>
      <c r="N2266" s="317"/>
      <c r="O2266" s="318"/>
      <c r="P2266" s="316"/>
      <c r="Q2266" s="318"/>
      <c r="R2266" s="135"/>
      <c r="S2266" s="136"/>
      <c r="T2266" s="119"/>
      <c r="U2266" s="120"/>
      <c r="V2266" s="316"/>
      <c r="W2266" s="318"/>
      <c r="X2266" s="129"/>
      <c r="Y2266" s="130"/>
      <c r="Z2266" s="131"/>
      <c r="AA2266" s="119"/>
      <c r="AB2266" s="120"/>
      <c r="AC2266" s="126"/>
      <c r="AD2266" s="127"/>
      <c r="AE2266" s="128"/>
      <c r="AF2266" s="167"/>
      <c r="AG2266" s="168"/>
      <c r="AH2266" s="169"/>
      <c r="AI2266" s="167"/>
      <c r="AJ2266" s="48"/>
      <c r="AK2266" s="15"/>
      <c r="AL2266" s="15"/>
    </row>
    <row r="2267" spans="1:38" ht="45" x14ac:dyDescent="0.3">
      <c r="A2267" s="230"/>
      <c r="B2267" s="151"/>
      <c r="C2267" s="159"/>
      <c r="D2267" s="152"/>
      <c r="E2267" s="41" t="s">
        <v>6164</v>
      </c>
      <c r="F2267" s="151"/>
      <c r="G2267" s="159"/>
      <c r="H2267" s="152"/>
      <c r="I2267" s="146" t="s">
        <v>6154</v>
      </c>
      <c r="J2267" s="148"/>
      <c r="K2267" s="146" t="s">
        <v>5065</v>
      </c>
      <c r="L2267" s="148"/>
      <c r="M2267" s="309">
        <v>28</v>
      </c>
      <c r="N2267" s="315"/>
      <c r="O2267" s="310"/>
      <c r="P2267" s="309">
        <v>2</v>
      </c>
      <c r="Q2267" s="310"/>
      <c r="R2267" s="206">
        <v>5</v>
      </c>
      <c r="S2267" s="207"/>
      <c r="T2267" s="206">
        <v>3</v>
      </c>
      <c r="U2267" s="207"/>
      <c r="V2267" s="210" t="s">
        <v>6159</v>
      </c>
      <c r="W2267" s="211"/>
      <c r="X2267" s="244">
        <v>53</v>
      </c>
      <c r="Y2267" s="245"/>
      <c r="Z2267" s="246"/>
      <c r="AA2267" s="146" t="s">
        <v>1342</v>
      </c>
      <c r="AB2267" s="148"/>
      <c r="AC2267" s="151"/>
      <c r="AD2267" s="152"/>
      <c r="AE2267" s="50"/>
      <c r="AF2267" s="214"/>
      <c r="AG2267" s="215"/>
      <c r="AH2267" s="216"/>
      <c r="AI2267" s="214"/>
      <c r="AJ2267" s="48"/>
      <c r="AK2267" s="15"/>
      <c r="AL2267" s="15"/>
    </row>
    <row r="2268" spans="1:38" ht="76" x14ac:dyDescent="0.35">
      <c r="A2268" s="178"/>
      <c r="B2268" s="119"/>
      <c r="C2268" s="139"/>
      <c r="D2268" s="120"/>
      <c r="E2268" s="28" t="s">
        <v>6165</v>
      </c>
      <c r="F2268" s="119"/>
      <c r="G2268" s="139"/>
      <c r="H2268" s="120"/>
      <c r="I2268" s="183">
        <v>8</v>
      </c>
      <c r="J2268" s="185"/>
      <c r="K2268" s="143" t="s">
        <v>6145</v>
      </c>
      <c r="L2268" s="145"/>
      <c r="M2268" s="114" t="s">
        <v>1142</v>
      </c>
      <c r="N2268" s="115"/>
      <c r="O2268" s="116"/>
      <c r="P2268" s="285">
        <v>4</v>
      </c>
      <c r="Q2268" s="286"/>
      <c r="R2268" s="204">
        <v>15</v>
      </c>
      <c r="S2268" s="205"/>
      <c r="T2268" s="183">
        <v>10</v>
      </c>
      <c r="U2268" s="185"/>
      <c r="V2268" s="173" t="s">
        <v>6166</v>
      </c>
      <c r="W2268" s="174"/>
      <c r="X2268" s="129"/>
      <c r="Y2268" s="130"/>
      <c r="Z2268" s="131"/>
      <c r="AA2268" s="119"/>
      <c r="AB2268" s="120"/>
      <c r="AC2268" s="303" t="s">
        <v>3194</v>
      </c>
      <c r="AD2268" s="304"/>
      <c r="AE2268" s="57"/>
      <c r="AF2268" s="164"/>
      <c r="AG2268" s="165"/>
      <c r="AH2268" s="166"/>
      <c r="AI2268" s="35" t="s">
        <v>6147</v>
      </c>
      <c r="AJ2268" s="48"/>
      <c r="AK2268" s="15"/>
      <c r="AL2268" s="15"/>
    </row>
    <row r="2269" spans="1:38" ht="60" x14ac:dyDescent="0.35">
      <c r="A2269" s="179"/>
      <c r="B2269" s="121"/>
      <c r="C2269" s="122"/>
      <c r="D2269" s="123"/>
      <c r="E2269" s="28" t="s">
        <v>6170</v>
      </c>
      <c r="F2269" s="121"/>
      <c r="G2269" s="122"/>
      <c r="H2269" s="123"/>
      <c r="I2269" s="183">
        <v>8</v>
      </c>
      <c r="J2269" s="185"/>
      <c r="K2269" s="104" t="s">
        <v>6145</v>
      </c>
      <c r="L2269" s="105"/>
      <c r="M2269" s="114" t="s">
        <v>1142</v>
      </c>
      <c r="N2269" s="115"/>
      <c r="O2269" s="116"/>
      <c r="P2269" s="285">
        <v>4</v>
      </c>
      <c r="Q2269" s="286"/>
      <c r="R2269" s="231">
        <v>15</v>
      </c>
      <c r="S2269" s="232"/>
      <c r="T2269" s="183">
        <v>10</v>
      </c>
      <c r="U2269" s="185"/>
      <c r="V2269" s="173" t="s">
        <v>6166</v>
      </c>
      <c r="W2269" s="174"/>
      <c r="X2269" s="140"/>
      <c r="Y2269" s="141"/>
      <c r="Z2269" s="142"/>
      <c r="AA2269" s="121"/>
      <c r="AB2269" s="123"/>
      <c r="AC2269" s="292" t="s">
        <v>6167</v>
      </c>
      <c r="AD2269" s="293"/>
      <c r="AE2269" s="58"/>
      <c r="AF2269" s="167"/>
      <c r="AG2269" s="168"/>
      <c r="AH2269" s="169"/>
      <c r="AI2269" s="36" t="s">
        <v>681</v>
      </c>
      <c r="AJ2269" s="48"/>
      <c r="AK2269" s="15"/>
      <c r="AL2269" s="15"/>
    </row>
    <row r="2270" spans="1:38" ht="76" x14ac:dyDescent="0.35">
      <c r="A2270" s="179"/>
      <c r="B2270" s="121"/>
      <c r="C2270" s="122"/>
      <c r="D2270" s="123"/>
      <c r="E2270" s="28" t="s">
        <v>6171</v>
      </c>
      <c r="F2270" s="121"/>
      <c r="G2270" s="122"/>
      <c r="H2270" s="123"/>
      <c r="I2270" s="183">
        <v>8</v>
      </c>
      <c r="J2270" s="185"/>
      <c r="K2270" s="104" t="s">
        <v>6145</v>
      </c>
      <c r="L2270" s="105"/>
      <c r="M2270" s="114" t="s">
        <v>1142</v>
      </c>
      <c r="N2270" s="115"/>
      <c r="O2270" s="116"/>
      <c r="P2270" s="285">
        <v>4</v>
      </c>
      <c r="Q2270" s="286"/>
      <c r="R2270" s="231">
        <v>15</v>
      </c>
      <c r="S2270" s="232"/>
      <c r="T2270" s="183">
        <v>10</v>
      </c>
      <c r="U2270" s="185"/>
      <c r="V2270" s="173" t="s">
        <v>6166</v>
      </c>
      <c r="W2270" s="174"/>
      <c r="X2270" s="140"/>
      <c r="Y2270" s="141"/>
      <c r="Z2270" s="142"/>
      <c r="AA2270" s="121"/>
      <c r="AB2270" s="123"/>
      <c r="AC2270" s="292" t="s">
        <v>2211</v>
      </c>
      <c r="AD2270" s="293"/>
      <c r="AE2270" s="58"/>
      <c r="AF2270" s="167"/>
      <c r="AG2270" s="168"/>
      <c r="AH2270" s="169"/>
      <c r="AI2270" s="36" t="s">
        <v>6169</v>
      </c>
      <c r="AJ2270" s="48"/>
      <c r="AK2270" s="15"/>
      <c r="AL2270" s="15"/>
    </row>
    <row r="2271" spans="1:38" ht="61" x14ac:dyDescent="0.35">
      <c r="A2271" s="179"/>
      <c r="B2271" s="121"/>
      <c r="C2271" s="122"/>
      <c r="D2271" s="123"/>
      <c r="E2271" s="28" t="s">
        <v>6172</v>
      </c>
      <c r="F2271" s="121"/>
      <c r="G2271" s="122"/>
      <c r="H2271" s="123"/>
      <c r="I2271" s="183">
        <v>8</v>
      </c>
      <c r="J2271" s="185"/>
      <c r="K2271" s="104" t="s">
        <v>6145</v>
      </c>
      <c r="L2271" s="105"/>
      <c r="M2271" s="114" t="s">
        <v>1142</v>
      </c>
      <c r="N2271" s="115"/>
      <c r="O2271" s="116"/>
      <c r="P2271" s="285">
        <v>4</v>
      </c>
      <c r="Q2271" s="286"/>
      <c r="R2271" s="231">
        <v>15</v>
      </c>
      <c r="S2271" s="232"/>
      <c r="T2271" s="183">
        <v>10</v>
      </c>
      <c r="U2271" s="185"/>
      <c r="V2271" s="173" t="s">
        <v>6166</v>
      </c>
      <c r="W2271" s="174"/>
      <c r="X2271" s="140"/>
      <c r="Y2271" s="141"/>
      <c r="Z2271" s="142"/>
      <c r="AA2271" s="121"/>
      <c r="AB2271" s="123"/>
      <c r="AC2271" s="292" t="s">
        <v>6168</v>
      </c>
      <c r="AD2271" s="293"/>
      <c r="AE2271" s="58"/>
      <c r="AF2271" s="167"/>
      <c r="AG2271" s="168"/>
      <c r="AH2271" s="169"/>
      <c r="AI2271" s="36"/>
      <c r="AJ2271" s="48"/>
      <c r="AK2271" s="15"/>
      <c r="AL2271" s="15"/>
    </row>
    <row r="2272" spans="1:38" ht="60" x14ac:dyDescent="0.35">
      <c r="A2272" s="179"/>
      <c r="B2272" s="121"/>
      <c r="C2272" s="122"/>
      <c r="D2272" s="123"/>
      <c r="E2272" s="28" t="s">
        <v>6173</v>
      </c>
      <c r="F2272" s="121"/>
      <c r="G2272" s="122"/>
      <c r="H2272" s="123"/>
      <c r="I2272" s="183">
        <v>8</v>
      </c>
      <c r="J2272" s="185"/>
      <c r="K2272" s="104" t="s">
        <v>6145</v>
      </c>
      <c r="L2272" s="105"/>
      <c r="M2272" s="114" t="s">
        <v>1142</v>
      </c>
      <c r="N2272" s="115"/>
      <c r="O2272" s="116"/>
      <c r="P2272" s="285">
        <v>4</v>
      </c>
      <c r="Q2272" s="286"/>
      <c r="R2272" s="231">
        <v>15</v>
      </c>
      <c r="S2272" s="232"/>
      <c r="T2272" s="183">
        <v>10</v>
      </c>
      <c r="U2272" s="185"/>
      <c r="V2272" s="173" t="s">
        <v>6166</v>
      </c>
      <c r="W2272" s="174"/>
      <c r="X2272" s="140"/>
      <c r="Y2272" s="141"/>
      <c r="Z2272" s="142"/>
      <c r="AA2272" s="121"/>
      <c r="AB2272" s="123"/>
      <c r="AC2272" s="292"/>
      <c r="AD2272" s="293"/>
      <c r="AE2272" s="58"/>
      <c r="AF2272" s="167"/>
      <c r="AG2272" s="168"/>
      <c r="AH2272" s="169"/>
      <c r="AI2272" s="36"/>
      <c r="AJ2272" s="48"/>
      <c r="AK2272" s="15"/>
      <c r="AL2272" s="15"/>
    </row>
    <row r="2273" spans="1:38" ht="60" x14ac:dyDescent="0.35">
      <c r="A2273" s="179"/>
      <c r="B2273" s="121"/>
      <c r="C2273" s="122"/>
      <c r="D2273" s="123"/>
      <c r="E2273" s="28" t="s">
        <v>6174</v>
      </c>
      <c r="F2273" s="121"/>
      <c r="G2273" s="122"/>
      <c r="H2273" s="123"/>
      <c r="I2273" s="183">
        <v>8</v>
      </c>
      <c r="J2273" s="185"/>
      <c r="K2273" s="104" t="s">
        <v>6145</v>
      </c>
      <c r="L2273" s="105"/>
      <c r="M2273" s="114" t="s">
        <v>1142</v>
      </c>
      <c r="N2273" s="115"/>
      <c r="O2273" s="116"/>
      <c r="P2273" s="285">
        <v>4</v>
      </c>
      <c r="Q2273" s="286"/>
      <c r="R2273" s="231">
        <v>15</v>
      </c>
      <c r="S2273" s="232"/>
      <c r="T2273" s="183">
        <v>10</v>
      </c>
      <c r="U2273" s="185"/>
      <c r="V2273" s="173" t="s">
        <v>6166</v>
      </c>
      <c r="W2273" s="174"/>
      <c r="X2273" s="140"/>
      <c r="Y2273" s="141"/>
      <c r="Z2273" s="142"/>
      <c r="AA2273" s="121"/>
      <c r="AB2273" s="123"/>
      <c r="AC2273" s="292"/>
      <c r="AD2273" s="293"/>
      <c r="AE2273" s="58"/>
      <c r="AF2273" s="167"/>
      <c r="AG2273" s="168"/>
      <c r="AH2273" s="169"/>
      <c r="AI2273" s="36"/>
      <c r="AJ2273" s="48"/>
      <c r="AK2273" s="15"/>
      <c r="AL2273" s="15"/>
    </row>
    <row r="2274" spans="1:38" ht="60" x14ac:dyDescent="0.25">
      <c r="A2274" s="179"/>
      <c r="B2274" s="135"/>
      <c r="C2274" s="136"/>
      <c r="D2274" s="137"/>
      <c r="E2274" s="28" t="s">
        <v>6175</v>
      </c>
      <c r="F2274" s="272" t="s">
        <v>6144</v>
      </c>
      <c r="G2274" s="282"/>
      <c r="H2274" s="273"/>
      <c r="I2274" s="183">
        <v>8</v>
      </c>
      <c r="J2274" s="185"/>
      <c r="K2274" s="104" t="s">
        <v>6145</v>
      </c>
      <c r="L2274" s="105"/>
      <c r="M2274" s="114" t="s">
        <v>1142</v>
      </c>
      <c r="N2274" s="115"/>
      <c r="O2274" s="116"/>
      <c r="P2274" s="285">
        <v>4</v>
      </c>
      <c r="Q2274" s="286"/>
      <c r="R2274" s="155">
        <v>15</v>
      </c>
      <c r="S2274" s="157"/>
      <c r="T2274" s="183">
        <v>10</v>
      </c>
      <c r="U2274" s="185"/>
      <c r="V2274" s="173" t="s">
        <v>6166</v>
      </c>
      <c r="W2274" s="174"/>
      <c r="X2274" s="311">
        <v>168</v>
      </c>
      <c r="Y2274" s="312"/>
      <c r="Z2274" s="313"/>
      <c r="AA2274" s="272" t="s">
        <v>1090</v>
      </c>
      <c r="AB2274" s="273"/>
      <c r="AC2274" s="292"/>
      <c r="AD2274" s="293"/>
      <c r="AE2274" s="128"/>
      <c r="AF2274" s="167"/>
      <c r="AG2274" s="168"/>
      <c r="AH2274" s="169"/>
      <c r="AI2274" s="36"/>
      <c r="AJ2274" s="48"/>
      <c r="AK2274" s="15"/>
      <c r="AL2274" s="15"/>
    </row>
    <row r="2275" spans="1:38" ht="60" x14ac:dyDescent="0.25">
      <c r="A2275" s="179"/>
      <c r="B2275" s="135"/>
      <c r="C2275" s="136"/>
      <c r="D2275" s="137"/>
      <c r="E2275" s="28" t="s">
        <v>6176</v>
      </c>
      <c r="F2275" s="272"/>
      <c r="G2275" s="282"/>
      <c r="H2275" s="273"/>
      <c r="I2275" s="183">
        <v>8</v>
      </c>
      <c r="J2275" s="185"/>
      <c r="K2275" s="104" t="s">
        <v>6145</v>
      </c>
      <c r="L2275" s="105"/>
      <c r="M2275" s="114" t="s">
        <v>1142</v>
      </c>
      <c r="N2275" s="115"/>
      <c r="O2275" s="116"/>
      <c r="P2275" s="285">
        <v>4</v>
      </c>
      <c r="Q2275" s="286"/>
      <c r="R2275" s="155">
        <v>15</v>
      </c>
      <c r="S2275" s="157"/>
      <c r="T2275" s="183">
        <v>10</v>
      </c>
      <c r="U2275" s="185"/>
      <c r="V2275" s="173" t="s">
        <v>6166</v>
      </c>
      <c r="W2275" s="174"/>
      <c r="X2275" s="311"/>
      <c r="Y2275" s="312"/>
      <c r="Z2275" s="313"/>
      <c r="AA2275" s="272"/>
      <c r="AB2275" s="273"/>
      <c r="AC2275" s="292"/>
      <c r="AD2275" s="293"/>
      <c r="AE2275" s="128"/>
      <c r="AF2275" s="167"/>
      <c r="AG2275" s="168"/>
      <c r="AH2275" s="169"/>
      <c r="AI2275" s="36"/>
      <c r="AJ2275" s="48"/>
      <c r="AK2275" s="15"/>
      <c r="AL2275" s="15"/>
    </row>
    <row r="2276" spans="1:38" ht="60" x14ac:dyDescent="0.35">
      <c r="A2276" s="179"/>
      <c r="B2276" s="121"/>
      <c r="C2276" s="122"/>
      <c r="D2276" s="123"/>
      <c r="E2276" s="28" t="s">
        <v>6177</v>
      </c>
      <c r="F2276" s="121"/>
      <c r="G2276" s="122"/>
      <c r="H2276" s="123"/>
      <c r="I2276" s="183">
        <v>8</v>
      </c>
      <c r="J2276" s="185"/>
      <c r="K2276" s="104" t="s">
        <v>6145</v>
      </c>
      <c r="L2276" s="105"/>
      <c r="M2276" s="114" t="s">
        <v>1142</v>
      </c>
      <c r="N2276" s="115"/>
      <c r="O2276" s="116"/>
      <c r="P2276" s="285">
        <v>4</v>
      </c>
      <c r="Q2276" s="286"/>
      <c r="R2276" s="231">
        <v>15</v>
      </c>
      <c r="S2276" s="232"/>
      <c r="T2276" s="183">
        <v>10</v>
      </c>
      <c r="U2276" s="185"/>
      <c r="V2276" s="173" t="s">
        <v>6166</v>
      </c>
      <c r="W2276" s="174"/>
      <c r="X2276" s="140"/>
      <c r="Y2276" s="141"/>
      <c r="Z2276" s="142"/>
      <c r="AA2276" s="121"/>
      <c r="AB2276" s="123"/>
      <c r="AC2276" s="292"/>
      <c r="AD2276" s="293"/>
      <c r="AE2276" s="58"/>
      <c r="AF2276" s="167"/>
      <c r="AG2276" s="168"/>
      <c r="AH2276" s="169"/>
      <c r="AI2276" s="36"/>
      <c r="AJ2276" s="48"/>
      <c r="AK2276" s="15"/>
      <c r="AL2276" s="15"/>
    </row>
    <row r="2277" spans="1:38" ht="60" x14ac:dyDescent="0.35">
      <c r="A2277" s="179"/>
      <c r="B2277" s="121"/>
      <c r="C2277" s="122"/>
      <c r="D2277" s="123"/>
      <c r="E2277" s="28" t="s">
        <v>6178</v>
      </c>
      <c r="F2277" s="121"/>
      <c r="G2277" s="122"/>
      <c r="H2277" s="123"/>
      <c r="I2277" s="183">
        <v>8</v>
      </c>
      <c r="J2277" s="185"/>
      <c r="K2277" s="104" t="s">
        <v>6145</v>
      </c>
      <c r="L2277" s="105"/>
      <c r="M2277" s="114" t="s">
        <v>1142</v>
      </c>
      <c r="N2277" s="115"/>
      <c r="O2277" s="116"/>
      <c r="P2277" s="285">
        <v>4</v>
      </c>
      <c r="Q2277" s="286"/>
      <c r="R2277" s="231">
        <v>15</v>
      </c>
      <c r="S2277" s="232"/>
      <c r="T2277" s="183">
        <v>10</v>
      </c>
      <c r="U2277" s="185"/>
      <c r="V2277" s="173" t="s">
        <v>6166</v>
      </c>
      <c r="W2277" s="174"/>
      <c r="X2277" s="140"/>
      <c r="Y2277" s="141"/>
      <c r="Z2277" s="142"/>
      <c r="AA2277" s="121"/>
      <c r="AB2277" s="123"/>
      <c r="AC2277" s="292"/>
      <c r="AD2277" s="293"/>
      <c r="AE2277" s="58"/>
      <c r="AF2277" s="167"/>
      <c r="AG2277" s="168"/>
      <c r="AH2277" s="169"/>
      <c r="AI2277" s="36"/>
      <c r="AJ2277" s="48"/>
      <c r="AK2277" s="15"/>
      <c r="AL2277" s="15"/>
    </row>
    <row r="2278" spans="1:38" ht="60" x14ac:dyDescent="0.35">
      <c r="A2278" s="179"/>
      <c r="B2278" s="121"/>
      <c r="C2278" s="122"/>
      <c r="D2278" s="123"/>
      <c r="E2278" s="28" t="s">
        <v>6179</v>
      </c>
      <c r="F2278" s="121"/>
      <c r="G2278" s="122"/>
      <c r="H2278" s="123"/>
      <c r="I2278" s="183">
        <v>8</v>
      </c>
      <c r="J2278" s="185"/>
      <c r="K2278" s="104" t="s">
        <v>6145</v>
      </c>
      <c r="L2278" s="105"/>
      <c r="M2278" s="114" t="s">
        <v>1142</v>
      </c>
      <c r="N2278" s="115"/>
      <c r="O2278" s="116"/>
      <c r="P2278" s="285">
        <v>4</v>
      </c>
      <c r="Q2278" s="286"/>
      <c r="R2278" s="231">
        <v>15</v>
      </c>
      <c r="S2278" s="232"/>
      <c r="T2278" s="183">
        <v>10</v>
      </c>
      <c r="U2278" s="185"/>
      <c r="V2278" s="173" t="s">
        <v>6166</v>
      </c>
      <c r="W2278" s="174"/>
      <c r="X2278" s="140"/>
      <c r="Y2278" s="141"/>
      <c r="Z2278" s="142"/>
      <c r="AA2278" s="121"/>
      <c r="AB2278" s="123"/>
      <c r="AC2278" s="292"/>
      <c r="AD2278" s="293"/>
      <c r="AE2278" s="58"/>
      <c r="AF2278" s="167"/>
      <c r="AG2278" s="168"/>
      <c r="AH2278" s="169"/>
      <c r="AI2278" s="36"/>
      <c r="AJ2278" s="48"/>
      <c r="AK2278" s="15"/>
      <c r="AL2278" s="15"/>
    </row>
    <row r="2279" spans="1:38" ht="60" x14ac:dyDescent="0.35">
      <c r="A2279" s="179"/>
      <c r="B2279" s="121"/>
      <c r="C2279" s="122"/>
      <c r="D2279" s="123"/>
      <c r="E2279" s="28" t="s">
        <v>6180</v>
      </c>
      <c r="F2279" s="121"/>
      <c r="G2279" s="122"/>
      <c r="H2279" s="123"/>
      <c r="I2279" s="183">
        <v>8</v>
      </c>
      <c r="J2279" s="185"/>
      <c r="K2279" s="104" t="s">
        <v>6145</v>
      </c>
      <c r="L2279" s="105"/>
      <c r="M2279" s="114" t="s">
        <v>1142</v>
      </c>
      <c r="N2279" s="115"/>
      <c r="O2279" s="116"/>
      <c r="P2279" s="285">
        <v>4</v>
      </c>
      <c r="Q2279" s="286"/>
      <c r="R2279" s="231">
        <v>15</v>
      </c>
      <c r="S2279" s="232"/>
      <c r="T2279" s="183">
        <v>10</v>
      </c>
      <c r="U2279" s="185"/>
      <c r="V2279" s="173" t="s">
        <v>6166</v>
      </c>
      <c r="W2279" s="174"/>
      <c r="X2279" s="140"/>
      <c r="Y2279" s="141"/>
      <c r="Z2279" s="142"/>
      <c r="AA2279" s="121"/>
      <c r="AB2279" s="123"/>
      <c r="AC2279" s="292"/>
      <c r="AD2279" s="293"/>
      <c r="AE2279" s="58"/>
      <c r="AF2279" s="167"/>
      <c r="AG2279" s="168"/>
      <c r="AH2279" s="169"/>
      <c r="AI2279" s="36"/>
      <c r="AJ2279" s="48"/>
      <c r="AK2279" s="15"/>
      <c r="AL2279" s="15"/>
    </row>
    <row r="2280" spans="1:38" ht="60" x14ac:dyDescent="0.35">
      <c r="A2280" s="179"/>
      <c r="B2280" s="121"/>
      <c r="C2280" s="122"/>
      <c r="D2280" s="123"/>
      <c r="E2280" s="28" t="s">
        <v>6181</v>
      </c>
      <c r="F2280" s="121"/>
      <c r="G2280" s="122"/>
      <c r="H2280" s="123"/>
      <c r="I2280" s="183">
        <v>8</v>
      </c>
      <c r="J2280" s="185"/>
      <c r="K2280" s="104" t="s">
        <v>6145</v>
      </c>
      <c r="L2280" s="105"/>
      <c r="M2280" s="114" t="s">
        <v>1142</v>
      </c>
      <c r="N2280" s="115"/>
      <c r="O2280" s="116"/>
      <c r="P2280" s="285">
        <v>4</v>
      </c>
      <c r="Q2280" s="286"/>
      <c r="R2280" s="231">
        <v>15</v>
      </c>
      <c r="S2280" s="232"/>
      <c r="T2280" s="183">
        <v>10</v>
      </c>
      <c r="U2280" s="185"/>
      <c r="V2280" s="173" t="s">
        <v>6166</v>
      </c>
      <c r="W2280" s="174"/>
      <c r="X2280" s="140"/>
      <c r="Y2280" s="141"/>
      <c r="Z2280" s="142"/>
      <c r="AA2280" s="121"/>
      <c r="AB2280" s="123"/>
      <c r="AC2280" s="292"/>
      <c r="AD2280" s="293"/>
      <c r="AE2280" s="40" t="s">
        <v>4072</v>
      </c>
      <c r="AF2280" s="167"/>
      <c r="AG2280" s="168"/>
      <c r="AH2280" s="169"/>
      <c r="AI2280" s="36"/>
      <c r="AJ2280" s="48"/>
      <c r="AK2280" s="15"/>
      <c r="AL2280" s="15"/>
    </row>
    <row r="2281" spans="1:38" ht="30" x14ac:dyDescent="0.35">
      <c r="A2281" s="179"/>
      <c r="B2281" s="121"/>
      <c r="C2281" s="122"/>
      <c r="D2281" s="123"/>
      <c r="E2281" s="64" t="s">
        <v>6182</v>
      </c>
      <c r="F2281" s="121"/>
      <c r="G2281" s="122"/>
      <c r="H2281" s="123"/>
      <c r="I2281" s="204">
        <v>8</v>
      </c>
      <c r="J2281" s="205"/>
      <c r="K2281" s="104" t="s">
        <v>6145</v>
      </c>
      <c r="L2281" s="105"/>
      <c r="M2281" s="88" t="s">
        <v>1142</v>
      </c>
      <c r="N2281" s="153"/>
      <c r="O2281" s="89"/>
      <c r="P2281" s="307">
        <v>4</v>
      </c>
      <c r="Q2281" s="308"/>
      <c r="R2281" s="231">
        <v>15</v>
      </c>
      <c r="S2281" s="232"/>
      <c r="T2281" s="204">
        <v>10</v>
      </c>
      <c r="U2281" s="205"/>
      <c r="V2281" s="208" t="s">
        <v>6166</v>
      </c>
      <c r="W2281" s="209"/>
      <c r="X2281" s="140"/>
      <c r="Y2281" s="141"/>
      <c r="Z2281" s="142"/>
      <c r="AA2281" s="121"/>
      <c r="AB2281" s="123"/>
      <c r="AC2281" s="292"/>
      <c r="AD2281" s="293"/>
      <c r="AE2281" s="40" t="s">
        <v>6183</v>
      </c>
      <c r="AF2281" s="167"/>
      <c r="AG2281" s="168"/>
      <c r="AH2281" s="169"/>
      <c r="AI2281" s="36"/>
      <c r="AJ2281" s="48"/>
      <c r="AK2281" s="15"/>
      <c r="AL2281" s="15"/>
    </row>
    <row r="2282" spans="1:38" ht="45" x14ac:dyDescent="0.35">
      <c r="A2282" s="179"/>
      <c r="B2282" s="155" t="s">
        <v>6184</v>
      </c>
      <c r="C2282" s="156"/>
      <c r="D2282" s="157"/>
      <c r="E2282" s="65"/>
      <c r="F2282" s="93"/>
      <c r="G2282" s="106"/>
      <c r="H2282" s="94"/>
      <c r="I2282" s="206"/>
      <c r="J2282" s="207"/>
      <c r="K2282" s="93"/>
      <c r="L2282" s="94"/>
      <c r="M2282" s="117"/>
      <c r="N2282" s="154"/>
      <c r="O2282" s="118"/>
      <c r="P2282" s="309"/>
      <c r="Q2282" s="310"/>
      <c r="R2282" s="93"/>
      <c r="S2282" s="94"/>
      <c r="T2282" s="206"/>
      <c r="U2282" s="207"/>
      <c r="V2282" s="210"/>
      <c r="W2282" s="211"/>
      <c r="X2282" s="90"/>
      <c r="Y2282" s="91"/>
      <c r="Z2282" s="92"/>
      <c r="AA2282" s="93"/>
      <c r="AB2282" s="94"/>
      <c r="AC2282" s="292"/>
      <c r="AD2282" s="293"/>
      <c r="AE2282" s="40" t="s">
        <v>1356</v>
      </c>
      <c r="AF2282" s="167"/>
      <c r="AG2282" s="168"/>
      <c r="AH2282" s="169"/>
      <c r="AI2282" s="36"/>
      <c r="AJ2282" s="48"/>
      <c r="AK2282" s="15"/>
      <c r="AL2282" s="15"/>
    </row>
    <row r="2283" spans="1:38" ht="16" x14ac:dyDescent="0.35">
      <c r="A2283" s="179"/>
      <c r="B2283" s="121"/>
      <c r="C2283" s="122"/>
      <c r="D2283" s="123"/>
      <c r="E2283" s="61" t="s">
        <v>6185</v>
      </c>
      <c r="F2283" s="119"/>
      <c r="G2283" s="139"/>
      <c r="H2283" s="120"/>
      <c r="I2283" s="204">
        <v>12</v>
      </c>
      <c r="J2283" s="250"/>
      <c r="K2283" s="139"/>
      <c r="L2283" s="120"/>
      <c r="M2283" s="208" t="s">
        <v>6186</v>
      </c>
      <c r="N2283" s="283"/>
      <c r="O2283" s="209"/>
      <c r="P2283" s="307">
        <v>6</v>
      </c>
      <c r="Q2283" s="308"/>
      <c r="R2283" s="112">
        <v>25</v>
      </c>
      <c r="S2283" s="113"/>
      <c r="T2283" s="204">
        <v>10</v>
      </c>
      <c r="U2283" s="205"/>
      <c r="V2283" s="208" t="s">
        <v>6187</v>
      </c>
      <c r="W2283" s="283"/>
      <c r="X2283" s="139"/>
      <c r="Y2283" s="139"/>
      <c r="Z2283" s="139"/>
      <c r="AA2283" s="139"/>
      <c r="AB2283" s="120"/>
      <c r="AC2283" s="292"/>
      <c r="AD2283" s="314"/>
      <c r="AE2283" s="39"/>
      <c r="AF2283" s="167"/>
      <c r="AG2283" s="168"/>
      <c r="AH2283" s="169"/>
      <c r="AI2283" s="36"/>
      <c r="AJ2283" s="48"/>
      <c r="AK2283" s="15"/>
      <c r="AL2283" s="15"/>
    </row>
    <row r="2284" spans="1:38" ht="45" x14ac:dyDescent="0.35">
      <c r="A2284" s="179"/>
      <c r="B2284" s="121"/>
      <c r="C2284" s="122"/>
      <c r="D2284" s="123"/>
      <c r="E2284" s="62"/>
      <c r="F2284" s="121"/>
      <c r="G2284" s="122"/>
      <c r="H2284" s="123"/>
      <c r="I2284" s="206"/>
      <c r="J2284" s="251"/>
      <c r="K2284" s="126" t="s">
        <v>6151</v>
      </c>
      <c r="L2284" s="127"/>
      <c r="M2284" s="210"/>
      <c r="N2284" s="284"/>
      <c r="O2284" s="211"/>
      <c r="P2284" s="309"/>
      <c r="Q2284" s="310"/>
      <c r="R2284" s="155">
        <v>25</v>
      </c>
      <c r="S2284" s="157"/>
      <c r="T2284" s="206"/>
      <c r="U2284" s="207"/>
      <c r="V2284" s="210"/>
      <c r="W2284" s="284"/>
      <c r="X2284" s="140"/>
      <c r="Y2284" s="141"/>
      <c r="Z2284" s="142"/>
      <c r="AA2284" s="121"/>
      <c r="AB2284" s="123"/>
      <c r="AC2284" s="292"/>
      <c r="AD2284" s="293"/>
      <c r="AE2284" s="40" t="s">
        <v>6188</v>
      </c>
      <c r="AF2284" s="167"/>
      <c r="AG2284" s="168"/>
      <c r="AH2284" s="169"/>
      <c r="AI2284" s="36"/>
      <c r="AJ2284" s="48"/>
      <c r="AK2284" s="15"/>
      <c r="AL2284" s="15"/>
    </row>
    <row r="2285" spans="1:38" ht="60" x14ac:dyDescent="0.35">
      <c r="A2285" s="179"/>
      <c r="B2285" s="121"/>
      <c r="C2285" s="122"/>
      <c r="D2285" s="123"/>
      <c r="E2285" s="28" t="s">
        <v>6189</v>
      </c>
      <c r="F2285" s="121"/>
      <c r="G2285" s="122"/>
      <c r="H2285" s="123"/>
      <c r="I2285" s="183">
        <v>12</v>
      </c>
      <c r="J2285" s="185"/>
      <c r="K2285" s="126" t="s">
        <v>6151</v>
      </c>
      <c r="L2285" s="127"/>
      <c r="M2285" s="173" t="s">
        <v>6186</v>
      </c>
      <c r="N2285" s="276"/>
      <c r="O2285" s="174"/>
      <c r="P2285" s="285">
        <v>6</v>
      </c>
      <c r="Q2285" s="286"/>
      <c r="R2285" s="155">
        <v>25</v>
      </c>
      <c r="S2285" s="157"/>
      <c r="T2285" s="183">
        <v>10</v>
      </c>
      <c r="U2285" s="185"/>
      <c r="V2285" s="173" t="s">
        <v>6187</v>
      </c>
      <c r="W2285" s="174"/>
      <c r="X2285" s="140"/>
      <c r="Y2285" s="141"/>
      <c r="Z2285" s="142"/>
      <c r="AA2285" s="121"/>
      <c r="AB2285" s="123"/>
      <c r="AC2285" s="292"/>
      <c r="AD2285" s="293"/>
      <c r="AE2285" s="40" t="s">
        <v>6190</v>
      </c>
      <c r="AF2285" s="167"/>
      <c r="AG2285" s="168"/>
      <c r="AH2285" s="169"/>
      <c r="AI2285" s="36"/>
      <c r="AJ2285" s="48"/>
      <c r="AK2285" s="15"/>
      <c r="AL2285" s="15"/>
    </row>
    <row r="2286" spans="1:38" ht="60" x14ac:dyDescent="0.35">
      <c r="A2286" s="179"/>
      <c r="B2286" s="121"/>
      <c r="C2286" s="122"/>
      <c r="D2286" s="123"/>
      <c r="E2286" s="28" t="s">
        <v>6191</v>
      </c>
      <c r="F2286" s="121"/>
      <c r="G2286" s="122"/>
      <c r="H2286" s="123"/>
      <c r="I2286" s="183">
        <v>12</v>
      </c>
      <c r="J2286" s="185"/>
      <c r="K2286" s="126" t="s">
        <v>6151</v>
      </c>
      <c r="L2286" s="127"/>
      <c r="M2286" s="173" t="s">
        <v>6186</v>
      </c>
      <c r="N2286" s="276"/>
      <c r="O2286" s="174"/>
      <c r="P2286" s="285">
        <v>6</v>
      </c>
      <c r="Q2286" s="286"/>
      <c r="R2286" s="155">
        <v>25</v>
      </c>
      <c r="S2286" s="157"/>
      <c r="T2286" s="183">
        <v>10</v>
      </c>
      <c r="U2286" s="185"/>
      <c r="V2286" s="173" t="s">
        <v>6187</v>
      </c>
      <c r="W2286" s="174"/>
      <c r="X2286" s="140"/>
      <c r="Y2286" s="141"/>
      <c r="Z2286" s="142"/>
      <c r="AA2286" s="121"/>
      <c r="AB2286" s="123"/>
      <c r="AC2286" s="292"/>
      <c r="AD2286" s="293"/>
      <c r="AE2286" s="58"/>
      <c r="AF2286" s="167"/>
      <c r="AG2286" s="168"/>
      <c r="AH2286" s="169"/>
      <c r="AI2286" s="36"/>
      <c r="AJ2286" s="48"/>
      <c r="AK2286" s="15"/>
      <c r="AL2286" s="15"/>
    </row>
    <row r="2287" spans="1:38" ht="60" x14ac:dyDescent="0.35">
      <c r="A2287" s="179"/>
      <c r="B2287" s="121"/>
      <c r="C2287" s="122"/>
      <c r="D2287" s="123"/>
      <c r="E2287" s="28" t="s">
        <v>6192</v>
      </c>
      <c r="F2287" s="121"/>
      <c r="G2287" s="122"/>
      <c r="H2287" s="123"/>
      <c r="I2287" s="183">
        <v>12</v>
      </c>
      <c r="J2287" s="185"/>
      <c r="K2287" s="126" t="s">
        <v>6151</v>
      </c>
      <c r="L2287" s="127"/>
      <c r="M2287" s="173" t="s">
        <v>6186</v>
      </c>
      <c r="N2287" s="276"/>
      <c r="O2287" s="174"/>
      <c r="P2287" s="285">
        <v>6</v>
      </c>
      <c r="Q2287" s="286"/>
      <c r="R2287" s="155">
        <v>25</v>
      </c>
      <c r="S2287" s="157"/>
      <c r="T2287" s="183">
        <v>10</v>
      </c>
      <c r="U2287" s="185"/>
      <c r="V2287" s="173" t="s">
        <v>6187</v>
      </c>
      <c r="W2287" s="174"/>
      <c r="X2287" s="140"/>
      <c r="Y2287" s="141"/>
      <c r="Z2287" s="142"/>
      <c r="AA2287" s="121"/>
      <c r="AB2287" s="123"/>
      <c r="AC2287" s="292"/>
      <c r="AD2287" s="293"/>
      <c r="AE2287" s="58"/>
      <c r="AF2287" s="167"/>
      <c r="AG2287" s="168"/>
      <c r="AH2287" s="169"/>
      <c r="AI2287" s="36"/>
      <c r="AJ2287" s="48"/>
      <c r="AK2287" s="15"/>
      <c r="AL2287" s="15"/>
    </row>
    <row r="2288" spans="1:38" ht="60" x14ac:dyDescent="0.35">
      <c r="A2288" s="179"/>
      <c r="B2288" s="121"/>
      <c r="C2288" s="122"/>
      <c r="D2288" s="123"/>
      <c r="E2288" s="28" t="s">
        <v>6193</v>
      </c>
      <c r="F2288" s="121"/>
      <c r="G2288" s="122"/>
      <c r="H2288" s="123"/>
      <c r="I2288" s="183">
        <v>12</v>
      </c>
      <c r="J2288" s="185"/>
      <c r="K2288" s="126" t="s">
        <v>6151</v>
      </c>
      <c r="L2288" s="127"/>
      <c r="M2288" s="173" t="s">
        <v>6186</v>
      </c>
      <c r="N2288" s="276"/>
      <c r="O2288" s="174"/>
      <c r="P2288" s="285">
        <v>6</v>
      </c>
      <c r="Q2288" s="286"/>
      <c r="R2288" s="155">
        <v>25</v>
      </c>
      <c r="S2288" s="157"/>
      <c r="T2288" s="183">
        <v>10</v>
      </c>
      <c r="U2288" s="185"/>
      <c r="V2288" s="173" t="s">
        <v>6187</v>
      </c>
      <c r="W2288" s="174"/>
      <c r="X2288" s="140"/>
      <c r="Y2288" s="141"/>
      <c r="Z2288" s="142"/>
      <c r="AA2288" s="121"/>
      <c r="AB2288" s="123"/>
      <c r="AC2288" s="292"/>
      <c r="AD2288" s="293"/>
      <c r="AE2288" s="58"/>
      <c r="AF2288" s="167"/>
      <c r="AG2288" s="168"/>
      <c r="AH2288" s="169"/>
      <c r="AI2288" s="36"/>
      <c r="AJ2288" s="48"/>
      <c r="AK2288" s="15"/>
      <c r="AL2288" s="15"/>
    </row>
    <row r="2289" spans="1:38" ht="60" x14ac:dyDescent="0.35">
      <c r="A2289" s="179"/>
      <c r="B2289" s="121"/>
      <c r="C2289" s="122"/>
      <c r="D2289" s="123"/>
      <c r="E2289" s="28" t="s">
        <v>6194</v>
      </c>
      <c r="F2289" s="121"/>
      <c r="G2289" s="122"/>
      <c r="H2289" s="123"/>
      <c r="I2289" s="183">
        <v>12</v>
      </c>
      <c r="J2289" s="185"/>
      <c r="K2289" s="126" t="s">
        <v>6151</v>
      </c>
      <c r="L2289" s="127"/>
      <c r="M2289" s="173" t="s">
        <v>6186</v>
      </c>
      <c r="N2289" s="276"/>
      <c r="O2289" s="174"/>
      <c r="P2289" s="285">
        <v>6</v>
      </c>
      <c r="Q2289" s="286"/>
      <c r="R2289" s="155">
        <v>25</v>
      </c>
      <c r="S2289" s="157"/>
      <c r="T2289" s="183">
        <v>10</v>
      </c>
      <c r="U2289" s="185"/>
      <c r="V2289" s="173" t="s">
        <v>6187</v>
      </c>
      <c r="W2289" s="174"/>
      <c r="X2289" s="140"/>
      <c r="Y2289" s="141"/>
      <c r="Z2289" s="142"/>
      <c r="AA2289" s="121"/>
      <c r="AB2289" s="123"/>
      <c r="AC2289" s="292"/>
      <c r="AD2289" s="293"/>
      <c r="AE2289" s="58"/>
      <c r="AF2289" s="167"/>
      <c r="AG2289" s="168"/>
      <c r="AH2289" s="169"/>
      <c r="AI2289" s="36"/>
      <c r="AJ2289" s="48"/>
      <c r="AK2289" s="15"/>
      <c r="AL2289" s="15"/>
    </row>
    <row r="2290" spans="1:38" ht="60" x14ac:dyDescent="0.25">
      <c r="A2290" s="179"/>
      <c r="B2290" s="135"/>
      <c r="C2290" s="136"/>
      <c r="D2290" s="137"/>
      <c r="E2290" s="28" t="s">
        <v>6195</v>
      </c>
      <c r="F2290" s="272" t="s">
        <v>6150</v>
      </c>
      <c r="G2290" s="282"/>
      <c r="H2290" s="273"/>
      <c r="I2290" s="183">
        <v>12</v>
      </c>
      <c r="J2290" s="185"/>
      <c r="K2290" s="126" t="s">
        <v>6151</v>
      </c>
      <c r="L2290" s="127"/>
      <c r="M2290" s="173" t="s">
        <v>6186</v>
      </c>
      <c r="N2290" s="276"/>
      <c r="O2290" s="174"/>
      <c r="P2290" s="285">
        <v>6</v>
      </c>
      <c r="Q2290" s="286"/>
      <c r="R2290" s="155">
        <v>25</v>
      </c>
      <c r="S2290" s="157"/>
      <c r="T2290" s="183">
        <v>10</v>
      </c>
      <c r="U2290" s="185"/>
      <c r="V2290" s="173" t="s">
        <v>6187</v>
      </c>
      <c r="W2290" s="174"/>
      <c r="X2290" s="247">
        <v>198</v>
      </c>
      <c r="Y2290" s="248"/>
      <c r="Z2290" s="249"/>
      <c r="AA2290" s="272" t="s">
        <v>1338</v>
      </c>
      <c r="AB2290" s="273"/>
      <c r="AC2290" s="292"/>
      <c r="AD2290" s="293"/>
      <c r="AE2290" s="128"/>
      <c r="AF2290" s="167"/>
      <c r="AG2290" s="168"/>
      <c r="AH2290" s="169"/>
      <c r="AI2290" s="36"/>
      <c r="AJ2290" s="48"/>
      <c r="AK2290" s="15"/>
      <c r="AL2290" s="15"/>
    </row>
    <row r="2291" spans="1:38" ht="60" x14ac:dyDescent="0.25">
      <c r="A2291" s="179"/>
      <c r="B2291" s="135"/>
      <c r="C2291" s="136"/>
      <c r="D2291" s="137"/>
      <c r="E2291" s="28" t="s">
        <v>6196</v>
      </c>
      <c r="F2291" s="272"/>
      <c r="G2291" s="282"/>
      <c r="H2291" s="273"/>
      <c r="I2291" s="183">
        <v>12</v>
      </c>
      <c r="J2291" s="185"/>
      <c r="K2291" s="126" t="s">
        <v>6151</v>
      </c>
      <c r="L2291" s="127"/>
      <c r="M2291" s="173" t="s">
        <v>6186</v>
      </c>
      <c r="N2291" s="276"/>
      <c r="O2291" s="174"/>
      <c r="P2291" s="285">
        <v>6</v>
      </c>
      <c r="Q2291" s="286"/>
      <c r="R2291" s="155">
        <v>25</v>
      </c>
      <c r="S2291" s="157"/>
      <c r="T2291" s="183">
        <v>10</v>
      </c>
      <c r="U2291" s="185"/>
      <c r="V2291" s="173" t="s">
        <v>6187</v>
      </c>
      <c r="W2291" s="174"/>
      <c r="X2291" s="247"/>
      <c r="Y2291" s="248"/>
      <c r="Z2291" s="249"/>
      <c r="AA2291" s="272"/>
      <c r="AB2291" s="273"/>
      <c r="AC2291" s="292"/>
      <c r="AD2291" s="293"/>
      <c r="AE2291" s="128"/>
      <c r="AF2291" s="167"/>
      <c r="AG2291" s="168"/>
      <c r="AH2291" s="169"/>
      <c r="AI2291" s="36"/>
      <c r="AJ2291" s="48"/>
      <c r="AK2291" s="15"/>
      <c r="AL2291" s="15"/>
    </row>
    <row r="2292" spans="1:38" ht="60" x14ac:dyDescent="0.35">
      <c r="A2292" s="179"/>
      <c r="B2292" s="121"/>
      <c r="C2292" s="122"/>
      <c r="D2292" s="123"/>
      <c r="E2292" s="28" t="s">
        <v>6197</v>
      </c>
      <c r="F2292" s="121"/>
      <c r="G2292" s="122"/>
      <c r="H2292" s="123"/>
      <c r="I2292" s="183">
        <v>12</v>
      </c>
      <c r="J2292" s="185"/>
      <c r="K2292" s="126" t="s">
        <v>6151</v>
      </c>
      <c r="L2292" s="127"/>
      <c r="M2292" s="173" t="s">
        <v>6186</v>
      </c>
      <c r="N2292" s="276"/>
      <c r="O2292" s="174"/>
      <c r="P2292" s="285">
        <v>6</v>
      </c>
      <c r="Q2292" s="286"/>
      <c r="R2292" s="155">
        <v>25</v>
      </c>
      <c r="S2292" s="157"/>
      <c r="T2292" s="183">
        <v>10</v>
      </c>
      <c r="U2292" s="185"/>
      <c r="V2292" s="173" t="s">
        <v>6187</v>
      </c>
      <c r="W2292" s="174"/>
      <c r="X2292" s="140"/>
      <c r="Y2292" s="141"/>
      <c r="Z2292" s="142"/>
      <c r="AA2292" s="121"/>
      <c r="AB2292" s="123"/>
      <c r="AC2292" s="292"/>
      <c r="AD2292" s="293"/>
      <c r="AE2292" s="58"/>
      <c r="AF2292" s="167"/>
      <c r="AG2292" s="168"/>
      <c r="AH2292" s="169"/>
      <c r="AI2292" s="36"/>
      <c r="AJ2292" s="48"/>
      <c r="AK2292" s="15"/>
      <c r="AL2292" s="15"/>
    </row>
    <row r="2293" spans="1:38" ht="60" x14ac:dyDescent="0.35">
      <c r="A2293" s="179"/>
      <c r="B2293" s="121"/>
      <c r="C2293" s="122"/>
      <c r="D2293" s="123"/>
      <c r="E2293" s="28" t="s">
        <v>6198</v>
      </c>
      <c r="F2293" s="121"/>
      <c r="G2293" s="122"/>
      <c r="H2293" s="123"/>
      <c r="I2293" s="183">
        <v>12</v>
      </c>
      <c r="J2293" s="185"/>
      <c r="K2293" s="126" t="s">
        <v>6151</v>
      </c>
      <c r="L2293" s="127"/>
      <c r="M2293" s="173" t="s">
        <v>6186</v>
      </c>
      <c r="N2293" s="276"/>
      <c r="O2293" s="174"/>
      <c r="P2293" s="285">
        <v>6</v>
      </c>
      <c r="Q2293" s="286"/>
      <c r="R2293" s="155">
        <v>25</v>
      </c>
      <c r="S2293" s="157"/>
      <c r="T2293" s="183">
        <v>10</v>
      </c>
      <c r="U2293" s="185"/>
      <c r="V2293" s="173" t="s">
        <v>6187</v>
      </c>
      <c r="W2293" s="174"/>
      <c r="X2293" s="140"/>
      <c r="Y2293" s="141"/>
      <c r="Z2293" s="142"/>
      <c r="AA2293" s="121"/>
      <c r="AB2293" s="123"/>
      <c r="AC2293" s="292"/>
      <c r="AD2293" s="293"/>
      <c r="AE2293" s="58"/>
      <c r="AF2293" s="167"/>
      <c r="AG2293" s="168"/>
      <c r="AH2293" s="169"/>
      <c r="AI2293" s="36"/>
      <c r="AJ2293" s="48"/>
      <c r="AK2293" s="15"/>
      <c r="AL2293" s="15"/>
    </row>
    <row r="2294" spans="1:38" ht="60" x14ac:dyDescent="0.35">
      <c r="A2294" s="179"/>
      <c r="B2294" s="121"/>
      <c r="C2294" s="122"/>
      <c r="D2294" s="123"/>
      <c r="E2294" s="28" t="s">
        <v>6199</v>
      </c>
      <c r="F2294" s="121"/>
      <c r="G2294" s="122"/>
      <c r="H2294" s="123"/>
      <c r="I2294" s="183">
        <v>12</v>
      </c>
      <c r="J2294" s="185"/>
      <c r="K2294" s="126" t="s">
        <v>6151</v>
      </c>
      <c r="L2294" s="127"/>
      <c r="M2294" s="173" t="s">
        <v>6186</v>
      </c>
      <c r="N2294" s="276"/>
      <c r="O2294" s="174"/>
      <c r="P2294" s="285">
        <v>6</v>
      </c>
      <c r="Q2294" s="286"/>
      <c r="R2294" s="155">
        <v>25</v>
      </c>
      <c r="S2294" s="157"/>
      <c r="T2294" s="183">
        <v>10</v>
      </c>
      <c r="U2294" s="185"/>
      <c r="V2294" s="173" t="s">
        <v>6187</v>
      </c>
      <c r="W2294" s="174"/>
      <c r="X2294" s="140"/>
      <c r="Y2294" s="141"/>
      <c r="Z2294" s="142"/>
      <c r="AA2294" s="121"/>
      <c r="AB2294" s="123"/>
      <c r="AC2294" s="292"/>
      <c r="AD2294" s="293"/>
      <c r="AE2294" s="58"/>
      <c r="AF2294" s="167"/>
      <c r="AG2294" s="168"/>
      <c r="AH2294" s="169"/>
      <c r="AI2294" s="36"/>
      <c r="AJ2294" s="48"/>
      <c r="AK2294" s="15"/>
      <c r="AL2294" s="15"/>
    </row>
    <row r="2295" spans="1:38" ht="60" x14ac:dyDescent="0.35">
      <c r="A2295" s="179"/>
      <c r="B2295" s="121"/>
      <c r="C2295" s="122"/>
      <c r="D2295" s="123"/>
      <c r="E2295" s="28" t="s">
        <v>6200</v>
      </c>
      <c r="F2295" s="121"/>
      <c r="G2295" s="122"/>
      <c r="H2295" s="123"/>
      <c r="I2295" s="183">
        <v>12</v>
      </c>
      <c r="J2295" s="185"/>
      <c r="K2295" s="126" t="s">
        <v>6151</v>
      </c>
      <c r="L2295" s="127"/>
      <c r="M2295" s="173" t="s">
        <v>6186</v>
      </c>
      <c r="N2295" s="276"/>
      <c r="O2295" s="174"/>
      <c r="P2295" s="285">
        <v>6</v>
      </c>
      <c r="Q2295" s="286"/>
      <c r="R2295" s="155">
        <v>25</v>
      </c>
      <c r="S2295" s="157"/>
      <c r="T2295" s="183">
        <v>10</v>
      </c>
      <c r="U2295" s="185"/>
      <c r="V2295" s="173" t="s">
        <v>6187</v>
      </c>
      <c r="W2295" s="174"/>
      <c r="X2295" s="140"/>
      <c r="Y2295" s="141"/>
      <c r="Z2295" s="142"/>
      <c r="AA2295" s="121"/>
      <c r="AB2295" s="123"/>
      <c r="AC2295" s="292"/>
      <c r="AD2295" s="293"/>
      <c r="AE2295" s="58"/>
      <c r="AF2295" s="167"/>
      <c r="AG2295" s="168"/>
      <c r="AH2295" s="169"/>
      <c r="AI2295" s="36"/>
      <c r="AJ2295" s="48"/>
      <c r="AK2295" s="15"/>
      <c r="AL2295" s="15"/>
    </row>
    <row r="2296" spans="1:38" ht="60" x14ac:dyDescent="0.35">
      <c r="A2296" s="179"/>
      <c r="B2296" s="121"/>
      <c r="C2296" s="122"/>
      <c r="D2296" s="123"/>
      <c r="E2296" s="28" t="s">
        <v>6201</v>
      </c>
      <c r="F2296" s="121"/>
      <c r="G2296" s="122"/>
      <c r="H2296" s="123"/>
      <c r="I2296" s="183">
        <v>12</v>
      </c>
      <c r="J2296" s="185"/>
      <c r="K2296" s="126" t="s">
        <v>6151</v>
      </c>
      <c r="L2296" s="127"/>
      <c r="M2296" s="173" t="s">
        <v>6186</v>
      </c>
      <c r="N2296" s="276"/>
      <c r="O2296" s="174"/>
      <c r="P2296" s="285">
        <v>6</v>
      </c>
      <c r="Q2296" s="286"/>
      <c r="R2296" s="155">
        <v>25</v>
      </c>
      <c r="S2296" s="157"/>
      <c r="T2296" s="183">
        <v>10</v>
      </c>
      <c r="U2296" s="185"/>
      <c r="V2296" s="173" t="s">
        <v>6187</v>
      </c>
      <c r="W2296" s="174"/>
      <c r="X2296" s="140"/>
      <c r="Y2296" s="141"/>
      <c r="Z2296" s="142"/>
      <c r="AA2296" s="121"/>
      <c r="AB2296" s="123"/>
      <c r="AC2296" s="292"/>
      <c r="AD2296" s="293"/>
      <c r="AE2296" s="58"/>
      <c r="AF2296" s="167"/>
      <c r="AG2296" s="168"/>
      <c r="AH2296" s="169"/>
      <c r="AI2296" s="36"/>
      <c r="AJ2296" s="48"/>
      <c r="AK2296" s="15"/>
      <c r="AL2296" s="15"/>
    </row>
    <row r="2297" spans="1:38" ht="60" x14ac:dyDescent="0.35">
      <c r="A2297" s="230"/>
      <c r="B2297" s="93"/>
      <c r="C2297" s="106"/>
      <c r="D2297" s="94"/>
      <c r="E2297" s="28" t="s">
        <v>6202</v>
      </c>
      <c r="F2297" s="93"/>
      <c r="G2297" s="106"/>
      <c r="H2297" s="94"/>
      <c r="I2297" s="183">
        <v>12</v>
      </c>
      <c r="J2297" s="185"/>
      <c r="K2297" s="117" t="s">
        <v>6151</v>
      </c>
      <c r="L2297" s="118"/>
      <c r="M2297" s="173" t="s">
        <v>6186</v>
      </c>
      <c r="N2297" s="276"/>
      <c r="O2297" s="174"/>
      <c r="P2297" s="285">
        <v>6</v>
      </c>
      <c r="Q2297" s="286"/>
      <c r="R2297" s="160"/>
      <c r="S2297" s="161"/>
      <c r="T2297" s="183">
        <v>10</v>
      </c>
      <c r="U2297" s="185"/>
      <c r="V2297" s="173" t="s">
        <v>6187</v>
      </c>
      <c r="W2297" s="174"/>
      <c r="X2297" s="90"/>
      <c r="Y2297" s="91"/>
      <c r="Z2297" s="92"/>
      <c r="AA2297" s="93"/>
      <c r="AB2297" s="94"/>
      <c r="AC2297" s="290"/>
      <c r="AD2297" s="291"/>
      <c r="AE2297" s="52"/>
      <c r="AF2297" s="214"/>
      <c r="AG2297" s="215"/>
      <c r="AH2297" s="216"/>
      <c r="AI2297" s="36"/>
      <c r="AJ2297" s="48"/>
      <c r="AK2297" s="15"/>
      <c r="AL2297" s="15"/>
    </row>
    <row r="2298" spans="1:38" ht="76" x14ac:dyDescent="0.35">
      <c r="A2298" s="178"/>
      <c r="B2298" s="119"/>
      <c r="C2298" s="139"/>
      <c r="D2298" s="120"/>
      <c r="E2298" s="28" t="s">
        <v>6203</v>
      </c>
      <c r="F2298" s="233" t="s">
        <v>6204</v>
      </c>
      <c r="G2298" s="305"/>
      <c r="H2298" s="234"/>
      <c r="I2298" s="183">
        <v>20</v>
      </c>
      <c r="J2298" s="185"/>
      <c r="K2298" s="88" t="s">
        <v>6205</v>
      </c>
      <c r="L2298" s="89"/>
      <c r="M2298" s="173" t="s">
        <v>6206</v>
      </c>
      <c r="N2298" s="276"/>
      <c r="O2298" s="174"/>
      <c r="P2298" s="285">
        <v>18</v>
      </c>
      <c r="Q2298" s="286"/>
      <c r="R2298" s="204">
        <v>39</v>
      </c>
      <c r="S2298" s="205"/>
      <c r="T2298" s="183">
        <v>10</v>
      </c>
      <c r="U2298" s="185"/>
      <c r="V2298" s="173" t="s">
        <v>6207</v>
      </c>
      <c r="W2298" s="174"/>
      <c r="X2298" s="294">
        <v>266</v>
      </c>
      <c r="Y2298" s="295"/>
      <c r="Z2298" s="296"/>
      <c r="AA2298" s="233" t="s">
        <v>1181</v>
      </c>
      <c r="AB2298" s="234"/>
      <c r="AC2298" s="303" t="s">
        <v>3194</v>
      </c>
      <c r="AD2298" s="304"/>
      <c r="AE2298" s="35" t="s">
        <v>6210</v>
      </c>
      <c r="AF2298" s="164"/>
      <c r="AG2298" s="165"/>
      <c r="AH2298" s="166"/>
      <c r="AI2298" s="164"/>
      <c r="AJ2298" s="48"/>
      <c r="AK2298" s="15"/>
      <c r="AL2298" s="15"/>
    </row>
    <row r="2299" spans="1:38" ht="75" x14ac:dyDescent="0.35">
      <c r="A2299" s="179"/>
      <c r="B2299" s="121"/>
      <c r="C2299" s="122"/>
      <c r="D2299" s="123"/>
      <c r="E2299" s="28" t="s">
        <v>6212</v>
      </c>
      <c r="F2299" s="235"/>
      <c r="G2299" s="270"/>
      <c r="H2299" s="236"/>
      <c r="I2299" s="183">
        <v>20</v>
      </c>
      <c r="J2299" s="185"/>
      <c r="K2299" s="126" t="s">
        <v>6205</v>
      </c>
      <c r="L2299" s="127"/>
      <c r="M2299" s="173" t="s">
        <v>6206</v>
      </c>
      <c r="N2299" s="276"/>
      <c r="O2299" s="174"/>
      <c r="P2299" s="285">
        <v>18</v>
      </c>
      <c r="Q2299" s="286"/>
      <c r="R2299" s="231">
        <v>39</v>
      </c>
      <c r="S2299" s="232"/>
      <c r="T2299" s="183">
        <v>10</v>
      </c>
      <c r="U2299" s="185"/>
      <c r="V2299" s="173" t="s">
        <v>6207</v>
      </c>
      <c r="W2299" s="174"/>
      <c r="X2299" s="297"/>
      <c r="Y2299" s="298"/>
      <c r="Z2299" s="299"/>
      <c r="AA2299" s="235"/>
      <c r="AB2299" s="236"/>
      <c r="AC2299" s="292" t="s">
        <v>6208</v>
      </c>
      <c r="AD2299" s="293"/>
      <c r="AE2299" s="36" t="s">
        <v>1356</v>
      </c>
      <c r="AF2299" s="167"/>
      <c r="AG2299" s="168"/>
      <c r="AH2299" s="169"/>
      <c r="AI2299" s="167"/>
      <c r="AJ2299" s="48"/>
      <c r="AK2299" s="15"/>
      <c r="AL2299" s="15"/>
    </row>
    <row r="2300" spans="1:38" ht="75" x14ac:dyDescent="0.35">
      <c r="A2300" s="179"/>
      <c r="B2300" s="121"/>
      <c r="C2300" s="122"/>
      <c r="D2300" s="123"/>
      <c r="E2300" s="28" t="s">
        <v>6213</v>
      </c>
      <c r="F2300" s="235"/>
      <c r="G2300" s="270"/>
      <c r="H2300" s="236"/>
      <c r="I2300" s="183">
        <v>20</v>
      </c>
      <c r="J2300" s="185"/>
      <c r="K2300" s="126" t="s">
        <v>6205</v>
      </c>
      <c r="L2300" s="127"/>
      <c r="M2300" s="173" t="s">
        <v>6206</v>
      </c>
      <c r="N2300" s="276"/>
      <c r="O2300" s="174"/>
      <c r="P2300" s="285">
        <v>18</v>
      </c>
      <c r="Q2300" s="286"/>
      <c r="R2300" s="231">
        <v>39</v>
      </c>
      <c r="S2300" s="232"/>
      <c r="T2300" s="183">
        <v>10</v>
      </c>
      <c r="U2300" s="185"/>
      <c r="V2300" s="173" t="s">
        <v>6207</v>
      </c>
      <c r="W2300" s="174"/>
      <c r="X2300" s="297"/>
      <c r="Y2300" s="298"/>
      <c r="Z2300" s="299"/>
      <c r="AA2300" s="235"/>
      <c r="AB2300" s="236"/>
      <c r="AC2300" s="292" t="s">
        <v>1939</v>
      </c>
      <c r="AD2300" s="293"/>
      <c r="AE2300" s="36" t="s">
        <v>6211</v>
      </c>
      <c r="AF2300" s="167"/>
      <c r="AG2300" s="168"/>
      <c r="AH2300" s="169"/>
      <c r="AI2300" s="167"/>
      <c r="AJ2300" s="48"/>
      <c r="AK2300" s="15"/>
      <c r="AL2300" s="15"/>
    </row>
    <row r="2301" spans="1:38" ht="76" x14ac:dyDescent="0.35">
      <c r="A2301" s="179"/>
      <c r="B2301" s="121"/>
      <c r="C2301" s="122"/>
      <c r="D2301" s="123"/>
      <c r="E2301" s="28" t="s">
        <v>6214</v>
      </c>
      <c r="F2301" s="235"/>
      <c r="G2301" s="270"/>
      <c r="H2301" s="236"/>
      <c r="I2301" s="183">
        <v>20</v>
      </c>
      <c r="J2301" s="185"/>
      <c r="K2301" s="126" t="s">
        <v>6205</v>
      </c>
      <c r="L2301" s="127"/>
      <c r="M2301" s="173" t="s">
        <v>6206</v>
      </c>
      <c r="N2301" s="276"/>
      <c r="O2301" s="174"/>
      <c r="P2301" s="285">
        <v>18</v>
      </c>
      <c r="Q2301" s="286"/>
      <c r="R2301" s="231">
        <v>39</v>
      </c>
      <c r="S2301" s="232"/>
      <c r="T2301" s="183">
        <v>10</v>
      </c>
      <c r="U2301" s="185"/>
      <c r="V2301" s="173" t="s">
        <v>6207</v>
      </c>
      <c r="W2301" s="174"/>
      <c r="X2301" s="297"/>
      <c r="Y2301" s="298"/>
      <c r="Z2301" s="299"/>
      <c r="AA2301" s="235"/>
      <c r="AB2301" s="236"/>
      <c r="AC2301" s="292" t="s">
        <v>6209</v>
      </c>
      <c r="AD2301" s="293"/>
      <c r="AE2301" s="36"/>
      <c r="AF2301" s="167"/>
      <c r="AG2301" s="168"/>
      <c r="AH2301" s="169"/>
      <c r="AI2301" s="167"/>
      <c r="AJ2301" s="48"/>
      <c r="AK2301" s="15"/>
      <c r="AL2301" s="15"/>
    </row>
    <row r="2302" spans="1:38" ht="75" x14ac:dyDescent="0.35">
      <c r="A2302" s="179"/>
      <c r="B2302" s="121"/>
      <c r="C2302" s="122"/>
      <c r="D2302" s="123"/>
      <c r="E2302" s="28" t="s">
        <v>6215</v>
      </c>
      <c r="F2302" s="235"/>
      <c r="G2302" s="270"/>
      <c r="H2302" s="236"/>
      <c r="I2302" s="183">
        <v>20</v>
      </c>
      <c r="J2302" s="185"/>
      <c r="K2302" s="126" t="s">
        <v>6205</v>
      </c>
      <c r="L2302" s="127"/>
      <c r="M2302" s="173" t="s">
        <v>6206</v>
      </c>
      <c r="N2302" s="276"/>
      <c r="O2302" s="174"/>
      <c r="P2302" s="285">
        <v>18</v>
      </c>
      <c r="Q2302" s="286"/>
      <c r="R2302" s="231">
        <v>39</v>
      </c>
      <c r="S2302" s="232"/>
      <c r="T2302" s="183">
        <v>10</v>
      </c>
      <c r="U2302" s="185"/>
      <c r="V2302" s="173" t="s">
        <v>6207</v>
      </c>
      <c r="W2302" s="174"/>
      <c r="X2302" s="297"/>
      <c r="Y2302" s="298"/>
      <c r="Z2302" s="299"/>
      <c r="AA2302" s="235"/>
      <c r="AB2302" s="236"/>
      <c r="AC2302" s="292"/>
      <c r="AD2302" s="293"/>
      <c r="AE2302" s="36"/>
      <c r="AF2302" s="167"/>
      <c r="AG2302" s="168"/>
      <c r="AH2302" s="169"/>
      <c r="AI2302" s="167"/>
      <c r="AJ2302" s="48"/>
      <c r="AK2302" s="15"/>
      <c r="AL2302" s="15"/>
    </row>
    <row r="2303" spans="1:38" ht="75" x14ac:dyDescent="0.35">
      <c r="A2303" s="179"/>
      <c r="B2303" s="121"/>
      <c r="C2303" s="122"/>
      <c r="D2303" s="123"/>
      <c r="E2303" s="28" t="s">
        <v>6216</v>
      </c>
      <c r="F2303" s="235"/>
      <c r="G2303" s="270"/>
      <c r="H2303" s="236"/>
      <c r="I2303" s="183">
        <v>20</v>
      </c>
      <c r="J2303" s="185"/>
      <c r="K2303" s="126" t="s">
        <v>6205</v>
      </c>
      <c r="L2303" s="127"/>
      <c r="M2303" s="173" t="s">
        <v>6206</v>
      </c>
      <c r="N2303" s="276"/>
      <c r="O2303" s="174"/>
      <c r="P2303" s="285">
        <v>18</v>
      </c>
      <c r="Q2303" s="286"/>
      <c r="R2303" s="231">
        <v>39</v>
      </c>
      <c r="S2303" s="232"/>
      <c r="T2303" s="183">
        <v>10</v>
      </c>
      <c r="U2303" s="185"/>
      <c r="V2303" s="173" t="s">
        <v>6207</v>
      </c>
      <c r="W2303" s="174"/>
      <c r="X2303" s="297"/>
      <c r="Y2303" s="298"/>
      <c r="Z2303" s="299"/>
      <c r="AA2303" s="235"/>
      <c r="AB2303" s="236"/>
      <c r="AC2303" s="292"/>
      <c r="AD2303" s="293"/>
      <c r="AE2303" s="36"/>
      <c r="AF2303" s="167"/>
      <c r="AG2303" s="168"/>
      <c r="AH2303" s="169"/>
      <c r="AI2303" s="167"/>
      <c r="AJ2303" s="48"/>
      <c r="AK2303" s="15"/>
      <c r="AL2303" s="15"/>
    </row>
    <row r="2304" spans="1:38" ht="75" x14ac:dyDescent="0.35">
      <c r="A2304" s="179"/>
      <c r="B2304" s="121"/>
      <c r="C2304" s="122"/>
      <c r="D2304" s="123"/>
      <c r="E2304" s="28" t="s">
        <v>6217</v>
      </c>
      <c r="F2304" s="235"/>
      <c r="G2304" s="270"/>
      <c r="H2304" s="236"/>
      <c r="I2304" s="183">
        <v>20</v>
      </c>
      <c r="J2304" s="185"/>
      <c r="K2304" s="126" t="s">
        <v>6205</v>
      </c>
      <c r="L2304" s="127"/>
      <c r="M2304" s="173" t="s">
        <v>6206</v>
      </c>
      <c r="N2304" s="276"/>
      <c r="O2304" s="174"/>
      <c r="P2304" s="285">
        <v>18</v>
      </c>
      <c r="Q2304" s="286"/>
      <c r="R2304" s="231">
        <v>39</v>
      </c>
      <c r="S2304" s="232"/>
      <c r="T2304" s="183">
        <v>10</v>
      </c>
      <c r="U2304" s="185"/>
      <c r="V2304" s="173" t="s">
        <v>6207</v>
      </c>
      <c r="W2304" s="174"/>
      <c r="X2304" s="297"/>
      <c r="Y2304" s="298"/>
      <c r="Z2304" s="299"/>
      <c r="AA2304" s="235"/>
      <c r="AB2304" s="236"/>
      <c r="AC2304" s="292"/>
      <c r="AD2304" s="293"/>
      <c r="AE2304" s="36"/>
      <c r="AF2304" s="167"/>
      <c r="AG2304" s="168"/>
      <c r="AH2304" s="169"/>
      <c r="AI2304" s="167"/>
      <c r="AJ2304" s="48"/>
      <c r="AK2304" s="15"/>
      <c r="AL2304" s="15"/>
    </row>
    <row r="2305" spans="1:38" ht="75" x14ac:dyDescent="0.35">
      <c r="A2305" s="179"/>
      <c r="B2305" s="121"/>
      <c r="C2305" s="122"/>
      <c r="D2305" s="123"/>
      <c r="E2305" s="28" t="s">
        <v>6218</v>
      </c>
      <c r="F2305" s="235"/>
      <c r="G2305" s="270"/>
      <c r="H2305" s="236"/>
      <c r="I2305" s="183">
        <v>20</v>
      </c>
      <c r="J2305" s="185"/>
      <c r="K2305" s="126" t="s">
        <v>6205</v>
      </c>
      <c r="L2305" s="127"/>
      <c r="M2305" s="173" t="s">
        <v>6206</v>
      </c>
      <c r="N2305" s="276"/>
      <c r="O2305" s="174"/>
      <c r="P2305" s="285">
        <v>18</v>
      </c>
      <c r="Q2305" s="286"/>
      <c r="R2305" s="231">
        <v>39</v>
      </c>
      <c r="S2305" s="232"/>
      <c r="T2305" s="183">
        <v>10</v>
      </c>
      <c r="U2305" s="185"/>
      <c r="V2305" s="173" t="s">
        <v>6207</v>
      </c>
      <c r="W2305" s="174"/>
      <c r="X2305" s="297"/>
      <c r="Y2305" s="298"/>
      <c r="Z2305" s="299"/>
      <c r="AA2305" s="235"/>
      <c r="AB2305" s="236"/>
      <c r="AC2305" s="292"/>
      <c r="AD2305" s="293"/>
      <c r="AE2305" s="36"/>
      <c r="AF2305" s="167"/>
      <c r="AG2305" s="168"/>
      <c r="AH2305" s="169"/>
      <c r="AI2305" s="167"/>
      <c r="AJ2305" s="48"/>
      <c r="AK2305" s="15"/>
      <c r="AL2305" s="15"/>
    </row>
    <row r="2306" spans="1:38" ht="75" x14ac:dyDescent="0.35">
      <c r="A2306" s="179"/>
      <c r="B2306" s="121"/>
      <c r="C2306" s="122"/>
      <c r="D2306" s="123"/>
      <c r="E2306" s="28" t="s">
        <v>6219</v>
      </c>
      <c r="F2306" s="235"/>
      <c r="G2306" s="270"/>
      <c r="H2306" s="236"/>
      <c r="I2306" s="183">
        <v>20</v>
      </c>
      <c r="J2306" s="185"/>
      <c r="K2306" s="126" t="s">
        <v>6205</v>
      </c>
      <c r="L2306" s="127"/>
      <c r="M2306" s="173" t="s">
        <v>6206</v>
      </c>
      <c r="N2306" s="276"/>
      <c r="O2306" s="174"/>
      <c r="P2306" s="285">
        <v>18</v>
      </c>
      <c r="Q2306" s="286"/>
      <c r="R2306" s="231">
        <v>39</v>
      </c>
      <c r="S2306" s="232"/>
      <c r="T2306" s="183">
        <v>10</v>
      </c>
      <c r="U2306" s="185"/>
      <c r="V2306" s="173" t="s">
        <v>6207</v>
      </c>
      <c r="W2306" s="174"/>
      <c r="X2306" s="297"/>
      <c r="Y2306" s="298"/>
      <c r="Z2306" s="299"/>
      <c r="AA2306" s="235"/>
      <c r="AB2306" s="236"/>
      <c r="AC2306" s="292"/>
      <c r="AD2306" s="293"/>
      <c r="AE2306" s="36"/>
      <c r="AF2306" s="167"/>
      <c r="AG2306" s="168"/>
      <c r="AH2306" s="169"/>
      <c r="AI2306" s="167"/>
      <c r="AJ2306" s="48"/>
      <c r="AK2306" s="15"/>
      <c r="AL2306" s="15"/>
    </row>
    <row r="2307" spans="1:38" ht="75" x14ac:dyDescent="0.35">
      <c r="A2307" s="179"/>
      <c r="B2307" s="121"/>
      <c r="C2307" s="122"/>
      <c r="D2307" s="123"/>
      <c r="E2307" s="28" t="s">
        <v>6220</v>
      </c>
      <c r="F2307" s="235"/>
      <c r="G2307" s="270"/>
      <c r="H2307" s="236"/>
      <c r="I2307" s="183">
        <v>20</v>
      </c>
      <c r="J2307" s="185"/>
      <c r="K2307" s="126" t="s">
        <v>6205</v>
      </c>
      <c r="L2307" s="127"/>
      <c r="M2307" s="173" t="s">
        <v>6206</v>
      </c>
      <c r="N2307" s="276"/>
      <c r="O2307" s="174"/>
      <c r="P2307" s="285">
        <v>18</v>
      </c>
      <c r="Q2307" s="286"/>
      <c r="R2307" s="231">
        <v>39</v>
      </c>
      <c r="S2307" s="232"/>
      <c r="T2307" s="183">
        <v>10</v>
      </c>
      <c r="U2307" s="185"/>
      <c r="V2307" s="173" t="s">
        <v>6207</v>
      </c>
      <c r="W2307" s="174"/>
      <c r="X2307" s="297"/>
      <c r="Y2307" s="298"/>
      <c r="Z2307" s="299"/>
      <c r="AA2307" s="235"/>
      <c r="AB2307" s="236"/>
      <c r="AC2307" s="292"/>
      <c r="AD2307" s="293"/>
      <c r="AE2307" s="36"/>
      <c r="AF2307" s="167"/>
      <c r="AG2307" s="168"/>
      <c r="AH2307" s="169"/>
      <c r="AI2307" s="167"/>
      <c r="AJ2307" s="48"/>
      <c r="AK2307" s="15"/>
      <c r="AL2307" s="15"/>
    </row>
    <row r="2308" spans="1:38" ht="75" x14ac:dyDescent="0.35">
      <c r="A2308" s="179"/>
      <c r="B2308" s="121"/>
      <c r="C2308" s="122"/>
      <c r="D2308" s="123"/>
      <c r="E2308" s="28" t="s">
        <v>6221</v>
      </c>
      <c r="F2308" s="235"/>
      <c r="G2308" s="270"/>
      <c r="H2308" s="236"/>
      <c r="I2308" s="183">
        <v>20</v>
      </c>
      <c r="J2308" s="185"/>
      <c r="K2308" s="126" t="s">
        <v>6205</v>
      </c>
      <c r="L2308" s="127"/>
      <c r="M2308" s="173" t="s">
        <v>6206</v>
      </c>
      <c r="N2308" s="276"/>
      <c r="O2308" s="174"/>
      <c r="P2308" s="285">
        <v>18</v>
      </c>
      <c r="Q2308" s="286"/>
      <c r="R2308" s="231">
        <v>39</v>
      </c>
      <c r="S2308" s="232"/>
      <c r="T2308" s="183">
        <v>10</v>
      </c>
      <c r="U2308" s="185"/>
      <c r="V2308" s="173" t="s">
        <v>6207</v>
      </c>
      <c r="W2308" s="174"/>
      <c r="X2308" s="297"/>
      <c r="Y2308" s="298"/>
      <c r="Z2308" s="299"/>
      <c r="AA2308" s="235"/>
      <c r="AB2308" s="236"/>
      <c r="AC2308" s="292"/>
      <c r="AD2308" s="293"/>
      <c r="AE2308" s="36"/>
      <c r="AF2308" s="167"/>
      <c r="AG2308" s="168"/>
      <c r="AH2308" s="169"/>
      <c r="AI2308" s="167"/>
      <c r="AJ2308" s="48"/>
      <c r="AK2308" s="15"/>
      <c r="AL2308" s="15"/>
    </row>
    <row r="2309" spans="1:38" ht="75" x14ac:dyDescent="0.25">
      <c r="A2309" s="179"/>
      <c r="B2309" s="287" t="s">
        <v>6222</v>
      </c>
      <c r="C2309" s="288"/>
      <c r="D2309" s="289"/>
      <c r="E2309" s="28" t="s">
        <v>6223</v>
      </c>
      <c r="F2309" s="235"/>
      <c r="G2309" s="270"/>
      <c r="H2309" s="236"/>
      <c r="I2309" s="183">
        <v>20</v>
      </c>
      <c r="J2309" s="185"/>
      <c r="K2309" s="126" t="s">
        <v>6205</v>
      </c>
      <c r="L2309" s="127"/>
      <c r="M2309" s="173" t="s">
        <v>6206</v>
      </c>
      <c r="N2309" s="276"/>
      <c r="O2309" s="174"/>
      <c r="P2309" s="285">
        <v>18</v>
      </c>
      <c r="Q2309" s="286"/>
      <c r="R2309" s="231">
        <v>39</v>
      </c>
      <c r="S2309" s="232"/>
      <c r="T2309" s="183">
        <v>10</v>
      </c>
      <c r="U2309" s="185"/>
      <c r="V2309" s="173" t="s">
        <v>6207</v>
      </c>
      <c r="W2309" s="174"/>
      <c r="X2309" s="297"/>
      <c r="Y2309" s="298"/>
      <c r="Z2309" s="299"/>
      <c r="AA2309" s="235"/>
      <c r="AB2309" s="236"/>
      <c r="AC2309" s="292"/>
      <c r="AD2309" s="293"/>
      <c r="AE2309" s="36"/>
      <c r="AF2309" s="167"/>
      <c r="AG2309" s="168"/>
      <c r="AH2309" s="169"/>
      <c r="AI2309" s="167"/>
      <c r="AJ2309" s="48"/>
      <c r="AK2309" s="15"/>
      <c r="AL2309" s="15"/>
    </row>
    <row r="2310" spans="1:38" ht="75" x14ac:dyDescent="0.25">
      <c r="A2310" s="179"/>
      <c r="B2310" s="287" t="s">
        <v>2406</v>
      </c>
      <c r="C2310" s="288"/>
      <c r="D2310" s="289"/>
      <c r="E2310" s="28" t="s">
        <v>6224</v>
      </c>
      <c r="F2310" s="235"/>
      <c r="G2310" s="270"/>
      <c r="H2310" s="236"/>
      <c r="I2310" s="183">
        <v>20</v>
      </c>
      <c r="J2310" s="185"/>
      <c r="K2310" s="126" t="s">
        <v>6205</v>
      </c>
      <c r="L2310" s="127"/>
      <c r="M2310" s="173" t="s">
        <v>6206</v>
      </c>
      <c r="N2310" s="276"/>
      <c r="O2310" s="174"/>
      <c r="P2310" s="285">
        <v>18</v>
      </c>
      <c r="Q2310" s="286"/>
      <c r="R2310" s="231">
        <v>39</v>
      </c>
      <c r="S2310" s="232"/>
      <c r="T2310" s="183">
        <v>10</v>
      </c>
      <c r="U2310" s="185"/>
      <c r="V2310" s="173" t="s">
        <v>6207</v>
      </c>
      <c r="W2310" s="174"/>
      <c r="X2310" s="297"/>
      <c r="Y2310" s="298"/>
      <c r="Z2310" s="299"/>
      <c r="AA2310" s="235"/>
      <c r="AB2310" s="236"/>
      <c r="AC2310" s="292"/>
      <c r="AD2310" s="293"/>
      <c r="AE2310" s="36"/>
      <c r="AF2310" s="167"/>
      <c r="AG2310" s="168"/>
      <c r="AH2310" s="169"/>
      <c r="AI2310" s="167"/>
      <c r="AJ2310" s="48"/>
      <c r="AK2310" s="15"/>
      <c r="AL2310" s="15"/>
    </row>
    <row r="2311" spans="1:38" ht="75" x14ac:dyDescent="0.35">
      <c r="A2311" s="179"/>
      <c r="B2311" s="121"/>
      <c r="C2311" s="122"/>
      <c r="D2311" s="123"/>
      <c r="E2311" s="28" t="s">
        <v>6225</v>
      </c>
      <c r="F2311" s="235"/>
      <c r="G2311" s="270"/>
      <c r="H2311" s="236"/>
      <c r="I2311" s="183">
        <v>20</v>
      </c>
      <c r="J2311" s="185"/>
      <c r="K2311" s="126" t="s">
        <v>6205</v>
      </c>
      <c r="L2311" s="127"/>
      <c r="M2311" s="173" t="s">
        <v>6206</v>
      </c>
      <c r="N2311" s="276"/>
      <c r="O2311" s="174"/>
      <c r="P2311" s="285">
        <v>18</v>
      </c>
      <c r="Q2311" s="286"/>
      <c r="R2311" s="231">
        <v>39</v>
      </c>
      <c r="S2311" s="232"/>
      <c r="T2311" s="183">
        <v>10</v>
      </c>
      <c r="U2311" s="185"/>
      <c r="V2311" s="173" t="s">
        <v>6207</v>
      </c>
      <c r="W2311" s="174"/>
      <c r="X2311" s="297"/>
      <c r="Y2311" s="298"/>
      <c r="Z2311" s="299"/>
      <c r="AA2311" s="235"/>
      <c r="AB2311" s="236"/>
      <c r="AC2311" s="292"/>
      <c r="AD2311" s="293"/>
      <c r="AE2311" s="36"/>
      <c r="AF2311" s="167"/>
      <c r="AG2311" s="168"/>
      <c r="AH2311" s="169"/>
      <c r="AI2311" s="167"/>
      <c r="AJ2311" s="48"/>
      <c r="AK2311" s="15"/>
      <c r="AL2311" s="15"/>
    </row>
    <row r="2312" spans="1:38" ht="75" x14ac:dyDescent="0.35">
      <c r="A2312" s="179"/>
      <c r="B2312" s="121"/>
      <c r="C2312" s="122"/>
      <c r="D2312" s="123"/>
      <c r="E2312" s="28" t="s">
        <v>6226</v>
      </c>
      <c r="F2312" s="235"/>
      <c r="G2312" s="270"/>
      <c r="H2312" s="236"/>
      <c r="I2312" s="183">
        <v>20</v>
      </c>
      <c r="J2312" s="185"/>
      <c r="K2312" s="126" t="s">
        <v>6205</v>
      </c>
      <c r="L2312" s="127"/>
      <c r="M2312" s="173" t="s">
        <v>6206</v>
      </c>
      <c r="N2312" s="276"/>
      <c r="O2312" s="174"/>
      <c r="P2312" s="285">
        <v>18</v>
      </c>
      <c r="Q2312" s="286"/>
      <c r="R2312" s="231">
        <v>39</v>
      </c>
      <c r="S2312" s="232"/>
      <c r="T2312" s="183">
        <v>10</v>
      </c>
      <c r="U2312" s="185"/>
      <c r="V2312" s="173" t="s">
        <v>6207</v>
      </c>
      <c r="W2312" s="174"/>
      <c r="X2312" s="297"/>
      <c r="Y2312" s="298"/>
      <c r="Z2312" s="299"/>
      <c r="AA2312" s="235"/>
      <c r="AB2312" s="236"/>
      <c r="AC2312" s="292"/>
      <c r="AD2312" s="293"/>
      <c r="AE2312" s="36"/>
      <c r="AF2312" s="167"/>
      <c r="AG2312" s="168"/>
      <c r="AH2312" s="169"/>
      <c r="AI2312" s="167"/>
      <c r="AJ2312" s="48"/>
      <c r="AK2312" s="15"/>
      <c r="AL2312" s="15"/>
    </row>
    <row r="2313" spans="1:38" ht="75" x14ac:dyDescent="0.35">
      <c r="A2313" s="179"/>
      <c r="B2313" s="121"/>
      <c r="C2313" s="122"/>
      <c r="D2313" s="123"/>
      <c r="E2313" s="28" t="s">
        <v>6227</v>
      </c>
      <c r="F2313" s="235"/>
      <c r="G2313" s="270"/>
      <c r="H2313" s="236"/>
      <c r="I2313" s="183">
        <v>20</v>
      </c>
      <c r="J2313" s="185"/>
      <c r="K2313" s="126" t="s">
        <v>6205</v>
      </c>
      <c r="L2313" s="127"/>
      <c r="M2313" s="173" t="s">
        <v>6206</v>
      </c>
      <c r="N2313" s="276"/>
      <c r="O2313" s="174"/>
      <c r="P2313" s="285">
        <v>18</v>
      </c>
      <c r="Q2313" s="286"/>
      <c r="R2313" s="231">
        <v>39</v>
      </c>
      <c r="S2313" s="232"/>
      <c r="T2313" s="183">
        <v>10</v>
      </c>
      <c r="U2313" s="185"/>
      <c r="V2313" s="173" t="s">
        <v>6207</v>
      </c>
      <c r="W2313" s="174"/>
      <c r="X2313" s="297"/>
      <c r="Y2313" s="298"/>
      <c r="Z2313" s="299"/>
      <c r="AA2313" s="235"/>
      <c r="AB2313" s="236"/>
      <c r="AC2313" s="292"/>
      <c r="AD2313" s="293"/>
      <c r="AE2313" s="36"/>
      <c r="AF2313" s="167"/>
      <c r="AG2313" s="168"/>
      <c r="AH2313" s="169"/>
      <c r="AI2313" s="167"/>
      <c r="AJ2313" s="48"/>
      <c r="AK2313" s="15"/>
      <c r="AL2313" s="15"/>
    </row>
    <row r="2314" spans="1:38" ht="75" x14ac:dyDescent="0.35">
      <c r="A2314" s="179"/>
      <c r="B2314" s="121"/>
      <c r="C2314" s="122"/>
      <c r="D2314" s="123"/>
      <c r="E2314" s="28" t="s">
        <v>6228</v>
      </c>
      <c r="F2314" s="235"/>
      <c r="G2314" s="270"/>
      <c r="H2314" s="236"/>
      <c r="I2314" s="183">
        <v>20</v>
      </c>
      <c r="J2314" s="185"/>
      <c r="K2314" s="126" t="s">
        <v>6205</v>
      </c>
      <c r="L2314" s="127"/>
      <c r="M2314" s="173" t="s">
        <v>6206</v>
      </c>
      <c r="N2314" s="276"/>
      <c r="O2314" s="174"/>
      <c r="P2314" s="285">
        <v>18</v>
      </c>
      <c r="Q2314" s="286"/>
      <c r="R2314" s="231">
        <v>39</v>
      </c>
      <c r="S2314" s="232"/>
      <c r="T2314" s="183">
        <v>10</v>
      </c>
      <c r="U2314" s="185"/>
      <c r="V2314" s="173" t="s">
        <v>6207</v>
      </c>
      <c r="W2314" s="174"/>
      <c r="X2314" s="297"/>
      <c r="Y2314" s="298"/>
      <c r="Z2314" s="299"/>
      <c r="AA2314" s="235"/>
      <c r="AB2314" s="236"/>
      <c r="AC2314" s="292"/>
      <c r="AD2314" s="293"/>
      <c r="AE2314" s="36"/>
      <c r="AF2314" s="167"/>
      <c r="AG2314" s="168"/>
      <c r="AH2314" s="169"/>
      <c r="AI2314" s="167"/>
      <c r="AJ2314" s="48"/>
      <c r="AK2314" s="15"/>
      <c r="AL2314" s="15"/>
    </row>
    <row r="2315" spans="1:38" ht="75" x14ac:dyDescent="0.35">
      <c r="A2315" s="179"/>
      <c r="B2315" s="121"/>
      <c r="C2315" s="122"/>
      <c r="D2315" s="123"/>
      <c r="E2315" s="28" t="s">
        <v>6229</v>
      </c>
      <c r="F2315" s="235"/>
      <c r="G2315" s="270"/>
      <c r="H2315" s="236"/>
      <c r="I2315" s="183">
        <v>20</v>
      </c>
      <c r="J2315" s="185"/>
      <c r="K2315" s="126" t="s">
        <v>6205</v>
      </c>
      <c r="L2315" s="127"/>
      <c r="M2315" s="173" t="s">
        <v>6206</v>
      </c>
      <c r="N2315" s="276"/>
      <c r="O2315" s="174"/>
      <c r="P2315" s="285">
        <v>18</v>
      </c>
      <c r="Q2315" s="286"/>
      <c r="R2315" s="231">
        <v>39</v>
      </c>
      <c r="S2315" s="232"/>
      <c r="T2315" s="183">
        <v>10</v>
      </c>
      <c r="U2315" s="185"/>
      <c r="V2315" s="173" t="s">
        <v>6207</v>
      </c>
      <c r="W2315" s="174"/>
      <c r="X2315" s="297"/>
      <c r="Y2315" s="298"/>
      <c r="Z2315" s="299"/>
      <c r="AA2315" s="235"/>
      <c r="AB2315" s="236"/>
      <c r="AC2315" s="292"/>
      <c r="AD2315" s="293"/>
      <c r="AE2315" s="36"/>
      <c r="AF2315" s="167"/>
      <c r="AG2315" s="168"/>
      <c r="AH2315" s="169"/>
      <c r="AI2315" s="167"/>
      <c r="AJ2315" s="48"/>
      <c r="AK2315" s="15"/>
      <c r="AL2315" s="15"/>
    </row>
    <row r="2316" spans="1:38" ht="75" x14ac:dyDescent="0.35">
      <c r="A2316" s="179"/>
      <c r="B2316" s="121"/>
      <c r="C2316" s="122"/>
      <c r="D2316" s="123"/>
      <c r="E2316" s="28" t="s">
        <v>6230</v>
      </c>
      <c r="F2316" s="235"/>
      <c r="G2316" s="270"/>
      <c r="H2316" s="236"/>
      <c r="I2316" s="183">
        <v>20</v>
      </c>
      <c r="J2316" s="185"/>
      <c r="K2316" s="126" t="s">
        <v>6205</v>
      </c>
      <c r="L2316" s="127"/>
      <c r="M2316" s="173" t="s">
        <v>6206</v>
      </c>
      <c r="N2316" s="276"/>
      <c r="O2316" s="174"/>
      <c r="P2316" s="285">
        <v>18</v>
      </c>
      <c r="Q2316" s="286"/>
      <c r="R2316" s="231">
        <v>39</v>
      </c>
      <c r="S2316" s="232"/>
      <c r="T2316" s="183">
        <v>10</v>
      </c>
      <c r="U2316" s="185"/>
      <c r="V2316" s="173" t="s">
        <v>6207</v>
      </c>
      <c r="W2316" s="174"/>
      <c r="X2316" s="297"/>
      <c r="Y2316" s="298"/>
      <c r="Z2316" s="299"/>
      <c r="AA2316" s="235"/>
      <c r="AB2316" s="236"/>
      <c r="AC2316" s="292"/>
      <c r="AD2316" s="293"/>
      <c r="AE2316" s="36"/>
      <c r="AF2316" s="167"/>
      <c r="AG2316" s="168"/>
      <c r="AH2316" s="169"/>
      <c r="AI2316" s="167"/>
      <c r="AJ2316" s="48"/>
      <c r="AK2316" s="15"/>
      <c r="AL2316" s="15"/>
    </row>
    <row r="2317" spans="1:38" ht="75" x14ac:dyDescent="0.35">
      <c r="A2317" s="179"/>
      <c r="B2317" s="121"/>
      <c r="C2317" s="122"/>
      <c r="D2317" s="123"/>
      <c r="E2317" s="28" t="s">
        <v>6231</v>
      </c>
      <c r="F2317" s="235"/>
      <c r="G2317" s="270"/>
      <c r="H2317" s="236"/>
      <c r="I2317" s="183">
        <v>20</v>
      </c>
      <c r="J2317" s="185"/>
      <c r="K2317" s="126" t="s">
        <v>6205</v>
      </c>
      <c r="L2317" s="127"/>
      <c r="M2317" s="173" t="s">
        <v>6206</v>
      </c>
      <c r="N2317" s="276"/>
      <c r="O2317" s="174"/>
      <c r="P2317" s="285">
        <v>18</v>
      </c>
      <c r="Q2317" s="286"/>
      <c r="R2317" s="231">
        <v>39</v>
      </c>
      <c r="S2317" s="232"/>
      <c r="T2317" s="183">
        <v>10</v>
      </c>
      <c r="U2317" s="185"/>
      <c r="V2317" s="173" t="s">
        <v>6207</v>
      </c>
      <c r="W2317" s="174"/>
      <c r="X2317" s="297"/>
      <c r="Y2317" s="298"/>
      <c r="Z2317" s="299"/>
      <c r="AA2317" s="235"/>
      <c r="AB2317" s="236"/>
      <c r="AC2317" s="292"/>
      <c r="AD2317" s="293"/>
      <c r="AE2317" s="36"/>
      <c r="AF2317" s="167"/>
      <c r="AG2317" s="168"/>
      <c r="AH2317" s="169"/>
      <c r="AI2317" s="167"/>
      <c r="AJ2317" s="48"/>
      <c r="AK2317" s="15"/>
      <c r="AL2317" s="15"/>
    </row>
    <row r="2318" spans="1:38" ht="75" x14ac:dyDescent="0.35">
      <c r="A2318" s="179"/>
      <c r="B2318" s="121"/>
      <c r="C2318" s="122"/>
      <c r="D2318" s="123"/>
      <c r="E2318" s="28" t="s">
        <v>6232</v>
      </c>
      <c r="F2318" s="235"/>
      <c r="G2318" s="270"/>
      <c r="H2318" s="236"/>
      <c r="I2318" s="183">
        <v>20</v>
      </c>
      <c r="J2318" s="185"/>
      <c r="K2318" s="126" t="s">
        <v>6205</v>
      </c>
      <c r="L2318" s="127"/>
      <c r="M2318" s="173" t="s">
        <v>6206</v>
      </c>
      <c r="N2318" s="276"/>
      <c r="O2318" s="174"/>
      <c r="P2318" s="285">
        <v>18</v>
      </c>
      <c r="Q2318" s="286"/>
      <c r="R2318" s="231">
        <v>39</v>
      </c>
      <c r="S2318" s="232"/>
      <c r="T2318" s="183">
        <v>10</v>
      </c>
      <c r="U2318" s="185"/>
      <c r="V2318" s="173" t="s">
        <v>6207</v>
      </c>
      <c r="W2318" s="174"/>
      <c r="X2318" s="297"/>
      <c r="Y2318" s="298"/>
      <c r="Z2318" s="299"/>
      <c r="AA2318" s="235"/>
      <c r="AB2318" s="236"/>
      <c r="AC2318" s="292"/>
      <c r="AD2318" s="293"/>
      <c r="AE2318" s="36"/>
      <c r="AF2318" s="167"/>
      <c r="AG2318" s="168"/>
      <c r="AH2318" s="169"/>
      <c r="AI2318" s="167"/>
      <c r="AJ2318" s="48"/>
      <c r="AK2318" s="15"/>
      <c r="AL2318" s="15"/>
    </row>
    <row r="2319" spans="1:38" ht="75" x14ac:dyDescent="0.35">
      <c r="A2319" s="179"/>
      <c r="B2319" s="121"/>
      <c r="C2319" s="122"/>
      <c r="D2319" s="123"/>
      <c r="E2319" s="28" t="s">
        <v>6233</v>
      </c>
      <c r="F2319" s="235"/>
      <c r="G2319" s="270"/>
      <c r="H2319" s="236"/>
      <c r="I2319" s="183">
        <v>20</v>
      </c>
      <c r="J2319" s="185"/>
      <c r="K2319" s="126" t="s">
        <v>6205</v>
      </c>
      <c r="L2319" s="127"/>
      <c r="M2319" s="173" t="s">
        <v>6206</v>
      </c>
      <c r="N2319" s="276"/>
      <c r="O2319" s="174"/>
      <c r="P2319" s="285">
        <v>18</v>
      </c>
      <c r="Q2319" s="286"/>
      <c r="R2319" s="231">
        <v>39</v>
      </c>
      <c r="S2319" s="232"/>
      <c r="T2319" s="183">
        <v>10</v>
      </c>
      <c r="U2319" s="185"/>
      <c r="V2319" s="173" t="s">
        <v>6207</v>
      </c>
      <c r="W2319" s="174"/>
      <c r="X2319" s="297"/>
      <c r="Y2319" s="298"/>
      <c r="Z2319" s="299"/>
      <c r="AA2319" s="235"/>
      <c r="AB2319" s="236"/>
      <c r="AC2319" s="292"/>
      <c r="AD2319" s="293"/>
      <c r="AE2319" s="36"/>
      <c r="AF2319" s="167"/>
      <c r="AG2319" s="168"/>
      <c r="AH2319" s="169"/>
      <c r="AI2319" s="167"/>
      <c r="AJ2319" s="48"/>
      <c r="AK2319" s="15"/>
      <c r="AL2319" s="15"/>
    </row>
    <row r="2320" spans="1:38" ht="75" x14ac:dyDescent="0.35">
      <c r="A2320" s="179"/>
      <c r="B2320" s="121"/>
      <c r="C2320" s="122"/>
      <c r="D2320" s="123"/>
      <c r="E2320" s="28" t="s">
        <v>6234</v>
      </c>
      <c r="F2320" s="235"/>
      <c r="G2320" s="270"/>
      <c r="H2320" s="236"/>
      <c r="I2320" s="183">
        <v>20</v>
      </c>
      <c r="J2320" s="185"/>
      <c r="K2320" s="126" t="s">
        <v>6205</v>
      </c>
      <c r="L2320" s="127"/>
      <c r="M2320" s="173" t="s">
        <v>6206</v>
      </c>
      <c r="N2320" s="276"/>
      <c r="O2320" s="174"/>
      <c r="P2320" s="285">
        <v>18</v>
      </c>
      <c r="Q2320" s="286"/>
      <c r="R2320" s="231">
        <v>39</v>
      </c>
      <c r="S2320" s="232"/>
      <c r="T2320" s="183">
        <v>10</v>
      </c>
      <c r="U2320" s="185"/>
      <c r="V2320" s="173" t="s">
        <v>6207</v>
      </c>
      <c r="W2320" s="174"/>
      <c r="X2320" s="297"/>
      <c r="Y2320" s="298"/>
      <c r="Z2320" s="299"/>
      <c r="AA2320" s="235"/>
      <c r="AB2320" s="236"/>
      <c r="AC2320" s="292"/>
      <c r="AD2320" s="293"/>
      <c r="AE2320" s="36"/>
      <c r="AF2320" s="167"/>
      <c r="AG2320" s="168"/>
      <c r="AH2320" s="169"/>
      <c r="AI2320" s="167"/>
      <c r="AJ2320" s="48"/>
      <c r="AK2320" s="15"/>
      <c r="AL2320" s="15"/>
    </row>
    <row r="2321" spans="1:38" ht="75" x14ac:dyDescent="0.35">
      <c r="A2321" s="230"/>
      <c r="B2321" s="93"/>
      <c r="C2321" s="106"/>
      <c r="D2321" s="94"/>
      <c r="E2321" s="28" t="s">
        <v>6235</v>
      </c>
      <c r="F2321" s="237"/>
      <c r="G2321" s="306"/>
      <c r="H2321" s="238"/>
      <c r="I2321" s="183">
        <v>20</v>
      </c>
      <c r="J2321" s="185"/>
      <c r="K2321" s="117" t="s">
        <v>6205</v>
      </c>
      <c r="L2321" s="118"/>
      <c r="M2321" s="173" t="s">
        <v>6206</v>
      </c>
      <c r="N2321" s="276"/>
      <c r="O2321" s="174"/>
      <c r="P2321" s="285">
        <v>18</v>
      </c>
      <c r="Q2321" s="286"/>
      <c r="R2321" s="206">
        <v>39</v>
      </c>
      <c r="S2321" s="207"/>
      <c r="T2321" s="183">
        <v>10</v>
      </c>
      <c r="U2321" s="185"/>
      <c r="V2321" s="173" t="s">
        <v>6207</v>
      </c>
      <c r="W2321" s="174"/>
      <c r="X2321" s="300"/>
      <c r="Y2321" s="301"/>
      <c r="Z2321" s="302"/>
      <c r="AA2321" s="237"/>
      <c r="AB2321" s="238"/>
      <c r="AC2321" s="290"/>
      <c r="AD2321" s="291"/>
      <c r="AE2321" s="36"/>
      <c r="AF2321" s="214"/>
      <c r="AG2321" s="215"/>
      <c r="AH2321" s="216"/>
      <c r="AI2321" s="167"/>
      <c r="AJ2321" s="48"/>
      <c r="AK2321" s="15"/>
      <c r="AL2321" s="15"/>
    </row>
    <row r="2322" spans="1:38" ht="60" x14ac:dyDescent="0.35">
      <c r="A2322" s="178"/>
      <c r="B2322" s="119"/>
      <c r="C2322" s="139"/>
      <c r="D2322" s="120"/>
      <c r="E2322" s="28" t="s">
        <v>6236</v>
      </c>
      <c r="F2322" s="119"/>
      <c r="G2322" s="139"/>
      <c r="H2322" s="120"/>
      <c r="I2322" s="143" t="s">
        <v>1338</v>
      </c>
      <c r="J2322" s="145"/>
      <c r="K2322" s="143" t="s">
        <v>6237</v>
      </c>
      <c r="L2322" s="145"/>
      <c r="M2322" s="173" t="s">
        <v>6238</v>
      </c>
      <c r="N2322" s="276"/>
      <c r="O2322" s="174"/>
      <c r="P2322" s="208" t="s">
        <v>5088</v>
      </c>
      <c r="Q2322" s="209"/>
      <c r="R2322" s="88" t="s">
        <v>3489</v>
      </c>
      <c r="S2322" s="89"/>
      <c r="T2322" s="204">
        <v>3</v>
      </c>
      <c r="U2322" s="205"/>
      <c r="V2322" s="173" t="s">
        <v>6239</v>
      </c>
      <c r="W2322" s="174"/>
      <c r="X2322" s="129"/>
      <c r="Y2322" s="130"/>
      <c r="Z2322" s="131"/>
      <c r="AA2322" s="119"/>
      <c r="AB2322" s="120"/>
      <c r="AC2322" s="119"/>
      <c r="AD2322" s="120"/>
      <c r="AE2322" s="178"/>
      <c r="AF2322" s="164"/>
      <c r="AG2322" s="165"/>
      <c r="AH2322" s="166"/>
      <c r="AI2322" s="167"/>
      <c r="AJ2322" s="48"/>
      <c r="AK2322" s="15"/>
      <c r="AL2322" s="15"/>
    </row>
    <row r="2323" spans="1:38" ht="60" x14ac:dyDescent="0.35">
      <c r="A2323" s="179"/>
      <c r="B2323" s="121"/>
      <c r="C2323" s="122"/>
      <c r="D2323" s="123"/>
      <c r="E2323" s="28" t="s">
        <v>6240</v>
      </c>
      <c r="F2323" s="121"/>
      <c r="G2323" s="122"/>
      <c r="H2323" s="123"/>
      <c r="I2323" s="104" t="s">
        <v>1338</v>
      </c>
      <c r="J2323" s="105"/>
      <c r="K2323" s="104" t="s">
        <v>6237</v>
      </c>
      <c r="L2323" s="105"/>
      <c r="M2323" s="173" t="s">
        <v>6238</v>
      </c>
      <c r="N2323" s="276"/>
      <c r="O2323" s="174"/>
      <c r="P2323" s="280" t="s">
        <v>5088</v>
      </c>
      <c r="Q2323" s="281"/>
      <c r="R2323" s="126" t="s">
        <v>3489</v>
      </c>
      <c r="S2323" s="127"/>
      <c r="T2323" s="231">
        <v>3</v>
      </c>
      <c r="U2323" s="232"/>
      <c r="V2323" s="173" t="s">
        <v>6239</v>
      </c>
      <c r="W2323" s="174"/>
      <c r="X2323" s="140"/>
      <c r="Y2323" s="141"/>
      <c r="Z2323" s="142"/>
      <c r="AA2323" s="121"/>
      <c r="AB2323" s="123"/>
      <c r="AC2323" s="121"/>
      <c r="AD2323" s="123"/>
      <c r="AE2323" s="179"/>
      <c r="AF2323" s="167"/>
      <c r="AG2323" s="168"/>
      <c r="AH2323" s="169"/>
      <c r="AI2323" s="167"/>
      <c r="AJ2323" s="48"/>
      <c r="AK2323" s="15"/>
      <c r="AL2323" s="15"/>
    </row>
    <row r="2324" spans="1:38" ht="15.5" x14ac:dyDescent="0.3">
      <c r="A2324" s="179"/>
      <c r="B2324" s="135"/>
      <c r="C2324" s="136"/>
      <c r="D2324" s="137"/>
      <c r="E2324" s="64" t="s">
        <v>6241</v>
      </c>
      <c r="F2324" s="135"/>
      <c r="G2324" s="136"/>
      <c r="H2324" s="137"/>
      <c r="I2324" s="104" t="s">
        <v>1338</v>
      </c>
      <c r="J2324" s="105"/>
      <c r="K2324" s="104" t="s">
        <v>6237</v>
      </c>
      <c r="L2324" s="105"/>
      <c r="M2324" s="208" t="s">
        <v>6238</v>
      </c>
      <c r="N2324" s="283"/>
      <c r="O2324" s="209"/>
      <c r="P2324" s="280" t="s">
        <v>5088</v>
      </c>
      <c r="Q2324" s="281"/>
      <c r="R2324" s="126" t="s">
        <v>3489</v>
      </c>
      <c r="S2324" s="127"/>
      <c r="T2324" s="231">
        <v>3</v>
      </c>
      <c r="U2324" s="232"/>
      <c r="V2324" s="208" t="s">
        <v>6239</v>
      </c>
      <c r="W2324" s="209"/>
      <c r="X2324" s="277"/>
      <c r="Y2324" s="278"/>
      <c r="Z2324" s="279"/>
      <c r="AA2324" s="135"/>
      <c r="AB2324" s="137"/>
      <c r="AC2324" s="126" t="s">
        <v>3194</v>
      </c>
      <c r="AD2324" s="127"/>
      <c r="AE2324" s="179"/>
      <c r="AF2324" s="167"/>
      <c r="AG2324" s="168"/>
      <c r="AH2324" s="169"/>
      <c r="AI2324" s="167"/>
      <c r="AJ2324" s="271"/>
      <c r="AK2324" s="15"/>
      <c r="AL2324" s="15"/>
    </row>
    <row r="2325" spans="1:38" ht="15.5" x14ac:dyDescent="0.3">
      <c r="A2325" s="179"/>
      <c r="B2325" s="135"/>
      <c r="C2325" s="136"/>
      <c r="D2325" s="137"/>
      <c r="E2325" s="65"/>
      <c r="F2325" s="135"/>
      <c r="G2325" s="136"/>
      <c r="H2325" s="137"/>
      <c r="I2325" s="104"/>
      <c r="J2325" s="105"/>
      <c r="K2325" s="104"/>
      <c r="L2325" s="105"/>
      <c r="M2325" s="210"/>
      <c r="N2325" s="284"/>
      <c r="O2325" s="211"/>
      <c r="P2325" s="280"/>
      <c r="Q2325" s="281"/>
      <c r="R2325" s="126"/>
      <c r="S2325" s="127"/>
      <c r="T2325" s="231"/>
      <c r="U2325" s="232"/>
      <c r="V2325" s="210"/>
      <c r="W2325" s="211"/>
      <c r="X2325" s="277"/>
      <c r="Y2325" s="278"/>
      <c r="Z2325" s="279"/>
      <c r="AA2325" s="135"/>
      <c r="AB2325" s="137"/>
      <c r="AC2325" s="126" t="s">
        <v>6242</v>
      </c>
      <c r="AD2325" s="127"/>
      <c r="AE2325" s="179"/>
      <c r="AF2325" s="167"/>
      <c r="AG2325" s="168"/>
      <c r="AH2325" s="169"/>
      <c r="AI2325" s="167"/>
      <c r="AJ2325" s="271"/>
      <c r="AK2325" s="15"/>
      <c r="AL2325" s="15"/>
    </row>
    <row r="2326" spans="1:38" ht="60" x14ac:dyDescent="0.3">
      <c r="A2326" s="179"/>
      <c r="B2326" s="126" t="s">
        <v>6243</v>
      </c>
      <c r="C2326" s="203"/>
      <c r="D2326" s="127"/>
      <c r="E2326" s="28" t="s">
        <v>6244</v>
      </c>
      <c r="F2326" s="272" t="s">
        <v>6245</v>
      </c>
      <c r="G2326" s="282"/>
      <c r="H2326" s="273"/>
      <c r="I2326" s="104" t="s">
        <v>1338</v>
      </c>
      <c r="J2326" s="105"/>
      <c r="K2326" s="104" t="s">
        <v>6237</v>
      </c>
      <c r="L2326" s="105"/>
      <c r="M2326" s="173" t="s">
        <v>6238</v>
      </c>
      <c r="N2326" s="276"/>
      <c r="O2326" s="174"/>
      <c r="P2326" s="280" t="s">
        <v>5088</v>
      </c>
      <c r="Q2326" s="281"/>
      <c r="R2326" s="126" t="s">
        <v>3489</v>
      </c>
      <c r="S2326" s="127"/>
      <c r="T2326" s="155">
        <v>3</v>
      </c>
      <c r="U2326" s="157"/>
      <c r="V2326" s="173" t="s">
        <v>6239</v>
      </c>
      <c r="W2326" s="174"/>
      <c r="X2326" s="247">
        <v>79</v>
      </c>
      <c r="Y2326" s="248"/>
      <c r="Z2326" s="249"/>
      <c r="AA2326" s="272" t="s">
        <v>1038</v>
      </c>
      <c r="AB2326" s="273"/>
      <c r="AC2326" s="126" t="s">
        <v>6246</v>
      </c>
      <c r="AD2326" s="127"/>
      <c r="AE2326" s="179"/>
      <c r="AF2326" s="167"/>
      <c r="AG2326" s="168"/>
      <c r="AH2326" s="169"/>
      <c r="AI2326" s="167"/>
      <c r="AJ2326" s="48"/>
      <c r="AK2326" s="15"/>
      <c r="AL2326" s="15"/>
    </row>
    <row r="2327" spans="1:38" ht="60" x14ac:dyDescent="0.3">
      <c r="A2327" s="179"/>
      <c r="B2327" s="126" t="s">
        <v>2406</v>
      </c>
      <c r="C2327" s="203"/>
      <c r="D2327" s="127"/>
      <c r="E2327" s="28" t="s">
        <v>6248</v>
      </c>
      <c r="F2327" s="272"/>
      <c r="G2327" s="282"/>
      <c r="H2327" s="273"/>
      <c r="I2327" s="104" t="s">
        <v>1338</v>
      </c>
      <c r="J2327" s="105"/>
      <c r="K2327" s="104" t="s">
        <v>6237</v>
      </c>
      <c r="L2327" s="105"/>
      <c r="M2327" s="173" t="s">
        <v>6238</v>
      </c>
      <c r="N2327" s="276"/>
      <c r="O2327" s="174"/>
      <c r="P2327" s="280" t="s">
        <v>5088</v>
      </c>
      <c r="Q2327" s="281"/>
      <c r="R2327" s="126" t="s">
        <v>3489</v>
      </c>
      <c r="S2327" s="127"/>
      <c r="T2327" s="155">
        <v>3</v>
      </c>
      <c r="U2327" s="157"/>
      <c r="V2327" s="173" t="s">
        <v>6239</v>
      </c>
      <c r="W2327" s="174"/>
      <c r="X2327" s="247"/>
      <c r="Y2327" s="248"/>
      <c r="Z2327" s="249"/>
      <c r="AA2327" s="272"/>
      <c r="AB2327" s="273"/>
      <c r="AC2327" s="126" t="s">
        <v>6247</v>
      </c>
      <c r="AD2327" s="127"/>
      <c r="AE2327" s="179"/>
      <c r="AF2327" s="167"/>
      <c r="AG2327" s="168"/>
      <c r="AH2327" s="169"/>
      <c r="AI2327" s="167"/>
      <c r="AJ2327" s="48"/>
      <c r="AK2327" s="15"/>
      <c r="AL2327" s="15"/>
    </row>
    <row r="2328" spans="1:38" ht="60" x14ac:dyDescent="0.3">
      <c r="A2328" s="179"/>
      <c r="B2328" s="135"/>
      <c r="C2328" s="136"/>
      <c r="D2328" s="137"/>
      <c r="E2328" s="28" t="s">
        <v>6249</v>
      </c>
      <c r="F2328" s="135"/>
      <c r="G2328" s="136"/>
      <c r="H2328" s="137"/>
      <c r="I2328" s="104" t="s">
        <v>1338</v>
      </c>
      <c r="J2328" s="105"/>
      <c r="K2328" s="104" t="s">
        <v>6237</v>
      </c>
      <c r="L2328" s="105"/>
      <c r="M2328" s="173" t="s">
        <v>6238</v>
      </c>
      <c r="N2328" s="276"/>
      <c r="O2328" s="174"/>
      <c r="P2328" s="280" t="s">
        <v>5088</v>
      </c>
      <c r="Q2328" s="281"/>
      <c r="R2328" s="126" t="s">
        <v>3489</v>
      </c>
      <c r="S2328" s="127"/>
      <c r="T2328" s="231">
        <v>3</v>
      </c>
      <c r="U2328" s="232"/>
      <c r="V2328" s="173" t="s">
        <v>6239</v>
      </c>
      <c r="W2328" s="174"/>
      <c r="X2328" s="277"/>
      <c r="Y2328" s="278"/>
      <c r="Z2328" s="279"/>
      <c r="AA2328" s="135"/>
      <c r="AB2328" s="137"/>
      <c r="AC2328" s="135"/>
      <c r="AD2328" s="137"/>
      <c r="AE2328" s="179"/>
      <c r="AF2328" s="167"/>
      <c r="AG2328" s="168"/>
      <c r="AH2328" s="169"/>
      <c r="AI2328" s="167"/>
      <c r="AJ2328" s="48"/>
      <c r="AK2328" s="15"/>
      <c r="AL2328" s="15"/>
    </row>
    <row r="2329" spans="1:38" ht="60" x14ac:dyDescent="0.35">
      <c r="A2329" s="230"/>
      <c r="B2329" s="93"/>
      <c r="C2329" s="106"/>
      <c r="D2329" s="94"/>
      <c r="E2329" s="28" t="s">
        <v>6250</v>
      </c>
      <c r="F2329" s="93"/>
      <c r="G2329" s="106"/>
      <c r="H2329" s="94"/>
      <c r="I2329" s="146" t="s">
        <v>1338</v>
      </c>
      <c r="J2329" s="148"/>
      <c r="K2329" s="146" t="s">
        <v>6237</v>
      </c>
      <c r="L2329" s="148"/>
      <c r="M2329" s="173" t="s">
        <v>6238</v>
      </c>
      <c r="N2329" s="276"/>
      <c r="O2329" s="174"/>
      <c r="P2329" s="210" t="s">
        <v>5088</v>
      </c>
      <c r="Q2329" s="211"/>
      <c r="R2329" s="117" t="s">
        <v>3489</v>
      </c>
      <c r="S2329" s="118"/>
      <c r="T2329" s="206">
        <v>3</v>
      </c>
      <c r="U2329" s="207"/>
      <c r="V2329" s="173" t="s">
        <v>6239</v>
      </c>
      <c r="W2329" s="174"/>
      <c r="X2329" s="90"/>
      <c r="Y2329" s="91"/>
      <c r="Z2329" s="92"/>
      <c r="AA2329" s="93"/>
      <c r="AB2329" s="94"/>
      <c r="AC2329" s="93"/>
      <c r="AD2329" s="94"/>
      <c r="AE2329" s="230"/>
      <c r="AF2329" s="214"/>
      <c r="AG2329" s="215"/>
      <c r="AH2329" s="216"/>
      <c r="AI2329" s="167"/>
      <c r="AJ2329" s="48"/>
      <c r="AK2329" s="15"/>
      <c r="AL2329" s="15"/>
    </row>
    <row r="2330" spans="1:38" ht="60" x14ac:dyDescent="0.3">
      <c r="A2330" s="178"/>
      <c r="B2330" s="149"/>
      <c r="C2330" s="158"/>
      <c r="D2330" s="150"/>
      <c r="E2330" s="28" t="s">
        <v>6251</v>
      </c>
      <c r="F2330" s="149"/>
      <c r="G2330" s="158"/>
      <c r="H2330" s="150"/>
      <c r="I2330" s="183">
        <v>9</v>
      </c>
      <c r="J2330" s="185"/>
      <c r="K2330" s="88" t="s">
        <v>6252</v>
      </c>
      <c r="L2330" s="89"/>
      <c r="M2330" s="183">
        <v>88</v>
      </c>
      <c r="N2330" s="184"/>
      <c r="O2330" s="185"/>
      <c r="P2330" s="183">
        <v>7</v>
      </c>
      <c r="Q2330" s="185"/>
      <c r="R2330" s="88" t="s">
        <v>977</v>
      </c>
      <c r="S2330" s="89"/>
      <c r="T2330" s="183">
        <v>5</v>
      </c>
      <c r="U2330" s="185"/>
      <c r="V2330" s="173" t="s">
        <v>4412</v>
      </c>
      <c r="W2330" s="174"/>
      <c r="X2330" s="252">
        <v>120</v>
      </c>
      <c r="Y2330" s="253"/>
      <c r="Z2330" s="254"/>
      <c r="AA2330" s="223" t="s">
        <v>6253</v>
      </c>
      <c r="AB2330" s="224"/>
      <c r="AC2330" s="149"/>
      <c r="AD2330" s="150"/>
      <c r="AE2330" s="275"/>
      <c r="AF2330" s="164"/>
      <c r="AG2330" s="165"/>
      <c r="AH2330" s="166"/>
      <c r="AI2330" s="167"/>
      <c r="AJ2330" s="48"/>
      <c r="AK2330" s="15"/>
      <c r="AL2330" s="15"/>
    </row>
    <row r="2331" spans="1:38" ht="75" x14ac:dyDescent="0.3">
      <c r="A2331" s="179"/>
      <c r="B2331" s="135"/>
      <c r="C2331" s="136"/>
      <c r="D2331" s="137"/>
      <c r="E2331" s="28" t="s">
        <v>6254</v>
      </c>
      <c r="F2331" s="135"/>
      <c r="G2331" s="136"/>
      <c r="H2331" s="137"/>
      <c r="I2331" s="183">
        <v>9</v>
      </c>
      <c r="J2331" s="185"/>
      <c r="K2331" s="126" t="s">
        <v>6252</v>
      </c>
      <c r="L2331" s="127"/>
      <c r="M2331" s="183">
        <v>88</v>
      </c>
      <c r="N2331" s="184"/>
      <c r="O2331" s="185"/>
      <c r="P2331" s="183">
        <v>7</v>
      </c>
      <c r="Q2331" s="185"/>
      <c r="R2331" s="126" t="s">
        <v>977</v>
      </c>
      <c r="S2331" s="127"/>
      <c r="T2331" s="183">
        <v>5</v>
      </c>
      <c r="U2331" s="185"/>
      <c r="V2331" s="173" t="s">
        <v>4412</v>
      </c>
      <c r="W2331" s="174"/>
      <c r="X2331" s="255"/>
      <c r="Y2331" s="256"/>
      <c r="Z2331" s="257"/>
      <c r="AA2331" s="225"/>
      <c r="AB2331" s="226"/>
      <c r="AC2331" s="135"/>
      <c r="AD2331" s="137"/>
      <c r="AE2331" s="128"/>
      <c r="AF2331" s="167"/>
      <c r="AG2331" s="168"/>
      <c r="AH2331" s="169"/>
      <c r="AI2331" s="167"/>
      <c r="AJ2331" s="48"/>
      <c r="AK2331" s="15"/>
      <c r="AL2331" s="15"/>
    </row>
    <row r="2332" spans="1:38" ht="60" x14ac:dyDescent="0.3">
      <c r="A2332" s="179"/>
      <c r="B2332" s="135"/>
      <c r="C2332" s="136"/>
      <c r="D2332" s="137"/>
      <c r="E2332" s="28" t="s">
        <v>6255</v>
      </c>
      <c r="F2332" s="135"/>
      <c r="G2332" s="136"/>
      <c r="H2332" s="137"/>
      <c r="I2332" s="183">
        <v>10</v>
      </c>
      <c r="J2332" s="185"/>
      <c r="K2332" s="126" t="s">
        <v>6252</v>
      </c>
      <c r="L2332" s="127"/>
      <c r="M2332" s="183">
        <v>88</v>
      </c>
      <c r="N2332" s="184"/>
      <c r="O2332" s="185"/>
      <c r="P2332" s="183">
        <v>7</v>
      </c>
      <c r="Q2332" s="185"/>
      <c r="R2332" s="126" t="s">
        <v>977</v>
      </c>
      <c r="S2332" s="127"/>
      <c r="T2332" s="183">
        <v>5</v>
      </c>
      <c r="U2332" s="185"/>
      <c r="V2332" s="173" t="s">
        <v>4412</v>
      </c>
      <c r="W2332" s="174"/>
      <c r="X2332" s="241">
        <v>125</v>
      </c>
      <c r="Y2332" s="242"/>
      <c r="Z2332" s="243"/>
      <c r="AA2332" s="192" t="s">
        <v>3018</v>
      </c>
      <c r="AB2332" s="193"/>
      <c r="AC2332" s="162" t="s">
        <v>3194</v>
      </c>
      <c r="AD2332" s="163"/>
      <c r="AE2332" s="274" t="s">
        <v>6257</v>
      </c>
      <c r="AF2332" s="167"/>
      <c r="AG2332" s="168"/>
      <c r="AH2332" s="169"/>
      <c r="AI2332" s="167"/>
      <c r="AJ2332" s="48"/>
      <c r="AK2332" s="15"/>
      <c r="AL2332" s="15"/>
    </row>
    <row r="2333" spans="1:38" ht="60" x14ac:dyDescent="0.3">
      <c r="A2333" s="179"/>
      <c r="B2333" s="135"/>
      <c r="C2333" s="136"/>
      <c r="D2333" s="137"/>
      <c r="E2333" s="28" t="s">
        <v>6258</v>
      </c>
      <c r="F2333" s="135"/>
      <c r="G2333" s="136"/>
      <c r="H2333" s="137"/>
      <c r="I2333" s="183">
        <v>10</v>
      </c>
      <c r="J2333" s="185"/>
      <c r="K2333" s="126" t="s">
        <v>6252</v>
      </c>
      <c r="L2333" s="127"/>
      <c r="M2333" s="183">
        <v>88</v>
      </c>
      <c r="N2333" s="184"/>
      <c r="O2333" s="185"/>
      <c r="P2333" s="183">
        <v>7</v>
      </c>
      <c r="Q2333" s="185"/>
      <c r="R2333" s="126" t="s">
        <v>977</v>
      </c>
      <c r="S2333" s="127"/>
      <c r="T2333" s="183">
        <v>5</v>
      </c>
      <c r="U2333" s="185"/>
      <c r="V2333" s="173" t="s">
        <v>4412</v>
      </c>
      <c r="W2333" s="174"/>
      <c r="X2333" s="244"/>
      <c r="Y2333" s="245"/>
      <c r="Z2333" s="246"/>
      <c r="AA2333" s="194"/>
      <c r="AB2333" s="195"/>
      <c r="AC2333" s="162" t="s">
        <v>6256</v>
      </c>
      <c r="AD2333" s="163"/>
      <c r="AE2333" s="274"/>
      <c r="AF2333" s="167"/>
      <c r="AG2333" s="168"/>
      <c r="AH2333" s="169"/>
      <c r="AI2333" s="167"/>
      <c r="AJ2333" s="48"/>
      <c r="AK2333" s="15"/>
      <c r="AL2333" s="15"/>
    </row>
    <row r="2334" spans="1:38" ht="15.5" x14ac:dyDescent="0.3">
      <c r="A2334" s="179"/>
      <c r="B2334" s="126" t="s">
        <v>6259</v>
      </c>
      <c r="C2334" s="203"/>
      <c r="D2334" s="127"/>
      <c r="E2334" s="64" t="s">
        <v>6260</v>
      </c>
      <c r="F2334" s="104" t="s">
        <v>6261</v>
      </c>
      <c r="G2334" s="202"/>
      <c r="H2334" s="105"/>
      <c r="I2334" s="204">
        <v>11</v>
      </c>
      <c r="J2334" s="205"/>
      <c r="K2334" s="126" t="s">
        <v>6252</v>
      </c>
      <c r="L2334" s="127"/>
      <c r="M2334" s="204">
        <v>88</v>
      </c>
      <c r="N2334" s="250"/>
      <c r="O2334" s="205"/>
      <c r="P2334" s="204">
        <v>7</v>
      </c>
      <c r="Q2334" s="205"/>
      <c r="R2334" s="126" t="s">
        <v>977</v>
      </c>
      <c r="S2334" s="127"/>
      <c r="T2334" s="204">
        <v>5</v>
      </c>
      <c r="U2334" s="205"/>
      <c r="V2334" s="208" t="s">
        <v>4412</v>
      </c>
      <c r="W2334" s="209"/>
      <c r="X2334" s="241">
        <v>130</v>
      </c>
      <c r="Y2334" s="242"/>
      <c r="Z2334" s="243"/>
      <c r="AA2334" s="192" t="s">
        <v>4095</v>
      </c>
      <c r="AB2334" s="193"/>
      <c r="AC2334" s="126" t="s">
        <v>6262</v>
      </c>
      <c r="AD2334" s="127"/>
      <c r="AE2334" s="40" t="s">
        <v>6264</v>
      </c>
      <c r="AF2334" s="167"/>
      <c r="AG2334" s="168"/>
      <c r="AH2334" s="169"/>
      <c r="AI2334" s="167"/>
      <c r="AJ2334" s="271"/>
      <c r="AK2334" s="15"/>
      <c r="AL2334" s="15"/>
    </row>
    <row r="2335" spans="1:38" ht="45" x14ac:dyDescent="0.3">
      <c r="A2335" s="179"/>
      <c r="B2335" s="126"/>
      <c r="C2335" s="203"/>
      <c r="D2335" s="127"/>
      <c r="E2335" s="65"/>
      <c r="F2335" s="104"/>
      <c r="G2335" s="202"/>
      <c r="H2335" s="105"/>
      <c r="I2335" s="206"/>
      <c r="J2335" s="207"/>
      <c r="K2335" s="126" t="s">
        <v>6252</v>
      </c>
      <c r="L2335" s="127"/>
      <c r="M2335" s="206"/>
      <c r="N2335" s="251"/>
      <c r="O2335" s="207"/>
      <c r="P2335" s="206"/>
      <c r="Q2335" s="207"/>
      <c r="R2335" s="126" t="s">
        <v>977</v>
      </c>
      <c r="S2335" s="127"/>
      <c r="T2335" s="206"/>
      <c r="U2335" s="207"/>
      <c r="V2335" s="210"/>
      <c r="W2335" s="211"/>
      <c r="X2335" s="247"/>
      <c r="Y2335" s="248"/>
      <c r="Z2335" s="249"/>
      <c r="AA2335" s="272"/>
      <c r="AB2335" s="273"/>
      <c r="AC2335" s="126" t="s">
        <v>6263</v>
      </c>
      <c r="AD2335" s="127"/>
      <c r="AE2335" s="40" t="s">
        <v>1356</v>
      </c>
      <c r="AF2335" s="167"/>
      <c r="AG2335" s="168"/>
      <c r="AH2335" s="169"/>
      <c r="AI2335" s="167"/>
      <c r="AJ2335" s="271"/>
      <c r="AK2335" s="15"/>
      <c r="AL2335" s="15"/>
    </row>
    <row r="2336" spans="1:38" ht="60" x14ac:dyDescent="0.3">
      <c r="A2336" s="179"/>
      <c r="B2336" s="126"/>
      <c r="C2336" s="203"/>
      <c r="D2336" s="127"/>
      <c r="E2336" s="28" t="s">
        <v>6266</v>
      </c>
      <c r="F2336" s="104"/>
      <c r="G2336" s="202"/>
      <c r="H2336" s="105"/>
      <c r="I2336" s="183">
        <v>11</v>
      </c>
      <c r="J2336" s="185"/>
      <c r="K2336" s="126"/>
      <c r="L2336" s="127"/>
      <c r="M2336" s="183">
        <v>88</v>
      </c>
      <c r="N2336" s="184"/>
      <c r="O2336" s="185"/>
      <c r="P2336" s="183">
        <v>7</v>
      </c>
      <c r="Q2336" s="185"/>
      <c r="R2336" s="126"/>
      <c r="S2336" s="127"/>
      <c r="T2336" s="183">
        <v>5</v>
      </c>
      <c r="U2336" s="185"/>
      <c r="V2336" s="173" t="s">
        <v>4412</v>
      </c>
      <c r="W2336" s="174"/>
      <c r="X2336" s="244"/>
      <c r="Y2336" s="245"/>
      <c r="Z2336" s="246"/>
      <c r="AA2336" s="194"/>
      <c r="AB2336" s="195"/>
      <c r="AC2336" s="126"/>
      <c r="AD2336" s="127"/>
      <c r="AE2336" s="40" t="s">
        <v>6265</v>
      </c>
      <c r="AF2336" s="167"/>
      <c r="AG2336" s="168"/>
      <c r="AH2336" s="169"/>
      <c r="AI2336" s="167"/>
      <c r="AJ2336" s="48"/>
      <c r="AK2336" s="15"/>
      <c r="AL2336" s="15"/>
    </row>
    <row r="2337" spans="1:38" ht="75" x14ac:dyDescent="0.35">
      <c r="A2337" s="179"/>
      <c r="B2337" s="121"/>
      <c r="C2337" s="122"/>
      <c r="D2337" s="123"/>
      <c r="E2337" s="28" t="s">
        <v>6267</v>
      </c>
      <c r="F2337" s="121"/>
      <c r="G2337" s="122"/>
      <c r="H2337" s="123"/>
      <c r="I2337" s="183">
        <v>9</v>
      </c>
      <c r="J2337" s="185"/>
      <c r="K2337" s="126" t="s">
        <v>6252</v>
      </c>
      <c r="L2337" s="127"/>
      <c r="M2337" s="183">
        <v>93</v>
      </c>
      <c r="N2337" s="184"/>
      <c r="O2337" s="185"/>
      <c r="P2337" s="183">
        <v>7</v>
      </c>
      <c r="Q2337" s="185"/>
      <c r="R2337" s="126" t="s">
        <v>977</v>
      </c>
      <c r="S2337" s="127"/>
      <c r="T2337" s="183">
        <v>5</v>
      </c>
      <c r="U2337" s="185"/>
      <c r="V2337" s="173" t="s">
        <v>6268</v>
      </c>
      <c r="W2337" s="174"/>
      <c r="X2337" s="227">
        <v>125</v>
      </c>
      <c r="Y2337" s="228"/>
      <c r="Z2337" s="229"/>
      <c r="AA2337" s="124" t="s">
        <v>6269</v>
      </c>
      <c r="AB2337" s="125"/>
      <c r="AC2337" s="155" t="s">
        <v>6270</v>
      </c>
      <c r="AD2337" s="157"/>
      <c r="AE2337" s="40" t="s">
        <v>6271</v>
      </c>
      <c r="AF2337" s="167"/>
      <c r="AG2337" s="168"/>
      <c r="AH2337" s="169"/>
      <c r="AI2337" s="167"/>
      <c r="AJ2337" s="48"/>
      <c r="AK2337" s="15"/>
      <c r="AL2337" s="15"/>
    </row>
    <row r="2338" spans="1:38" ht="60" x14ac:dyDescent="0.35">
      <c r="A2338" s="179"/>
      <c r="B2338" s="121"/>
      <c r="C2338" s="122"/>
      <c r="D2338" s="123"/>
      <c r="E2338" s="28" t="s">
        <v>6272</v>
      </c>
      <c r="F2338" s="121"/>
      <c r="G2338" s="122"/>
      <c r="H2338" s="123"/>
      <c r="I2338" s="183">
        <v>10</v>
      </c>
      <c r="J2338" s="185"/>
      <c r="K2338" s="126" t="s">
        <v>6252</v>
      </c>
      <c r="L2338" s="127"/>
      <c r="M2338" s="183">
        <v>93</v>
      </c>
      <c r="N2338" s="184"/>
      <c r="O2338" s="185"/>
      <c r="P2338" s="183">
        <v>7</v>
      </c>
      <c r="Q2338" s="185"/>
      <c r="R2338" s="126" t="s">
        <v>977</v>
      </c>
      <c r="S2338" s="127"/>
      <c r="T2338" s="183">
        <v>5</v>
      </c>
      <c r="U2338" s="185"/>
      <c r="V2338" s="173" t="s">
        <v>6268</v>
      </c>
      <c r="W2338" s="174"/>
      <c r="X2338" s="227">
        <v>130</v>
      </c>
      <c r="Y2338" s="228"/>
      <c r="Z2338" s="229"/>
      <c r="AA2338" s="110" t="s">
        <v>6273</v>
      </c>
      <c r="AB2338" s="111"/>
      <c r="AC2338" s="121"/>
      <c r="AD2338" s="123"/>
      <c r="AE2338" s="58"/>
      <c r="AF2338" s="167"/>
      <c r="AG2338" s="168"/>
      <c r="AH2338" s="169"/>
      <c r="AI2338" s="167"/>
      <c r="AJ2338" s="48"/>
      <c r="AK2338" s="15"/>
      <c r="AL2338" s="15"/>
    </row>
    <row r="2339" spans="1:38" ht="60" x14ac:dyDescent="0.35">
      <c r="A2339" s="230"/>
      <c r="B2339" s="93"/>
      <c r="C2339" s="106"/>
      <c r="D2339" s="94"/>
      <c r="E2339" s="28" t="s">
        <v>6274</v>
      </c>
      <c r="F2339" s="93"/>
      <c r="G2339" s="106"/>
      <c r="H2339" s="94"/>
      <c r="I2339" s="183">
        <v>11</v>
      </c>
      <c r="J2339" s="185"/>
      <c r="K2339" s="117" t="s">
        <v>6252</v>
      </c>
      <c r="L2339" s="118"/>
      <c r="M2339" s="183">
        <v>93</v>
      </c>
      <c r="N2339" s="184"/>
      <c r="O2339" s="185"/>
      <c r="P2339" s="183">
        <v>7</v>
      </c>
      <c r="Q2339" s="185"/>
      <c r="R2339" s="117" t="s">
        <v>977</v>
      </c>
      <c r="S2339" s="118"/>
      <c r="T2339" s="183">
        <v>5</v>
      </c>
      <c r="U2339" s="185"/>
      <c r="V2339" s="173" t="s">
        <v>6268</v>
      </c>
      <c r="W2339" s="174"/>
      <c r="X2339" s="227">
        <v>135</v>
      </c>
      <c r="Y2339" s="228"/>
      <c r="Z2339" s="229"/>
      <c r="AA2339" s="110" t="s">
        <v>5057</v>
      </c>
      <c r="AB2339" s="111"/>
      <c r="AC2339" s="93"/>
      <c r="AD2339" s="94"/>
      <c r="AE2339" s="52"/>
      <c r="AF2339" s="214"/>
      <c r="AG2339" s="215"/>
      <c r="AH2339" s="216"/>
      <c r="AI2339" s="167"/>
      <c r="AJ2339" s="48"/>
      <c r="AK2339" s="15"/>
      <c r="AL2339" s="15"/>
    </row>
    <row r="2340" spans="1:38" ht="90" x14ac:dyDescent="0.35">
      <c r="A2340" s="178"/>
      <c r="B2340" s="119"/>
      <c r="C2340" s="139"/>
      <c r="D2340" s="120"/>
      <c r="E2340" s="28" t="s">
        <v>6275</v>
      </c>
      <c r="F2340" s="119"/>
      <c r="G2340" s="139"/>
      <c r="H2340" s="120"/>
      <c r="I2340" s="110" t="s">
        <v>842</v>
      </c>
      <c r="J2340" s="111"/>
      <c r="K2340" s="143" t="s">
        <v>5578</v>
      </c>
      <c r="L2340" s="145"/>
      <c r="M2340" s="183">
        <v>37</v>
      </c>
      <c r="N2340" s="184"/>
      <c r="O2340" s="185"/>
      <c r="P2340" s="183">
        <v>4</v>
      </c>
      <c r="Q2340" s="185"/>
      <c r="R2340" s="114" t="s">
        <v>4862</v>
      </c>
      <c r="S2340" s="116"/>
      <c r="T2340" s="183">
        <v>3</v>
      </c>
      <c r="U2340" s="185"/>
      <c r="V2340" s="173" t="s">
        <v>1492</v>
      </c>
      <c r="W2340" s="174"/>
      <c r="X2340" s="129"/>
      <c r="Y2340" s="130"/>
      <c r="Z2340" s="131"/>
      <c r="AA2340" s="119"/>
      <c r="AB2340" s="120"/>
      <c r="AC2340" s="119"/>
      <c r="AD2340" s="120"/>
      <c r="AE2340" s="57"/>
      <c r="AF2340" s="164"/>
      <c r="AG2340" s="165"/>
      <c r="AH2340" s="166"/>
      <c r="AI2340" s="167"/>
      <c r="AJ2340" s="48"/>
      <c r="AK2340" s="15"/>
      <c r="AL2340" s="15"/>
    </row>
    <row r="2341" spans="1:38" ht="90" x14ac:dyDescent="0.35">
      <c r="A2341" s="179"/>
      <c r="B2341" s="121"/>
      <c r="C2341" s="122"/>
      <c r="D2341" s="123"/>
      <c r="E2341" s="28" t="s">
        <v>6276</v>
      </c>
      <c r="F2341" s="121"/>
      <c r="G2341" s="122"/>
      <c r="H2341" s="123"/>
      <c r="I2341" s="110" t="s">
        <v>842</v>
      </c>
      <c r="J2341" s="111"/>
      <c r="K2341" s="104" t="s">
        <v>5578</v>
      </c>
      <c r="L2341" s="105"/>
      <c r="M2341" s="183">
        <v>37</v>
      </c>
      <c r="N2341" s="184"/>
      <c r="O2341" s="185"/>
      <c r="P2341" s="183">
        <v>4</v>
      </c>
      <c r="Q2341" s="185"/>
      <c r="R2341" s="114" t="s">
        <v>4862</v>
      </c>
      <c r="S2341" s="116"/>
      <c r="T2341" s="183">
        <v>3</v>
      </c>
      <c r="U2341" s="185"/>
      <c r="V2341" s="173" t="s">
        <v>1492</v>
      </c>
      <c r="W2341" s="174"/>
      <c r="X2341" s="258" t="s">
        <v>6277</v>
      </c>
      <c r="Y2341" s="259"/>
      <c r="Z2341" s="260"/>
      <c r="AA2341" s="155" t="s">
        <v>6278</v>
      </c>
      <c r="AB2341" s="157"/>
      <c r="AC2341" s="121"/>
      <c r="AD2341" s="123"/>
      <c r="AE2341" s="58"/>
      <c r="AF2341" s="167"/>
      <c r="AG2341" s="168"/>
      <c r="AH2341" s="169"/>
      <c r="AI2341" s="167"/>
      <c r="AJ2341" s="48"/>
      <c r="AK2341" s="15"/>
      <c r="AL2341" s="15"/>
    </row>
    <row r="2342" spans="1:38" ht="75" x14ac:dyDescent="0.35">
      <c r="A2342" s="179"/>
      <c r="B2342" s="121"/>
      <c r="C2342" s="122"/>
      <c r="D2342" s="123"/>
      <c r="E2342" s="28" t="s">
        <v>6279</v>
      </c>
      <c r="F2342" s="121"/>
      <c r="G2342" s="122"/>
      <c r="H2342" s="123"/>
      <c r="I2342" s="110" t="s">
        <v>842</v>
      </c>
      <c r="J2342" s="111"/>
      <c r="K2342" s="104" t="s">
        <v>5578</v>
      </c>
      <c r="L2342" s="105"/>
      <c r="M2342" s="183">
        <v>37</v>
      </c>
      <c r="N2342" s="184"/>
      <c r="O2342" s="185"/>
      <c r="P2342" s="183">
        <v>4</v>
      </c>
      <c r="Q2342" s="185"/>
      <c r="R2342" s="114" t="s">
        <v>4862</v>
      </c>
      <c r="S2342" s="116"/>
      <c r="T2342" s="183">
        <v>3</v>
      </c>
      <c r="U2342" s="185"/>
      <c r="V2342" s="173" t="s">
        <v>1492</v>
      </c>
      <c r="W2342" s="174"/>
      <c r="X2342" s="90"/>
      <c r="Y2342" s="91"/>
      <c r="Z2342" s="92"/>
      <c r="AA2342" s="93"/>
      <c r="AB2342" s="94"/>
      <c r="AC2342" s="121"/>
      <c r="AD2342" s="123"/>
      <c r="AE2342" s="58"/>
      <c r="AF2342" s="167"/>
      <c r="AG2342" s="168"/>
      <c r="AH2342" s="169"/>
      <c r="AI2342" s="167"/>
      <c r="AJ2342" s="48"/>
      <c r="AK2342" s="15"/>
      <c r="AL2342" s="15"/>
    </row>
    <row r="2343" spans="1:38" ht="90" x14ac:dyDescent="0.35">
      <c r="A2343" s="179"/>
      <c r="B2343" s="121"/>
      <c r="C2343" s="122"/>
      <c r="D2343" s="123"/>
      <c r="E2343" s="28" t="s">
        <v>6280</v>
      </c>
      <c r="F2343" s="121"/>
      <c r="G2343" s="122"/>
      <c r="H2343" s="123"/>
      <c r="I2343" s="110" t="s">
        <v>1023</v>
      </c>
      <c r="J2343" s="111"/>
      <c r="K2343" s="104" t="s">
        <v>5578</v>
      </c>
      <c r="L2343" s="105"/>
      <c r="M2343" s="183">
        <v>37</v>
      </c>
      <c r="N2343" s="184"/>
      <c r="O2343" s="185"/>
      <c r="P2343" s="183">
        <v>4</v>
      </c>
      <c r="Q2343" s="185"/>
      <c r="R2343" s="114" t="s">
        <v>4862</v>
      </c>
      <c r="S2343" s="116"/>
      <c r="T2343" s="183">
        <v>3</v>
      </c>
      <c r="U2343" s="185"/>
      <c r="V2343" s="173" t="s">
        <v>1492</v>
      </c>
      <c r="W2343" s="174"/>
      <c r="X2343" s="129"/>
      <c r="Y2343" s="130"/>
      <c r="Z2343" s="131"/>
      <c r="AA2343" s="119"/>
      <c r="AB2343" s="120"/>
      <c r="AC2343" s="121"/>
      <c r="AD2343" s="123"/>
      <c r="AE2343" s="58"/>
      <c r="AF2343" s="167"/>
      <c r="AG2343" s="168"/>
      <c r="AH2343" s="169"/>
      <c r="AI2343" s="167"/>
      <c r="AJ2343" s="48"/>
      <c r="AK2343" s="15"/>
      <c r="AL2343" s="15"/>
    </row>
    <row r="2344" spans="1:38" ht="90" x14ac:dyDescent="0.35">
      <c r="A2344" s="179"/>
      <c r="B2344" s="121"/>
      <c r="C2344" s="122"/>
      <c r="D2344" s="123"/>
      <c r="E2344" s="28" t="s">
        <v>6281</v>
      </c>
      <c r="F2344" s="121"/>
      <c r="G2344" s="122"/>
      <c r="H2344" s="123"/>
      <c r="I2344" s="110" t="s">
        <v>1023</v>
      </c>
      <c r="J2344" s="111"/>
      <c r="K2344" s="104" t="s">
        <v>5578</v>
      </c>
      <c r="L2344" s="105"/>
      <c r="M2344" s="183">
        <v>37</v>
      </c>
      <c r="N2344" s="184"/>
      <c r="O2344" s="185"/>
      <c r="P2344" s="183">
        <v>4</v>
      </c>
      <c r="Q2344" s="185"/>
      <c r="R2344" s="114" t="s">
        <v>4862</v>
      </c>
      <c r="S2344" s="116"/>
      <c r="T2344" s="183">
        <v>3</v>
      </c>
      <c r="U2344" s="185"/>
      <c r="V2344" s="173" t="s">
        <v>1492</v>
      </c>
      <c r="W2344" s="174"/>
      <c r="X2344" s="258" t="s">
        <v>6282</v>
      </c>
      <c r="Y2344" s="259"/>
      <c r="Z2344" s="260"/>
      <c r="AA2344" s="155" t="s">
        <v>6283</v>
      </c>
      <c r="AB2344" s="157"/>
      <c r="AC2344" s="121"/>
      <c r="AD2344" s="123"/>
      <c r="AE2344" s="58"/>
      <c r="AF2344" s="167"/>
      <c r="AG2344" s="168"/>
      <c r="AH2344" s="169"/>
      <c r="AI2344" s="167"/>
      <c r="AJ2344" s="48"/>
      <c r="AK2344" s="15"/>
      <c r="AL2344" s="15"/>
    </row>
    <row r="2345" spans="1:38" ht="75" x14ac:dyDescent="0.35">
      <c r="A2345" s="179"/>
      <c r="B2345" s="121"/>
      <c r="C2345" s="122"/>
      <c r="D2345" s="123"/>
      <c r="E2345" s="28" t="s">
        <v>6284</v>
      </c>
      <c r="F2345" s="121"/>
      <c r="G2345" s="122"/>
      <c r="H2345" s="123"/>
      <c r="I2345" s="110" t="s">
        <v>1023</v>
      </c>
      <c r="J2345" s="111"/>
      <c r="K2345" s="104" t="s">
        <v>5578</v>
      </c>
      <c r="L2345" s="105"/>
      <c r="M2345" s="183">
        <v>37</v>
      </c>
      <c r="N2345" s="184"/>
      <c r="O2345" s="185"/>
      <c r="P2345" s="183">
        <v>4</v>
      </c>
      <c r="Q2345" s="185"/>
      <c r="R2345" s="114" t="s">
        <v>4862</v>
      </c>
      <c r="S2345" s="116"/>
      <c r="T2345" s="183">
        <v>3</v>
      </c>
      <c r="U2345" s="185"/>
      <c r="V2345" s="173" t="s">
        <v>1492</v>
      </c>
      <c r="W2345" s="174"/>
      <c r="X2345" s="90"/>
      <c r="Y2345" s="91"/>
      <c r="Z2345" s="92"/>
      <c r="AA2345" s="93"/>
      <c r="AB2345" s="94"/>
      <c r="AC2345" s="121"/>
      <c r="AD2345" s="123"/>
      <c r="AE2345" s="58"/>
      <c r="AF2345" s="167"/>
      <c r="AG2345" s="168"/>
      <c r="AH2345" s="169"/>
      <c r="AI2345" s="167"/>
      <c r="AJ2345" s="48"/>
      <c r="AK2345" s="15"/>
      <c r="AL2345" s="15"/>
    </row>
    <row r="2346" spans="1:38" ht="90" x14ac:dyDescent="0.35">
      <c r="A2346" s="179"/>
      <c r="B2346" s="121"/>
      <c r="C2346" s="122"/>
      <c r="D2346" s="123"/>
      <c r="E2346" s="28" t="s">
        <v>6285</v>
      </c>
      <c r="F2346" s="121"/>
      <c r="G2346" s="122"/>
      <c r="H2346" s="123"/>
      <c r="I2346" s="110" t="s">
        <v>1520</v>
      </c>
      <c r="J2346" s="111"/>
      <c r="K2346" s="104" t="s">
        <v>5578</v>
      </c>
      <c r="L2346" s="105"/>
      <c r="M2346" s="183">
        <v>37</v>
      </c>
      <c r="N2346" s="184"/>
      <c r="O2346" s="185"/>
      <c r="P2346" s="183">
        <v>4</v>
      </c>
      <c r="Q2346" s="185"/>
      <c r="R2346" s="114" t="s">
        <v>4862</v>
      </c>
      <c r="S2346" s="116"/>
      <c r="T2346" s="183">
        <v>3</v>
      </c>
      <c r="U2346" s="185"/>
      <c r="V2346" s="173" t="s">
        <v>1492</v>
      </c>
      <c r="W2346" s="174"/>
      <c r="X2346" s="129"/>
      <c r="Y2346" s="130"/>
      <c r="Z2346" s="131"/>
      <c r="AA2346" s="119"/>
      <c r="AB2346" s="120"/>
      <c r="AC2346" s="121"/>
      <c r="AD2346" s="123"/>
      <c r="AE2346" s="58"/>
      <c r="AF2346" s="167"/>
      <c r="AG2346" s="168"/>
      <c r="AH2346" s="169"/>
      <c r="AI2346" s="167"/>
      <c r="AJ2346" s="48"/>
      <c r="AK2346" s="15"/>
      <c r="AL2346" s="15"/>
    </row>
    <row r="2347" spans="1:38" ht="90" x14ac:dyDescent="0.35">
      <c r="A2347" s="179"/>
      <c r="B2347" s="121"/>
      <c r="C2347" s="122"/>
      <c r="D2347" s="123"/>
      <c r="E2347" s="28" t="s">
        <v>6286</v>
      </c>
      <c r="F2347" s="121"/>
      <c r="G2347" s="122"/>
      <c r="H2347" s="123"/>
      <c r="I2347" s="110" t="s">
        <v>1520</v>
      </c>
      <c r="J2347" s="111"/>
      <c r="K2347" s="104" t="s">
        <v>5578</v>
      </c>
      <c r="L2347" s="105"/>
      <c r="M2347" s="183">
        <v>37</v>
      </c>
      <c r="N2347" s="184"/>
      <c r="O2347" s="185"/>
      <c r="P2347" s="183">
        <v>4</v>
      </c>
      <c r="Q2347" s="185"/>
      <c r="R2347" s="114" t="s">
        <v>4862</v>
      </c>
      <c r="S2347" s="116"/>
      <c r="T2347" s="183">
        <v>3</v>
      </c>
      <c r="U2347" s="185"/>
      <c r="V2347" s="173" t="s">
        <v>1492</v>
      </c>
      <c r="W2347" s="174"/>
      <c r="X2347" s="258" t="s">
        <v>6287</v>
      </c>
      <c r="Y2347" s="259"/>
      <c r="Z2347" s="260"/>
      <c r="AA2347" s="155" t="s">
        <v>6288</v>
      </c>
      <c r="AB2347" s="157"/>
      <c r="AC2347" s="121"/>
      <c r="AD2347" s="123"/>
      <c r="AE2347" s="58"/>
      <c r="AF2347" s="167"/>
      <c r="AG2347" s="168"/>
      <c r="AH2347" s="169"/>
      <c r="AI2347" s="167"/>
      <c r="AJ2347" s="48"/>
      <c r="AK2347" s="15"/>
      <c r="AL2347" s="15"/>
    </row>
    <row r="2348" spans="1:38" ht="90" x14ac:dyDescent="0.35">
      <c r="A2348" s="179"/>
      <c r="B2348" s="121"/>
      <c r="C2348" s="122"/>
      <c r="D2348" s="123"/>
      <c r="E2348" s="28" t="s">
        <v>6289</v>
      </c>
      <c r="F2348" s="121"/>
      <c r="G2348" s="122"/>
      <c r="H2348" s="123"/>
      <c r="I2348" s="110" t="s">
        <v>1520</v>
      </c>
      <c r="J2348" s="111"/>
      <c r="K2348" s="104" t="s">
        <v>5578</v>
      </c>
      <c r="L2348" s="105"/>
      <c r="M2348" s="183">
        <v>37</v>
      </c>
      <c r="N2348" s="184"/>
      <c r="O2348" s="185"/>
      <c r="P2348" s="183">
        <v>4</v>
      </c>
      <c r="Q2348" s="185"/>
      <c r="R2348" s="114" t="s">
        <v>4862</v>
      </c>
      <c r="S2348" s="116"/>
      <c r="T2348" s="183">
        <v>3</v>
      </c>
      <c r="U2348" s="185"/>
      <c r="V2348" s="173" t="s">
        <v>1492</v>
      </c>
      <c r="W2348" s="174"/>
      <c r="X2348" s="90"/>
      <c r="Y2348" s="91"/>
      <c r="Z2348" s="92"/>
      <c r="AA2348" s="93"/>
      <c r="AB2348" s="94"/>
      <c r="AC2348" s="121"/>
      <c r="AD2348" s="123"/>
      <c r="AE2348" s="58"/>
      <c r="AF2348" s="167"/>
      <c r="AG2348" s="168"/>
      <c r="AH2348" s="169"/>
      <c r="AI2348" s="167"/>
      <c r="AJ2348" s="48"/>
      <c r="AK2348" s="15"/>
      <c r="AL2348" s="15"/>
    </row>
    <row r="2349" spans="1:38" ht="90" x14ac:dyDescent="0.35">
      <c r="A2349" s="179"/>
      <c r="B2349" s="121"/>
      <c r="C2349" s="122"/>
      <c r="D2349" s="123"/>
      <c r="E2349" s="28" t="s">
        <v>6290</v>
      </c>
      <c r="F2349" s="121"/>
      <c r="G2349" s="122"/>
      <c r="H2349" s="123"/>
      <c r="I2349" s="110" t="s">
        <v>1338</v>
      </c>
      <c r="J2349" s="111"/>
      <c r="K2349" s="104" t="s">
        <v>5578</v>
      </c>
      <c r="L2349" s="105"/>
      <c r="M2349" s="183">
        <v>48</v>
      </c>
      <c r="N2349" s="184"/>
      <c r="O2349" s="185"/>
      <c r="P2349" s="183">
        <v>4</v>
      </c>
      <c r="Q2349" s="185"/>
      <c r="R2349" s="114" t="s">
        <v>4862</v>
      </c>
      <c r="S2349" s="116"/>
      <c r="T2349" s="183">
        <v>3</v>
      </c>
      <c r="U2349" s="185"/>
      <c r="V2349" s="173" t="s">
        <v>6291</v>
      </c>
      <c r="W2349" s="174"/>
      <c r="X2349" s="129"/>
      <c r="Y2349" s="130"/>
      <c r="Z2349" s="131"/>
      <c r="AA2349" s="119"/>
      <c r="AB2349" s="120"/>
      <c r="AC2349" s="121"/>
      <c r="AD2349" s="123"/>
      <c r="AE2349" s="58"/>
      <c r="AF2349" s="167"/>
      <c r="AG2349" s="168"/>
      <c r="AH2349" s="169"/>
      <c r="AI2349" s="167"/>
      <c r="AJ2349" s="48"/>
      <c r="AK2349" s="15"/>
      <c r="AL2349" s="15"/>
    </row>
    <row r="2350" spans="1:38" ht="90" x14ac:dyDescent="0.35">
      <c r="A2350" s="179"/>
      <c r="B2350" s="121"/>
      <c r="C2350" s="122"/>
      <c r="D2350" s="123"/>
      <c r="E2350" s="28" t="s">
        <v>6292</v>
      </c>
      <c r="F2350" s="121"/>
      <c r="G2350" s="122"/>
      <c r="H2350" s="123"/>
      <c r="I2350" s="110" t="s">
        <v>1338</v>
      </c>
      <c r="J2350" s="111"/>
      <c r="K2350" s="104" t="s">
        <v>5578</v>
      </c>
      <c r="L2350" s="105"/>
      <c r="M2350" s="183">
        <v>48</v>
      </c>
      <c r="N2350" s="184"/>
      <c r="O2350" s="185"/>
      <c r="P2350" s="183">
        <v>4</v>
      </c>
      <c r="Q2350" s="185"/>
      <c r="R2350" s="114" t="s">
        <v>4862</v>
      </c>
      <c r="S2350" s="116"/>
      <c r="T2350" s="183">
        <v>3</v>
      </c>
      <c r="U2350" s="185"/>
      <c r="V2350" s="173" t="s">
        <v>6291</v>
      </c>
      <c r="W2350" s="174"/>
      <c r="X2350" s="258" t="s">
        <v>6293</v>
      </c>
      <c r="Y2350" s="259"/>
      <c r="Z2350" s="260"/>
      <c r="AA2350" s="155" t="s">
        <v>6294</v>
      </c>
      <c r="AB2350" s="157"/>
      <c r="AC2350" s="121"/>
      <c r="AD2350" s="123"/>
      <c r="AE2350" s="58"/>
      <c r="AF2350" s="167"/>
      <c r="AG2350" s="168"/>
      <c r="AH2350" s="169"/>
      <c r="AI2350" s="167"/>
      <c r="AJ2350" s="48"/>
      <c r="AK2350" s="15"/>
      <c r="AL2350" s="15"/>
    </row>
    <row r="2351" spans="1:38" ht="75" x14ac:dyDescent="0.35">
      <c r="A2351" s="179"/>
      <c r="B2351" s="121"/>
      <c r="C2351" s="122"/>
      <c r="D2351" s="123"/>
      <c r="E2351" s="28" t="s">
        <v>6295</v>
      </c>
      <c r="F2351" s="121"/>
      <c r="G2351" s="122"/>
      <c r="H2351" s="123"/>
      <c r="I2351" s="110" t="s">
        <v>1338</v>
      </c>
      <c r="J2351" s="111"/>
      <c r="K2351" s="104" t="s">
        <v>5578</v>
      </c>
      <c r="L2351" s="105"/>
      <c r="M2351" s="183">
        <v>48</v>
      </c>
      <c r="N2351" s="184"/>
      <c r="O2351" s="185"/>
      <c r="P2351" s="183">
        <v>4</v>
      </c>
      <c r="Q2351" s="185"/>
      <c r="R2351" s="114" t="s">
        <v>4862</v>
      </c>
      <c r="S2351" s="116"/>
      <c r="T2351" s="183">
        <v>3</v>
      </c>
      <c r="U2351" s="185"/>
      <c r="V2351" s="173" t="s">
        <v>6291</v>
      </c>
      <c r="W2351" s="174"/>
      <c r="X2351" s="90"/>
      <c r="Y2351" s="91"/>
      <c r="Z2351" s="92"/>
      <c r="AA2351" s="93"/>
      <c r="AB2351" s="94"/>
      <c r="AC2351" s="155" t="s">
        <v>3194</v>
      </c>
      <c r="AD2351" s="157"/>
      <c r="AE2351" s="40" t="s">
        <v>4072</v>
      </c>
      <c r="AF2351" s="167"/>
      <c r="AG2351" s="168"/>
      <c r="AH2351" s="169"/>
      <c r="AI2351" s="167"/>
      <c r="AJ2351" s="48"/>
      <c r="AK2351" s="15"/>
      <c r="AL2351" s="15"/>
    </row>
    <row r="2352" spans="1:38" ht="90" x14ac:dyDescent="0.3">
      <c r="A2352" s="179"/>
      <c r="B2352" s="162" t="s">
        <v>6296</v>
      </c>
      <c r="C2352" s="170"/>
      <c r="D2352" s="163"/>
      <c r="E2352" s="28" t="s">
        <v>6298</v>
      </c>
      <c r="F2352" s="235" t="s">
        <v>6299</v>
      </c>
      <c r="G2352" s="270"/>
      <c r="H2352" s="236"/>
      <c r="I2352" s="110" t="s">
        <v>1739</v>
      </c>
      <c r="J2352" s="111"/>
      <c r="K2352" s="104" t="s">
        <v>5578</v>
      </c>
      <c r="L2352" s="105"/>
      <c r="M2352" s="183">
        <v>48</v>
      </c>
      <c r="N2352" s="184"/>
      <c r="O2352" s="185"/>
      <c r="P2352" s="183">
        <v>4</v>
      </c>
      <c r="Q2352" s="185"/>
      <c r="R2352" s="114" t="s">
        <v>4862</v>
      </c>
      <c r="S2352" s="116"/>
      <c r="T2352" s="183">
        <v>3</v>
      </c>
      <c r="U2352" s="185"/>
      <c r="V2352" s="173" t="s">
        <v>6291</v>
      </c>
      <c r="W2352" s="174"/>
      <c r="X2352" s="261" t="s">
        <v>6300</v>
      </c>
      <c r="Y2352" s="262"/>
      <c r="Z2352" s="263"/>
      <c r="AA2352" s="233" t="s">
        <v>6301</v>
      </c>
      <c r="AB2352" s="234"/>
      <c r="AC2352" s="126" t="s">
        <v>6302</v>
      </c>
      <c r="AD2352" s="127"/>
      <c r="AE2352" s="46" t="s">
        <v>6304</v>
      </c>
      <c r="AF2352" s="167"/>
      <c r="AG2352" s="168"/>
      <c r="AH2352" s="169"/>
      <c r="AI2352" s="167"/>
      <c r="AJ2352" s="48"/>
      <c r="AK2352" s="15"/>
      <c r="AL2352" s="15"/>
    </row>
    <row r="2353" spans="1:38" ht="75" x14ac:dyDescent="0.3">
      <c r="A2353" s="179"/>
      <c r="B2353" s="162" t="s">
        <v>6297</v>
      </c>
      <c r="C2353" s="170"/>
      <c r="D2353" s="163"/>
      <c r="E2353" s="28" t="s">
        <v>6306</v>
      </c>
      <c r="F2353" s="235"/>
      <c r="G2353" s="270"/>
      <c r="H2353" s="236"/>
      <c r="I2353" s="110" t="s">
        <v>1739</v>
      </c>
      <c r="J2353" s="111"/>
      <c r="K2353" s="104" t="s">
        <v>5578</v>
      </c>
      <c r="L2353" s="105"/>
      <c r="M2353" s="183">
        <v>48</v>
      </c>
      <c r="N2353" s="184"/>
      <c r="O2353" s="185"/>
      <c r="P2353" s="183">
        <v>4</v>
      </c>
      <c r="Q2353" s="185"/>
      <c r="R2353" s="114" t="s">
        <v>4862</v>
      </c>
      <c r="S2353" s="116"/>
      <c r="T2353" s="183">
        <v>3</v>
      </c>
      <c r="U2353" s="185"/>
      <c r="V2353" s="173" t="s">
        <v>6291</v>
      </c>
      <c r="W2353" s="174"/>
      <c r="X2353" s="264"/>
      <c r="Y2353" s="265"/>
      <c r="Z2353" s="266"/>
      <c r="AA2353" s="235"/>
      <c r="AB2353" s="236"/>
      <c r="AC2353" s="126" t="s">
        <v>2211</v>
      </c>
      <c r="AD2353" s="127"/>
      <c r="AE2353" s="46" t="s">
        <v>1356</v>
      </c>
      <c r="AF2353" s="167"/>
      <c r="AG2353" s="168"/>
      <c r="AH2353" s="169"/>
      <c r="AI2353" s="167"/>
      <c r="AJ2353" s="48"/>
      <c r="AK2353" s="15"/>
      <c r="AL2353" s="15"/>
    </row>
    <row r="2354" spans="1:38" ht="75" x14ac:dyDescent="0.3">
      <c r="A2354" s="179"/>
      <c r="B2354" s="162"/>
      <c r="C2354" s="170"/>
      <c r="D2354" s="163"/>
      <c r="E2354" s="28" t="s">
        <v>6307</v>
      </c>
      <c r="F2354" s="235"/>
      <c r="G2354" s="270"/>
      <c r="H2354" s="236"/>
      <c r="I2354" s="110" t="s">
        <v>1739</v>
      </c>
      <c r="J2354" s="111"/>
      <c r="K2354" s="104" t="s">
        <v>5578</v>
      </c>
      <c r="L2354" s="105"/>
      <c r="M2354" s="183">
        <v>48</v>
      </c>
      <c r="N2354" s="184"/>
      <c r="O2354" s="185"/>
      <c r="P2354" s="183">
        <v>4</v>
      </c>
      <c r="Q2354" s="185"/>
      <c r="R2354" s="114" t="s">
        <v>4862</v>
      </c>
      <c r="S2354" s="116"/>
      <c r="T2354" s="183">
        <v>3</v>
      </c>
      <c r="U2354" s="185"/>
      <c r="V2354" s="173" t="s">
        <v>6291</v>
      </c>
      <c r="W2354" s="174"/>
      <c r="X2354" s="267"/>
      <c r="Y2354" s="268"/>
      <c r="Z2354" s="269"/>
      <c r="AA2354" s="237"/>
      <c r="AB2354" s="238"/>
      <c r="AC2354" s="126" t="s">
        <v>6303</v>
      </c>
      <c r="AD2354" s="127"/>
      <c r="AE2354" s="46" t="s">
        <v>6305</v>
      </c>
      <c r="AF2354" s="167"/>
      <c r="AG2354" s="168"/>
      <c r="AH2354" s="169"/>
      <c r="AI2354" s="167"/>
      <c r="AJ2354" s="48"/>
      <c r="AK2354" s="15"/>
      <c r="AL2354" s="15"/>
    </row>
    <row r="2355" spans="1:38" ht="90" x14ac:dyDescent="0.35">
      <c r="A2355" s="179"/>
      <c r="B2355" s="167"/>
      <c r="C2355" s="168"/>
      <c r="D2355" s="169"/>
      <c r="E2355" s="28" t="s">
        <v>6308</v>
      </c>
      <c r="F2355" s="167"/>
      <c r="G2355" s="168"/>
      <c r="H2355" s="169"/>
      <c r="I2355" s="110" t="s">
        <v>1127</v>
      </c>
      <c r="J2355" s="111"/>
      <c r="K2355" s="104" t="s">
        <v>5578</v>
      </c>
      <c r="L2355" s="105"/>
      <c r="M2355" s="183">
        <v>48</v>
      </c>
      <c r="N2355" s="184"/>
      <c r="O2355" s="185"/>
      <c r="P2355" s="183">
        <v>4</v>
      </c>
      <c r="Q2355" s="185"/>
      <c r="R2355" s="114" t="s">
        <v>4862</v>
      </c>
      <c r="S2355" s="116"/>
      <c r="T2355" s="183">
        <v>3</v>
      </c>
      <c r="U2355" s="185"/>
      <c r="V2355" s="173" t="s">
        <v>6291</v>
      </c>
      <c r="W2355" s="174"/>
      <c r="X2355" s="129"/>
      <c r="Y2355" s="130"/>
      <c r="Z2355" s="131"/>
      <c r="AA2355" s="119"/>
      <c r="AB2355" s="120"/>
      <c r="AC2355" s="126" t="s">
        <v>6309</v>
      </c>
      <c r="AD2355" s="127"/>
      <c r="AE2355" s="40" t="s">
        <v>6310</v>
      </c>
      <c r="AF2355" s="167"/>
      <c r="AG2355" s="168"/>
      <c r="AH2355" s="169"/>
      <c r="AI2355" s="167"/>
      <c r="AJ2355" s="48"/>
      <c r="AK2355" s="15"/>
      <c r="AL2355" s="15"/>
    </row>
    <row r="2356" spans="1:38" ht="90" x14ac:dyDescent="0.35">
      <c r="A2356" s="179"/>
      <c r="B2356" s="167"/>
      <c r="C2356" s="168"/>
      <c r="D2356" s="169"/>
      <c r="E2356" s="28" t="s">
        <v>6311</v>
      </c>
      <c r="F2356" s="167"/>
      <c r="G2356" s="168"/>
      <c r="H2356" s="169"/>
      <c r="I2356" s="110" t="s">
        <v>1127</v>
      </c>
      <c r="J2356" s="111"/>
      <c r="K2356" s="104" t="s">
        <v>5578</v>
      </c>
      <c r="L2356" s="105"/>
      <c r="M2356" s="183">
        <v>48</v>
      </c>
      <c r="N2356" s="184"/>
      <c r="O2356" s="185"/>
      <c r="P2356" s="183">
        <v>4</v>
      </c>
      <c r="Q2356" s="185"/>
      <c r="R2356" s="114" t="s">
        <v>4862</v>
      </c>
      <c r="S2356" s="116"/>
      <c r="T2356" s="183">
        <v>3</v>
      </c>
      <c r="U2356" s="185"/>
      <c r="V2356" s="173" t="s">
        <v>6291</v>
      </c>
      <c r="W2356" s="174"/>
      <c r="X2356" s="258" t="s">
        <v>6312</v>
      </c>
      <c r="Y2356" s="259"/>
      <c r="Z2356" s="260"/>
      <c r="AA2356" s="104" t="s">
        <v>4351</v>
      </c>
      <c r="AB2356" s="105"/>
      <c r="AC2356" s="121"/>
      <c r="AD2356" s="123"/>
      <c r="AE2356" s="58"/>
      <c r="AF2356" s="167"/>
      <c r="AG2356" s="168"/>
      <c r="AH2356" s="169"/>
      <c r="AI2356" s="167"/>
      <c r="AJ2356" s="48"/>
      <c r="AK2356" s="15"/>
      <c r="AL2356" s="15"/>
    </row>
    <row r="2357" spans="1:38" ht="90" x14ac:dyDescent="0.35">
      <c r="A2357" s="179"/>
      <c r="B2357" s="167"/>
      <c r="C2357" s="168"/>
      <c r="D2357" s="169"/>
      <c r="E2357" s="28" t="s">
        <v>6313</v>
      </c>
      <c r="F2357" s="167"/>
      <c r="G2357" s="168"/>
      <c r="H2357" s="169"/>
      <c r="I2357" s="110" t="s">
        <v>1127</v>
      </c>
      <c r="J2357" s="111"/>
      <c r="K2357" s="104" t="s">
        <v>5578</v>
      </c>
      <c r="L2357" s="105"/>
      <c r="M2357" s="183">
        <v>48</v>
      </c>
      <c r="N2357" s="184"/>
      <c r="O2357" s="185"/>
      <c r="P2357" s="183">
        <v>4</v>
      </c>
      <c r="Q2357" s="185"/>
      <c r="R2357" s="114" t="s">
        <v>4862</v>
      </c>
      <c r="S2357" s="116"/>
      <c r="T2357" s="183">
        <v>3</v>
      </c>
      <c r="U2357" s="185"/>
      <c r="V2357" s="173" t="s">
        <v>6291</v>
      </c>
      <c r="W2357" s="174"/>
      <c r="X2357" s="90"/>
      <c r="Y2357" s="91"/>
      <c r="Z2357" s="92"/>
      <c r="AA2357" s="93"/>
      <c r="AB2357" s="94"/>
      <c r="AC2357" s="121"/>
      <c r="AD2357" s="123"/>
      <c r="AE2357" s="58"/>
      <c r="AF2357" s="167"/>
      <c r="AG2357" s="168"/>
      <c r="AH2357" s="169"/>
      <c r="AI2357" s="167"/>
      <c r="AJ2357" s="48"/>
      <c r="AK2357" s="15"/>
      <c r="AL2357" s="15"/>
    </row>
    <row r="2358" spans="1:38" ht="105" x14ac:dyDescent="0.35">
      <c r="A2358" s="179"/>
      <c r="B2358" s="167"/>
      <c r="C2358" s="168"/>
      <c r="D2358" s="169"/>
      <c r="E2358" s="28" t="s">
        <v>6314</v>
      </c>
      <c r="F2358" s="167"/>
      <c r="G2358" s="168"/>
      <c r="H2358" s="169"/>
      <c r="I2358" s="183">
        <v>4</v>
      </c>
      <c r="J2358" s="185"/>
      <c r="K2358" s="104" t="s">
        <v>5578</v>
      </c>
      <c r="L2358" s="105"/>
      <c r="M2358" s="183">
        <v>52</v>
      </c>
      <c r="N2358" s="184"/>
      <c r="O2358" s="185"/>
      <c r="P2358" s="183">
        <v>4</v>
      </c>
      <c r="Q2358" s="185"/>
      <c r="R2358" s="114" t="s">
        <v>4862</v>
      </c>
      <c r="S2358" s="116"/>
      <c r="T2358" s="183">
        <v>3</v>
      </c>
      <c r="U2358" s="185"/>
      <c r="V2358" s="173" t="s">
        <v>3788</v>
      </c>
      <c r="W2358" s="174"/>
      <c r="X2358" s="129"/>
      <c r="Y2358" s="130"/>
      <c r="Z2358" s="131"/>
      <c r="AA2358" s="119"/>
      <c r="AB2358" s="120"/>
      <c r="AC2358" s="121"/>
      <c r="AD2358" s="123"/>
      <c r="AE2358" s="58"/>
      <c r="AF2358" s="167"/>
      <c r="AG2358" s="168"/>
      <c r="AH2358" s="169"/>
      <c r="AI2358" s="167"/>
      <c r="AJ2358" s="48"/>
      <c r="AK2358" s="15"/>
      <c r="AL2358" s="15"/>
    </row>
    <row r="2359" spans="1:38" ht="105" x14ac:dyDescent="0.35">
      <c r="A2359" s="179"/>
      <c r="B2359" s="167"/>
      <c r="C2359" s="168"/>
      <c r="D2359" s="169"/>
      <c r="E2359" s="28" t="s">
        <v>6315</v>
      </c>
      <c r="F2359" s="167"/>
      <c r="G2359" s="168"/>
      <c r="H2359" s="169"/>
      <c r="I2359" s="183">
        <v>4</v>
      </c>
      <c r="J2359" s="185"/>
      <c r="K2359" s="104" t="s">
        <v>5578</v>
      </c>
      <c r="L2359" s="105"/>
      <c r="M2359" s="183">
        <v>52</v>
      </c>
      <c r="N2359" s="184"/>
      <c r="O2359" s="185"/>
      <c r="P2359" s="183">
        <v>4</v>
      </c>
      <c r="Q2359" s="185"/>
      <c r="R2359" s="114" t="s">
        <v>4862</v>
      </c>
      <c r="S2359" s="116"/>
      <c r="T2359" s="183">
        <v>3</v>
      </c>
      <c r="U2359" s="185"/>
      <c r="V2359" s="173" t="s">
        <v>3788</v>
      </c>
      <c r="W2359" s="174"/>
      <c r="X2359" s="258" t="s">
        <v>6316</v>
      </c>
      <c r="Y2359" s="259"/>
      <c r="Z2359" s="260"/>
      <c r="AA2359" s="104" t="s">
        <v>6317</v>
      </c>
      <c r="AB2359" s="105"/>
      <c r="AC2359" s="121"/>
      <c r="AD2359" s="123"/>
      <c r="AE2359" s="58"/>
      <c r="AF2359" s="167"/>
      <c r="AG2359" s="168"/>
      <c r="AH2359" s="169"/>
      <c r="AI2359" s="167"/>
      <c r="AJ2359" s="48"/>
      <c r="AK2359" s="15"/>
      <c r="AL2359" s="15"/>
    </row>
    <row r="2360" spans="1:38" ht="90" x14ac:dyDescent="0.35">
      <c r="A2360" s="179"/>
      <c r="B2360" s="167"/>
      <c r="C2360" s="168"/>
      <c r="D2360" s="169"/>
      <c r="E2360" s="28" t="s">
        <v>6318</v>
      </c>
      <c r="F2360" s="167"/>
      <c r="G2360" s="168"/>
      <c r="H2360" s="169"/>
      <c r="I2360" s="183">
        <v>4</v>
      </c>
      <c r="J2360" s="185"/>
      <c r="K2360" s="104" t="s">
        <v>5578</v>
      </c>
      <c r="L2360" s="105"/>
      <c r="M2360" s="183">
        <v>52</v>
      </c>
      <c r="N2360" s="184"/>
      <c r="O2360" s="185"/>
      <c r="P2360" s="183">
        <v>4</v>
      </c>
      <c r="Q2360" s="185"/>
      <c r="R2360" s="114" t="s">
        <v>4862</v>
      </c>
      <c r="S2360" s="116"/>
      <c r="T2360" s="183">
        <v>3</v>
      </c>
      <c r="U2360" s="185"/>
      <c r="V2360" s="173" t="s">
        <v>3788</v>
      </c>
      <c r="W2360" s="174"/>
      <c r="X2360" s="90"/>
      <c r="Y2360" s="91"/>
      <c r="Z2360" s="92"/>
      <c r="AA2360" s="93"/>
      <c r="AB2360" s="94"/>
      <c r="AC2360" s="121"/>
      <c r="AD2360" s="123"/>
      <c r="AE2360" s="58"/>
      <c r="AF2360" s="167"/>
      <c r="AG2360" s="168"/>
      <c r="AH2360" s="169"/>
      <c r="AI2360" s="167"/>
      <c r="AJ2360" s="48"/>
      <c r="AK2360" s="15"/>
      <c r="AL2360" s="15"/>
    </row>
    <row r="2361" spans="1:38" ht="105" x14ac:dyDescent="0.35">
      <c r="A2361" s="179"/>
      <c r="B2361" s="167"/>
      <c r="C2361" s="168"/>
      <c r="D2361" s="169"/>
      <c r="E2361" s="28" t="s">
        <v>6319</v>
      </c>
      <c r="F2361" s="167"/>
      <c r="G2361" s="168"/>
      <c r="H2361" s="169"/>
      <c r="I2361" s="110" t="s">
        <v>1045</v>
      </c>
      <c r="J2361" s="111"/>
      <c r="K2361" s="104" t="s">
        <v>5578</v>
      </c>
      <c r="L2361" s="105"/>
      <c r="M2361" s="183">
        <v>52</v>
      </c>
      <c r="N2361" s="184"/>
      <c r="O2361" s="185"/>
      <c r="P2361" s="183">
        <v>4</v>
      </c>
      <c r="Q2361" s="185"/>
      <c r="R2361" s="114" t="s">
        <v>4862</v>
      </c>
      <c r="S2361" s="116"/>
      <c r="T2361" s="183">
        <v>3</v>
      </c>
      <c r="U2361" s="185"/>
      <c r="V2361" s="173" t="s">
        <v>3788</v>
      </c>
      <c r="W2361" s="174"/>
      <c r="X2361" s="129"/>
      <c r="Y2361" s="130"/>
      <c r="Z2361" s="131"/>
      <c r="AA2361" s="119"/>
      <c r="AB2361" s="120"/>
      <c r="AC2361" s="121"/>
      <c r="AD2361" s="123"/>
      <c r="AE2361" s="58"/>
      <c r="AF2361" s="167"/>
      <c r="AG2361" s="168"/>
      <c r="AH2361" s="169"/>
      <c r="AI2361" s="167"/>
      <c r="AJ2361" s="48"/>
      <c r="AK2361" s="15"/>
      <c r="AL2361" s="15"/>
    </row>
    <row r="2362" spans="1:38" ht="105" x14ac:dyDescent="0.35">
      <c r="A2362" s="179"/>
      <c r="B2362" s="167"/>
      <c r="C2362" s="168"/>
      <c r="D2362" s="169"/>
      <c r="E2362" s="28" t="s">
        <v>6320</v>
      </c>
      <c r="F2362" s="167"/>
      <c r="G2362" s="168"/>
      <c r="H2362" s="169"/>
      <c r="I2362" s="110" t="s">
        <v>1045</v>
      </c>
      <c r="J2362" s="111"/>
      <c r="K2362" s="104" t="s">
        <v>5578</v>
      </c>
      <c r="L2362" s="105"/>
      <c r="M2362" s="183">
        <v>52</v>
      </c>
      <c r="N2362" s="184"/>
      <c r="O2362" s="185"/>
      <c r="P2362" s="183">
        <v>4</v>
      </c>
      <c r="Q2362" s="185"/>
      <c r="R2362" s="114" t="s">
        <v>4862</v>
      </c>
      <c r="S2362" s="116"/>
      <c r="T2362" s="183">
        <v>3</v>
      </c>
      <c r="U2362" s="185"/>
      <c r="V2362" s="173" t="s">
        <v>3788</v>
      </c>
      <c r="W2362" s="174"/>
      <c r="X2362" s="258" t="s">
        <v>6321</v>
      </c>
      <c r="Y2362" s="259"/>
      <c r="Z2362" s="260"/>
      <c r="AA2362" s="104" t="s">
        <v>4765</v>
      </c>
      <c r="AB2362" s="105"/>
      <c r="AC2362" s="121"/>
      <c r="AD2362" s="123"/>
      <c r="AE2362" s="58"/>
      <c r="AF2362" s="167"/>
      <c r="AG2362" s="168"/>
      <c r="AH2362" s="169"/>
      <c r="AI2362" s="167"/>
      <c r="AJ2362" s="48"/>
      <c r="AK2362" s="15"/>
      <c r="AL2362" s="15"/>
    </row>
    <row r="2363" spans="1:38" ht="105" x14ac:dyDescent="0.35">
      <c r="A2363" s="179"/>
      <c r="B2363" s="167"/>
      <c r="C2363" s="168"/>
      <c r="D2363" s="169"/>
      <c r="E2363" s="28" t="s">
        <v>6322</v>
      </c>
      <c r="F2363" s="167"/>
      <c r="G2363" s="168"/>
      <c r="H2363" s="169"/>
      <c r="I2363" s="110" t="s">
        <v>1045</v>
      </c>
      <c r="J2363" s="111"/>
      <c r="K2363" s="104" t="s">
        <v>5578</v>
      </c>
      <c r="L2363" s="105"/>
      <c r="M2363" s="183">
        <v>52</v>
      </c>
      <c r="N2363" s="184"/>
      <c r="O2363" s="185"/>
      <c r="P2363" s="183">
        <v>4</v>
      </c>
      <c r="Q2363" s="185"/>
      <c r="R2363" s="114" t="s">
        <v>4862</v>
      </c>
      <c r="S2363" s="116"/>
      <c r="T2363" s="183">
        <v>3</v>
      </c>
      <c r="U2363" s="185"/>
      <c r="V2363" s="173" t="s">
        <v>3788</v>
      </c>
      <c r="W2363" s="174"/>
      <c r="X2363" s="90"/>
      <c r="Y2363" s="91"/>
      <c r="Z2363" s="92"/>
      <c r="AA2363" s="93"/>
      <c r="AB2363" s="94"/>
      <c r="AC2363" s="121"/>
      <c r="AD2363" s="123"/>
      <c r="AE2363" s="58"/>
      <c r="AF2363" s="167"/>
      <c r="AG2363" s="168"/>
      <c r="AH2363" s="169"/>
      <c r="AI2363" s="167"/>
      <c r="AJ2363" s="48"/>
      <c r="AK2363" s="15"/>
      <c r="AL2363" s="15"/>
    </row>
    <row r="2364" spans="1:38" ht="105" x14ac:dyDescent="0.35">
      <c r="A2364" s="179"/>
      <c r="B2364" s="167"/>
      <c r="C2364" s="168"/>
      <c r="D2364" s="169"/>
      <c r="E2364" s="28" t="s">
        <v>6323</v>
      </c>
      <c r="F2364" s="167"/>
      <c r="G2364" s="168"/>
      <c r="H2364" s="169"/>
      <c r="I2364" s="110" t="s">
        <v>901</v>
      </c>
      <c r="J2364" s="111"/>
      <c r="K2364" s="104" t="s">
        <v>5578</v>
      </c>
      <c r="L2364" s="105"/>
      <c r="M2364" s="183">
        <v>52</v>
      </c>
      <c r="N2364" s="184"/>
      <c r="O2364" s="185"/>
      <c r="P2364" s="183">
        <v>4</v>
      </c>
      <c r="Q2364" s="185"/>
      <c r="R2364" s="114" t="s">
        <v>4862</v>
      </c>
      <c r="S2364" s="116"/>
      <c r="T2364" s="183">
        <v>3</v>
      </c>
      <c r="U2364" s="185"/>
      <c r="V2364" s="173" t="s">
        <v>3788</v>
      </c>
      <c r="W2364" s="174"/>
      <c r="X2364" s="129"/>
      <c r="Y2364" s="130"/>
      <c r="Z2364" s="131"/>
      <c r="AA2364" s="119"/>
      <c r="AB2364" s="120"/>
      <c r="AC2364" s="121"/>
      <c r="AD2364" s="123"/>
      <c r="AE2364" s="58"/>
      <c r="AF2364" s="167"/>
      <c r="AG2364" s="168"/>
      <c r="AH2364" s="169"/>
      <c r="AI2364" s="167"/>
      <c r="AJ2364" s="48"/>
      <c r="AK2364" s="15"/>
      <c r="AL2364" s="15"/>
    </row>
    <row r="2365" spans="1:38" ht="105" x14ac:dyDescent="0.35">
      <c r="A2365" s="179"/>
      <c r="B2365" s="167"/>
      <c r="C2365" s="168"/>
      <c r="D2365" s="169"/>
      <c r="E2365" s="28" t="s">
        <v>6324</v>
      </c>
      <c r="F2365" s="167"/>
      <c r="G2365" s="168"/>
      <c r="H2365" s="169"/>
      <c r="I2365" s="110" t="s">
        <v>901</v>
      </c>
      <c r="J2365" s="111"/>
      <c r="K2365" s="104" t="s">
        <v>5578</v>
      </c>
      <c r="L2365" s="105"/>
      <c r="M2365" s="183">
        <v>52</v>
      </c>
      <c r="N2365" s="184"/>
      <c r="O2365" s="185"/>
      <c r="P2365" s="183">
        <v>4</v>
      </c>
      <c r="Q2365" s="185"/>
      <c r="R2365" s="114" t="s">
        <v>4862</v>
      </c>
      <c r="S2365" s="116"/>
      <c r="T2365" s="183">
        <v>3</v>
      </c>
      <c r="U2365" s="185"/>
      <c r="V2365" s="173" t="s">
        <v>3788</v>
      </c>
      <c r="W2365" s="174"/>
      <c r="X2365" s="258" t="s">
        <v>6325</v>
      </c>
      <c r="Y2365" s="259"/>
      <c r="Z2365" s="260"/>
      <c r="AA2365" s="104" t="s">
        <v>4618</v>
      </c>
      <c r="AB2365" s="105"/>
      <c r="AC2365" s="121"/>
      <c r="AD2365" s="123"/>
      <c r="AE2365" s="58"/>
      <c r="AF2365" s="167"/>
      <c r="AG2365" s="168"/>
      <c r="AH2365" s="169"/>
      <c r="AI2365" s="167"/>
      <c r="AJ2365" s="48"/>
      <c r="AK2365" s="15"/>
      <c r="AL2365" s="15"/>
    </row>
    <row r="2366" spans="1:38" ht="105" x14ac:dyDescent="0.35">
      <c r="A2366" s="230"/>
      <c r="B2366" s="214"/>
      <c r="C2366" s="215"/>
      <c r="D2366" s="216"/>
      <c r="E2366" s="28" t="s">
        <v>6326</v>
      </c>
      <c r="F2366" s="214"/>
      <c r="G2366" s="215"/>
      <c r="H2366" s="216"/>
      <c r="I2366" s="110" t="s">
        <v>901</v>
      </c>
      <c r="J2366" s="111"/>
      <c r="K2366" s="146" t="s">
        <v>5578</v>
      </c>
      <c r="L2366" s="148"/>
      <c r="M2366" s="183">
        <v>52</v>
      </c>
      <c r="N2366" s="184"/>
      <c r="O2366" s="185"/>
      <c r="P2366" s="183">
        <v>4</v>
      </c>
      <c r="Q2366" s="185"/>
      <c r="R2366" s="114" t="s">
        <v>4862</v>
      </c>
      <c r="S2366" s="116"/>
      <c r="T2366" s="183">
        <v>3</v>
      </c>
      <c r="U2366" s="185"/>
      <c r="V2366" s="173" t="s">
        <v>3788</v>
      </c>
      <c r="W2366" s="174"/>
      <c r="X2366" s="90"/>
      <c r="Y2366" s="91"/>
      <c r="Z2366" s="92"/>
      <c r="AA2366" s="93"/>
      <c r="AB2366" s="94"/>
      <c r="AC2366" s="93"/>
      <c r="AD2366" s="94"/>
      <c r="AE2366" s="52"/>
      <c r="AF2366" s="214"/>
      <c r="AG2366" s="215"/>
      <c r="AH2366" s="216"/>
      <c r="AI2366" s="214"/>
      <c r="AJ2366" s="48"/>
      <c r="AK2366" s="15"/>
      <c r="AL2366" s="15"/>
    </row>
    <row r="2367" spans="1:38" ht="75" x14ac:dyDescent="0.3">
      <c r="A2367" s="178"/>
      <c r="B2367" s="149"/>
      <c r="C2367" s="158"/>
      <c r="D2367" s="150"/>
      <c r="E2367" s="28" t="s">
        <v>6327</v>
      </c>
      <c r="F2367" s="192" t="s">
        <v>6328</v>
      </c>
      <c r="G2367" s="196"/>
      <c r="H2367" s="193"/>
      <c r="I2367" s="110" t="s">
        <v>6154</v>
      </c>
      <c r="J2367" s="111"/>
      <c r="K2367" s="110" t="s">
        <v>5065</v>
      </c>
      <c r="L2367" s="111"/>
      <c r="M2367" s="183">
        <v>23</v>
      </c>
      <c r="N2367" s="184"/>
      <c r="O2367" s="185"/>
      <c r="P2367" s="173" t="s">
        <v>5066</v>
      </c>
      <c r="Q2367" s="174"/>
      <c r="R2367" s="112">
        <v>5</v>
      </c>
      <c r="S2367" s="113"/>
      <c r="T2367" s="183">
        <v>4</v>
      </c>
      <c r="U2367" s="185"/>
      <c r="V2367" s="173" t="s">
        <v>6329</v>
      </c>
      <c r="W2367" s="174"/>
      <c r="X2367" s="241">
        <v>38</v>
      </c>
      <c r="Y2367" s="242"/>
      <c r="Z2367" s="243"/>
      <c r="AA2367" s="143" t="s">
        <v>2101</v>
      </c>
      <c r="AB2367" s="145"/>
      <c r="AC2367" s="171" t="s">
        <v>3194</v>
      </c>
      <c r="AD2367" s="172"/>
      <c r="AE2367" s="24" t="s">
        <v>6333</v>
      </c>
      <c r="AF2367" s="164"/>
      <c r="AG2367" s="165"/>
      <c r="AH2367" s="166"/>
      <c r="AI2367" s="24" t="s">
        <v>5072</v>
      </c>
      <c r="AJ2367" s="48"/>
      <c r="AK2367" s="15"/>
      <c r="AL2367" s="15"/>
    </row>
    <row r="2368" spans="1:38" ht="120" x14ac:dyDescent="0.3">
      <c r="A2368" s="179"/>
      <c r="B2368" s="135"/>
      <c r="C2368" s="136"/>
      <c r="D2368" s="137"/>
      <c r="E2368" s="28" t="s">
        <v>6335</v>
      </c>
      <c r="F2368" s="194"/>
      <c r="G2368" s="197"/>
      <c r="H2368" s="195"/>
      <c r="I2368" s="110" t="s">
        <v>6154</v>
      </c>
      <c r="J2368" s="111"/>
      <c r="K2368" s="110" t="s">
        <v>5065</v>
      </c>
      <c r="L2368" s="111"/>
      <c r="M2368" s="183">
        <v>23</v>
      </c>
      <c r="N2368" s="184"/>
      <c r="O2368" s="185"/>
      <c r="P2368" s="173" t="s">
        <v>5066</v>
      </c>
      <c r="Q2368" s="174"/>
      <c r="R2368" s="160">
        <v>5</v>
      </c>
      <c r="S2368" s="161"/>
      <c r="T2368" s="183">
        <v>4</v>
      </c>
      <c r="U2368" s="185"/>
      <c r="V2368" s="173" t="s">
        <v>6329</v>
      </c>
      <c r="W2368" s="174"/>
      <c r="X2368" s="244"/>
      <c r="Y2368" s="245"/>
      <c r="Z2368" s="246"/>
      <c r="AA2368" s="146"/>
      <c r="AB2368" s="148"/>
      <c r="AC2368" s="162" t="s">
        <v>6330</v>
      </c>
      <c r="AD2368" s="163"/>
      <c r="AE2368" s="31" t="s">
        <v>1356</v>
      </c>
      <c r="AF2368" s="167"/>
      <c r="AG2368" s="168"/>
      <c r="AH2368" s="169"/>
      <c r="AI2368" s="31" t="s">
        <v>5073</v>
      </c>
      <c r="AJ2368" s="48"/>
      <c r="AK2368" s="15"/>
      <c r="AL2368" s="15"/>
    </row>
    <row r="2369" spans="1:38" ht="60" x14ac:dyDescent="0.3">
      <c r="A2369" s="179"/>
      <c r="B2369" s="135"/>
      <c r="C2369" s="136"/>
      <c r="D2369" s="137"/>
      <c r="E2369" s="28" t="s">
        <v>6336</v>
      </c>
      <c r="F2369" s="192" t="s">
        <v>6337</v>
      </c>
      <c r="G2369" s="196"/>
      <c r="H2369" s="193"/>
      <c r="I2369" s="110" t="s">
        <v>826</v>
      </c>
      <c r="J2369" s="111"/>
      <c r="K2369" s="110" t="s">
        <v>5077</v>
      </c>
      <c r="L2369" s="111"/>
      <c r="M2369" s="183">
        <v>27</v>
      </c>
      <c r="N2369" s="184"/>
      <c r="O2369" s="185"/>
      <c r="P2369" s="173" t="s">
        <v>924</v>
      </c>
      <c r="Q2369" s="174"/>
      <c r="R2369" s="112">
        <v>7</v>
      </c>
      <c r="S2369" s="113"/>
      <c r="T2369" s="183">
        <v>4</v>
      </c>
      <c r="U2369" s="185"/>
      <c r="V2369" s="173" t="s">
        <v>1479</v>
      </c>
      <c r="W2369" s="174"/>
      <c r="X2369" s="241">
        <v>45</v>
      </c>
      <c r="Y2369" s="242"/>
      <c r="Z2369" s="243"/>
      <c r="AA2369" s="143" t="s">
        <v>2101</v>
      </c>
      <c r="AB2369" s="145"/>
      <c r="AC2369" s="162" t="s">
        <v>1939</v>
      </c>
      <c r="AD2369" s="163"/>
      <c r="AE2369" s="31" t="s">
        <v>6334</v>
      </c>
      <c r="AF2369" s="167"/>
      <c r="AG2369" s="168"/>
      <c r="AH2369" s="169"/>
      <c r="AI2369" s="31"/>
      <c r="AJ2369" s="48"/>
      <c r="AK2369" s="15"/>
      <c r="AL2369" s="15"/>
    </row>
    <row r="2370" spans="1:38" ht="75" x14ac:dyDescent="0.3">
      <c r="A2370" s="179"/>
      <c r="B2370" s="135"/>
      <c r="C2370" s="136"/>
      <c r="D2370" s="137"/>
      <c r="E2370" s="28" t="s">
        <v>6338</v>
      </c>
      <c r="F2370" s="194"/>
      <c r="G2370" s="197"/>
      <c r="H2370" s="195"/>
      <c r="I2370" s="110" t="s">
        <v>826</v>
      </c>
      <c r="J2370" s="111"/>
      <c r="K2370" s="110" t="s">
        <v>5077</v>
      </c>
      <c r="L2370" s="111"/>
      <c r="M2370" s="183">
        <v>27</v>
      </c>
      <c r="N2370" s="184"/>
      <c r="O2370" s="185"/>
      <c r="P2370" s="173" t="s">
        <v>924</v>
      </c>
      <c r="Q2370" s="174"/>
      <c r="R2370" s="155">
        <v>7</v>
      </c>
      <c r="S2370" s="157"/>
      <c r="T2370" s="183">
        <v>4</v>
      </c>
      <c r="U2370" s="185"/>
      <c r="V2370" s="173" t="s">
        <v>1479</v>
      </c>
      <c r="W2370" s="174"/>
      <c r="X2370" s="244"/>
      <c r="Y2370" s="245"/>
      <c r="Z2370" s="246"/>
      <c r="AA2370" s="146"/>
      <c r="AB2370" s="148"/>
      <c r="AC2370" s="162" t="s">
        <v>6331</v>
      </c>
      <c r="AD2370" s="163"/>
      <c r="AE2370" s="31"/>
      <c r="AF2370" s="167"/>
      <c r="AG2370" s="168"/>
      <c r="AH2370" s="169"/>
      <c r="AI2370" s="31"/>
      <c r="AJ2370" s="48"/>
      <c r="AK2370" s="15"/>
      <c r="AL2370" s="15"/>
    </row>
    <row r="2371" spans="1:38" ht="75" x14ac:dyDescent="0.3">
      <c r="A2371" s="179"/>
      <c r="B2371" s="135"/>
      <c r="C2371" s="136"/>
      <c r="D2371" s="137"/>
      <c r="E2371" s="28" t="s">
        <v>6339</v>
      </c>
      <c r="F2371" s="192" t="s">
        <v>6340</v>
      </c>
      <c r="G2371" s="196"/>
      <c r="H2371" s="193"/>
      <c r="I2371" s="110" t="s">
        <v>1023</v>
      </c>
      <c r="J2371" s="111"/>
      <c r="K2371" s="110" t="s">
        <v>5083</v>
      </c>
      <c r="L2371" s="111"/>
      <c r="M2371" s="183">
        <v>33</v>
      </c>
      <c r="N2371" s="184"/>
      <c r="O2371" s="185"/>
      <c r="P2371" s="173" t="s">
        <v>889</v>
      </c>
      <c r="Q2371" s="174"/>
      <c r="R2371" s="155">
        <v>7</v>
      </c>
      <c r="S2371" s="157"/>
      <c r="T2371" s="183">
        <v>4</v>
      </c>
      <c r="U2371" s="185"/>
      <c r="V2371" s="173" t="s">
        <v>6341</v>
      </c>
      <c r="W2371" s="174"/>
      <c r="X2371" s="252">
        <v>52</v>
      </c>
      <c r="Y2371" s="253"/>
      <c r="Z2371" s="254"/>
      <c r="AA2371" s="192" t="s">
        <v>4862</v>
      </c>
      <c r="AB2371" s="193"/>
      <c r="AC2371" s="162" t="s">
        <v>6332</v>
      </c>
      <c r="AD2371" s="163"/>
      <c r="AE2371" s="31"/>
      <c r="AF2371" s="167"/>
      <c r="AG2371" s="168"/>
      <c r="AH2371" s="169"/>
      <c r="AI2371" s="31"/>
      <c r="AJ2371" s="48"/>
      <c r="AK2371" s="15"/>
      <c r="AL2371" s="15"/>
    </row>
    <row r="2372" spans="1:38" ht="75" x14ac:dyDescent="0.3">
      <c r="A2372" s="179"/>
      <c r="B2372" s="135"/>
      <c r="C2372" s="136"/>
      <c r="D2372" s="137"/>
      <c r="E2372" s="28" t="s">
        <v>6342</v>
      </c>
      <c r="F2372" s="194"/>
      <c r="G2372" s="197"/>
      <c r="H2372" s="195"/>
      <c r="I2372" s="110" t="s">
        <v>1023</v>
      </c>
      <c r="J2372" s="111"/>
      <c r="K2372" s="110" t="s">
        <v>5083</v>
      </c>
      <c r="L2372" s="111"/>
      <c r="M2372" s="183">
        <v>33</v>
      </c>
      <c r="N2372" s="184"/>
      <c r="O2372" s="185"/>
      <c r="P2372" s="173" t="s">
        <v>889</v>
      </c>
      <c r="Q2372" s="174"/>
      <c r="R2372" s="155">
        <v>7</v>
      </c>
      <c r="S2372" s="157"/>
      <c r="T2372" s="183">
        <v>4</v>
      </c>
      <c r="U2372" s="185"/>
      <c r="V2372" s="173" t="s">
        <v>6341</v>
      </c>
      <c r="W2372" s="174"/>
      <c r="X2372" s="255"/>
      <c r="Y2372" s="256"/>
      <c r="Z2372" s="257"/>
      <c r="AA2372" s="194"/>
      <c r="AB2372" s="195"/>
      <c r="AC2372" s="162"/>
      <c r="AD2372" s="163"/>
      <c r="AE2372" s="31"/>
      <c r="AF2372" s="167"/>
      <c r="AG2372" s="168"/>
      <c r="AH2372" s="169"/>
      <c r="AI2372" s="31"/>
      <c r="AJ2372" s="48"/>
      <c r="AK2372" s="15"/>
      <c r="AL2372" s="15"/>
    </row>
    <row r="2373" spans="1:38" ht="60" x14ac:dyDescent="0.3">
      <c r="A2373" s="179"/>
      <c r="B2373" s="135"/>
      <c r="C2373" s="136"/>
      <c r="D2373" s="137"/>
      <c r="E2373" s="28" t="s">
        <v>6343</v>
      </c>
      <c r="F2373" s="192" t="s">
        <v>6344</v>
      </c>
      <c r="G2373" s="196"/>
      <c r="H2373" s="193"/>
      <c r="I2373" s="110" t="s">
        <v>1261</v>
      </c>
      <c r="J2373" s="111"/>
      <c r="K2373" s="110" t="s">
        <v>5088</v>
      </c>
      <c r="L2373" s="111"/>
      <c r="M2373" s="183">
        <v>38</v>
      </c>
      <c r="N2373" s="184"/>
      <c r="O2373" s="185"/>
      <c r="P2373" s="173" t="s">
        <v>768</v>
      </c>
      <c r="Q2373" s="174"/>
      <c r="R2373" s="126" t="s">
        <v>1152</v>
      </c>
      <c r="S2373" s="127"/>
      <c r="T2373" s="183">
        <v>4</v>
      </c>
      <c r="U2373" s="185"/>
      <c r="V2373" s="173" t="s">
        <v>6345</v>
      </c>
      <c r="W2373" s="174"/>
      <c r="X2373" s="241">
        <v>58</v>
      </c>
      <c r="Y2373" s="242"/>
      <c r="Z2373" s="243"/>
      <c r="AA2373" s="143" t="s">
        <v>2716</v>
      </c>
      <c r="AB2373" s="145"/>
      <c r="AC2373" s="162"/>
      <c r="AD2373" s="163"/>
      <c r="AE2373" s="31"/>
      <c r="AF2373" s="167"/>
      <c r="AG2373" s="168"/>
      <c r="AH2373" s="169"/>
      <c r="AI2373" s="31"/>
      <c r="AJ2373" s="48"/>
      <c r="AK2373" s="15"/>
      <c r="AL2373" s="15"/>
    </row>
    <row r="2374" spans="1:38" ht="75" x14ac:dyDescent="0.3">
      <c r="A2374" s="179"/>
      <c r="B2374" s="135"/>
      <c r="C2374" s="136"/>
      <c r="D2374" s="137"/>
      <c r="E2374" s="28" t="s">
        <v>6346</v>
      </c>
      <c r="F2374" s="194"/>
      <c r="G2374" s="197"/>
      <c r="H2374" s="195"/>
      <c r="I2374" s="110" t="s">
        <v>1261</v>
      </c>
      <c r="J2374" s="111"/>
      <c r="K2374" s="110" t="s">
        <v>5088</v>
      </c>
      <c r="L2374" s="111"/>
      <c r="M2374" s="183">
        <v>38</v>
      </c>
      <c r="N2374" s="184"/>
      <c r="O2374" s="185"/>
      <c r="P2374" s="173" t="s">
        <v>768</v>
      </c>
      <c r="Q2374" s="174"/>
      <c r="R2374" s="117" t="s">
        <v>1152</v>
      </c>
      <c r="S2374" s="118"/>
      <c r="T2374" s="183">
        <v>4</v>
      </c>
      <c r="U2374" s="185"/>
      <c r="V2374" s="173" t="s">
        <v>6345</v>
      </c>
      <c r="W2374" s="174"/>
      <c r="X2374" s="244"/>
      <c r="Y2374" s="245"/>
      <c r="Z2374" s="246"/>
      <c r="AA2374" s="146"/>
      <c r="AB2374" s="148"/>
      <c r="AC2374" s="162"/>
      <c r="AD2374" s="163"/>
      <c r="AE2374" s="31"/>
      <c r="AF2374" s="167"/>
      <c r="AG2374" s="168"/>
      <c r="AH2374" s="169"/>
      <c r="AI2374" s="31"/>
      <c r="AJ2374" s="48"/>
      <c r="AK2374" s="15"/>
      <c r="AL2374" s="15"/>
    </row>
    <row r="2375" spans="1:38" ht="60" x14ac:dyDescent="0.3">
      <c r="A2375" s="179"/>
      <c r="B2375" s="135"/>
      <c r="C2375" s="136"/>
      <c r="D2375" s="137"/>
      <c r="E2375" s="28" t="s">
        <v>6347</v>
      </c>
      <c r="F2375" s="192" t="s">
        <v>6348</v>
      </c>
      <c r="G2375" s="196"/>
      <c r="H2375" s="193"/>
      <c r="I2375" s="110" t="s">
        <v>1127</v>
      </c>
      <c r="J2375" s="111"/>
      <c r="K2375" s="110" t="s">
        <v>5093</v>
      </c>
      <c r="L2375" s="111"/>
      <c r="M2375" s="183">
        <v>42</v>
      </c>
      <c r="N2375" s="184"/>
      <c r="O2375" s="185"/>
      <c r="P2375" s="173" t="s">
        <v>5094</v>
      </c>
      <c r="Q2375" s="174"/>
      <c r="R2375" s="114" t="s">
        <v>4862</v>
      </c>
      <c r="S2375" s="116"/>
      <c r="T2375" s="183">
        <v>4</v>
      </c>
      <c r="U2375" s="185"/>
      <c r="V2375" s="180" t="s">
        <v>3889</v>
      </c>
      <c r="W2375" s="181"/>
      <c r="X2375" s="241">
        <v>62</v>
      </c>
      <c r="Y2375" s="242"/>
      <c r="Z2375" s="243"/>
      <c r="AA2375" s="143" t="s">
        <v>6349</v>
      </c>
      <c r="AB2375" s="145"/>
      <c r="AC2375" s="162"/>
      <c r="AD2375" s="163"/>
      <c r="AE2375" s="31"/>
      <c r="AF2375" s="167"/>
      <c r="AG2375" s="168"/>
      <c r="AH2375" s="169"/>
      <c r="AI2375" s="31"/>
      <c r="AJ2375" s="48"/>
      <c r="AK2375" s="15"/>
      <c r="AL2375" s="15"/>
    </row>
    <row r="2376" spans="1:38" ht="60" x14ac:dyDescent="0.3">
      <c r="A2376" s="179"/>
      <c r="B2376" s="135"/>
      <c r="C2376" s="136"/>
      <c r="D2376" s="137"/>
      <c r="E2376" s="28" t="s">
        <v>6350</v>
      </c>
      <c r="F2376" s="194"/>
      <c r="G2376" s="197"/>
      <c r="H2376" s="195"/>
      <c r="I2376" s="110" t="s">
        <v>1127</v>
      </c>
      <c r="J2376" s="111"/>
      <c r="K2376" s="110" t="s">
        <v>5093</v>
      </c>
      <c r="L2376" s="111"/>
      <c r="M2376" s="183">
        <v>42</v>
      </c>
      <c r="N2376" s="184"/>
      <c r="O2376" s="185"/>
      <c r="P2376" s="173" t="s">
        <v>5094</v>
      </c>
      <c r="Q2376" s="174"/>
      <c r="R2376" s="114" t="s">
        <v>4862</v>
      </c>
      <c r="S2376" s="116"/>
      <c r="T2376" s="183">
        <v>4</v>
      </c>
      <c r="U2376" s="185"/>
      <c r="V2376" s="180" t="s">
        <v>3889</v>
      </c>
      <c r="W2376" s="181"/>
      <c r="X2376" s="244"/>
      <c r="Y2376" s="245"/>
      <c r="Z2376" s="246"/>
      <c r="AA2376" s="146"/>
      <c r="AB2376" s="148"/>
      <c r="AC2376" s="162"/>
      <c r="AD2376" s="163"/>
      <c r="AE2376" s="31"/>
      <c r="AF2376" s="167"/>
      <c r="AG2376" s="168"/>
      <c r="AH2376" s="169"/>
      <c r="AI2376" s="31"/>
      <c r="AJ2376" s="48"/>
      <c r="AK2376" s="15"/>
      <c r="AL2376" s="15"/>
    </row>
    <row r="2377" spans="1:38" ht="15.5" x14ac:dyDescent="0.35">
      <c r="A2377" s="179"/>
      <c r="B2377" s="126" t="s">
        <v>6351</v>
      </c>
      <c r="C2377" s="203"/>
      <c r="D2377" s="127"/>
      <c r="E2377" s="64" t="s">
        <v>6352</v>
      </c>
      <c r="F2377" s="119"/>
      <c r="G2377" s="139"/>
      <c r="H2377" s="120"/>
      <c r="I2377" s="204">
        <v>5</v>
      </c>
      <c r="J2377" s="205"/>
      <c r="K2377" s="143" t="s">
        <v>5098</v>
      </c>
      <c r="L2377" s="145"/>
      <c r="M2377" s="204">
        <v>45</v>
      </c>
      <c r="N2377" s="250"/>
      <c r="O2377" s="205"/>
      <c r="P2377" s="204">
        <v>3</v>
      </c>
      <c r="Q2377" s="205"/>
      <c r="R2377" s="88" t="s">
        <v>4862</v>
      </c>
      <c r="S2377" s="89"/>
      <c r="T2377" s="204">
        <v>4</v>
      </c>
      <c r="U2377" s="205"/>
      <c r="V2377" s="208" t="s">
        <v>3191</v>
      </c>
      <c r="W2377" s="209"/>
      <c r="X2377" s="129"/>
      <c r="Y2377" s="130"/>
      <c r="Z2377" s="131"/>
      <c r="AA2377" s="119"/>
      <c r="AB2377" s="120"/>
      <c r="AC2377" s="162"/>
      <c r="AD2377" s="163"/>
      <c r="AE2377" s="31"/>
      <c r="AF2377" s="167"/>
      <c r="AG2377" s="168"/>
      <c r="AH2377" s="169"/>
      <c r="AI2377" s="31"/>
      <c r="AJ2377" s="48"/>
      <c r="AK2377" s="15"/>
      <c r="AL2377" s="15"/>
    </row>
    <row r="2378" spans="1:38" ht="15.5" x14ac:dyDescent="0.3">
      <c r="A2378" s="179"/>
      <c r="B2378" s="126"/>
      <c r="C2378" s="203"/>
      <c r="D2378" s="127"/>
      <c r="E2378" s="65"/>
      <c r="F2378" s="104" t="s">
        <v>6353</v>
      </c>
      <c r="G2378" s="202"/>
      <c r="H2378" s="105"/>
      <c r="I2378" s="206"/>
      <c r="J2378" s="207"/>
      <c r="K2378" s="146"/>
      <c r="L2378" s="148"/>
      <c r="M2378" s="206"/>
      <c r="N2378" s="251"/>
      <c r="O2378" s="207"/>
      <c r="P2378" s="206"/>
      <c r="Q2378" s="207"/>
      <c r="R2378" s="117"/>
      <c r="S2378" s="118"/>
      <c r="T2378" s="206"/>
      <c r="U2378" s="207"/>
      <c r="V2378" s="210"/>
      <c r="W2378" s="211"/>
      <c r="X2378" s="247">
        <v>69</v>
      </c>
      <c r="Y2378" s="248"/>
      <c r="Z2378" s="249"/>
      <c r="AA2378" s="104" t="s">
        <v>1078</v>
      </c>
      <c r="AB2378" s="105"/>
      <c r="AC2378" s="162"/>
      <c r="AD2378" s="163"/>
      <c r="AE2378" s="31"/>
      <c r="AF2378" s="167"/>
      <c r="AG2378" s="168"/>
      <c r="AH2378" s="169"/>
      <c r="AI2378" s="31"/>
      <c r="AJ2378" s="48"/>
      <c r="AK2378" s="15"/>
      <c r="AL2378" s="15"/>
    </row>
    <row r="2379" spans="1:38" ht="60" x14ac:dyDescent="0.3">
      <c r="A2379" s="179"/>
      <c r="B2379" s="126"/>
      <c r="C2379" s="203"/>
      <c r="D2379" s="127"/>
      <c r="E2379" s="28" t="s">
        <v>6354</v>
      </c>
      <c r="F2379" s="146"/>
      <c r="G2379" s="147"/>
      <c r="H2379" s="148"/>
      <c r="I2379" s="183">
        <v>5</v>
      </c>
      <c r="J2379" s="185"/>
      <c r="K2379" s="110" t="s">
        <v>5098</v>
      </c>
      <c r="L2379" s="111"/>
      <c r="M2379" s="183">
        <v>45</v>
      </c>
      <c r="N2379" s="184"/>
      <c r="O2379" s="185"/>
      <c r="P2379" s="183">
        <v>3</v>
      </c>
      <c r="Q2379" s="185"/>
      <c r="R2379" s="114" t="s">
        <v>4862</v>
      </c>
      <c r="S2379" s="116"/>
      <c r="T2379" s="183">
        <v>4</v>
      </c>
      <c r="U2379" s="185"/>
      <c r="V2379" s="173" t="s">
        <v>3191</v>
      </c>
      <c r="W2379" s="174"/>
      <c r="X2379" s="244"/>
      <c r="Y2379" s="245"/>
      <c r="Z2379" s="246"/>
      <c r="AA2379" s="146"/>
      <c r="AB2379" s="148"/>
      <c r="AC2379" s="162"/>
      <c r="AD2379" s="163"/>
      <c r="AE2379" s="31"/>
      <c r="AF2379" s="167"/>
      <c r="AG2379" s="168"/>
      <c r="AH2379" s="169"/>
      <c r="AI2379" s="31"/>
      <c r="AJ2379" s="48"/>
      <c r="AK2379" s="15"/>
      <c r="AL2379" s="15"/>
    </row>
    <row r="2380" spans="1:38" ht="60" x14ac:dyDescent="0.3">
      <c r="A2380" s="179"/>
      <c r="B2380" s="135"/>
      <c r="C2380" s="136"/>
      <c r="D2380" s="137"/>
      <c r="E2380" s="28" t="s">
        <v>6355</v>
      </c>
      <c r="F2380" s="192" t="s">
        <v>6356</v>
      </c>
      <c r="G2380" s="196"/>
      <c r="H2380" s="193"/>
      <c r="I2380" s="110" t="s">
        <v>1033</v>
      </c>
      <c r="J2380" s="111"/>
      <c r="K2380" s="110" t="s">
        <v>5103</v>
      </c>
      <c r="L2380" s="111"/>
      <c r="M2380" s="183">
        <v>48</v>
      </c>
      <c r="N2380" s="184"/>
      <c r="O2380" s="185"/>
      <c r="P2380" s="180" t="s">
        <v>5104</v>
      </c>
      <c r="Q2380" s="181"/>
      <c r="R2380" s="183">
        <v>18</v>
      </c>
      <c r="S2380" s="185"/>
      <c r="T2380" s="183">
        <v>4</v>
      </c>
      <c r="U2380" s="185"/>
      <c r="V2380" s="180" t="s">
        <v>4273</v>
      </c>
      <c r="W2380" s="181"/>
      <c r="X2380" s="241">
        <v>73</v>
      </c>
      <c r="Y2380" s="242"/>
      <c r="Z2380" s="243"/>
      <c r="AA2380" s="143" t="s">
        <v>6357</v>
      </c>
      <c r="AB2380" s="145"/>
      <c r="AC2380" s="162"/>
      <c r="AD2380" s="163"/>
      <c r="AE2380" s="31"/>
      <c r="AF2380" s="167"/>
      <c r="AG2380" s="168"/>
      <c r="AH2380" s="169"/>
      <c r="AI2380" s="31"/>
      <c r="AJ2380" s="48"/>
      <c r="AK2380" s="15"/>
      <c r="AL2380" s="15"/>
    </row>
    <row r="2381" spans="1:38" ht="75" x14ac:dyDescent="0.3">
      <c r="A2381" s="179"/>
      <c r="B2381" s="135"/>
      <c r="C2381" s="136"/>
      <c r="D2381" s="137"/>
      <c r="E2381" s="28" t="s">
        <v>6358</v>
      </c>
      <c r="F2381" s="194"/>
      <c r="G2381" s="197"/>
      <c r="H2381" s="195"/>
      <c r="I2381" s="110" t="s">
        <v>1033</v>
      </c>
      <c r="J2381" s="111"/>
      <c r="K2381" s="110" t="s">
        <v>5103</v>
      </c>
      <c r="L2381" s="111"/>
      <c r="M2381" s="183">
        <v>48</v>
      </c>
      <c r="N2381" s="184"/>
      <c r="O2381" s="185"/>
      <c r="P2381" s="180" t="s">
        <v>5104</v>
      </c>
      <c r="Q2381" s="181"/>
      <c r="R2381" s="183">
        <v>18</v>
      </c>
      <c r="S2381" s="185"/>
      <c r="T2381" s="183">
        <v>4</v>
      </c>
      <c r="U2381" s="185"/>
      <c r="V2381" s="180" t="s">
        <v>4273</v>
      </c>
      <c r="W2381" s="181"/>
      <c r="X2381" s="244"/>
      <c r="Y2381" s="245"/>
      <c r="Z2381" s="246"/>
      <c r="AA2381" s="146"/>
      <c r="AB2381" s="148"/>
      <c r="AC2381" s="162"/>
      <c r="AD2381" s="163"/>
      <c r="AE2381" s="31"/>
      <c r="AF2381" s="167"/>
      <c r="AG2381" s="168"/>
      <c r="AH2381" s="169"/>
      <c r="AI2381" s="31"/>
      <c r="AJ2381" s="48"/>
      <c r="AK2381" s="15"/>
      <c r="AL2381" s="15"/>
    </row>
    <row r="2382" spans="1:38" ht="75" x14ac:dyDescent="0.35">
      <c r="A2382" s="179"/>
      <c r="B2382" s="121"/>
      <c r="C2382" s="122"/>
      <c r="D2382" s="123"/>
      <c r="E2382" s="28" t="s">
        <v>6359</v>
      </c>
      <c r="F2382" s="124" t="s">
        <v>6328</v>
      </c>
      <c r="G2382" s="182"/>
      <c r="H2382" s="125"/>
      <c r="I2382" s="110" t="s">
        <v>6154</v>
      </c>
      <c r="J2382" s="111"/>
      <c r="K2382" s="110" t="s">
        <v>5065</v>
      </c>
      <c r="L2382" s="111"/>
      <c r="M2382" s="183">
        <v>26</v>
      </c>
      <c r="N2382" s="184"/>
      <c r="O2382" s="185"/>
      <c r="P2382" s="173" t="s">
        <v>5066</v>
      </c>
      <c r="Q2382" s="174"/>
      <c r="R2382" s="183">
        <v>5</v>
      </c>
      <c r="S2382" s="185"/>
      <c r="T2382" s="183">
        <v>4</v>
      </c>
      <c r="U2382" s="185"/>
      <c r="V2382" s="173" t="s">
        <v>5210</v>
      </c>
      <c r="W2382" s="174"/>
      <c r="X2382" s="227">
        <v>41</v>
      </c>
      <c r="Y2382" s="228"/>
      <c r="Z2382" s="229"/>
      <c r="AA2382" s="110" t="s">
        <v>1428</v>
      </c>
      <c r="AB2382" s="111"/>
      <c r="AC2382" s="162"/>
      <c r="AD2382" s="163"/>
      <c r="AE2382" s="31"/>
      <c r="AF2382" s="167"/>
      <c r="AG2382" s="168"/>
      <c r="AH2382" s="169"/>
      <c r="AI2382" s="31"/>
      <c r="AJ2382" s="48"/>
      <c r="AK2382" s="15"/>
      <c r="AL2382" s="15"/>
    </row>
    <row r="2383" spans="1:38" ht="75" x14ac:dyDescent="0.35">
      <c r="A2383" s="179"/>
      <c r="B2383" s="121"/>
      <c r="C2383" s="122"/>
      <c r="D2383" s="123"/>
      <c r="E2383" s="28" t="s">
        <v>6360</v>
      </c>
      <c r="F2383" s="124" t="s">
        <v>6337</v>
      </c>
      <c r="G2383" s="182"/>
      <c r="H2383" s="125"/>
      <c r="I2383" s="110" t="s">
        <v>826</v>
      </c>
      <c r="J2383" s="111"/>
      <c r="K2383" s="110" t="s">
        <v>5077</v>
      </c>
      <c r="L2383" s="111"/>
      <c r="M2383" s="183">
        <v>30</v>
      </c>
      <c r="N2383" s="184"/>
      <c r="O2383" s="185"/>
      <c r="P2383" s="173" t="s">
        <v>924</v>
      </c>
      <c r="Q2383" s="174"/>
      <c r="R2383" s="204">
        <v>7</v>
      </c>
      <c r="S2383" s="205"/>
      <c r="T2383" s="183">
        <v>4</v>
      </c>
      <c r="U2383" s="185"/>
      <c r="V2383" s="173" t="s">
        <v>1484</v>
      </c>
      <c r="W2383" s="174"/>
      <c r="X2383" s="227">
        <v>48</v>
      </c>
      <c r="Y2383" s="228"/>
      <c r="Z2383" s="229"/>
      <c r="AA2383" s="110" t="s">
        <v>4182</v>
      </c>
      <c r="AB2383" s="111"/>
      <c r="AC2383" s="162"/>
      <c r="AD2383" s="163"/>
      <c r="AE2383" s="31"/>
      <c r="AF2383" s="167"/>
      <c r="AG2383" s="168"/>
      <c r="AH2383" s="169"/>
      <c r="AI2383" s="31"/>
      <c r="AJ2383" s="48"/>
      <c r="AK2383" s="15"/>
      <c r="AL2383" s="15"/>
    </row>
    <row r="2384" spans="1:38" ht="75" x14ac:dyDescent="0.35">
      <c r="A2384" s="179"/>
      <c r="B2384" s="121"/>
      <c r="C2384" s="122"/>
      <c r="D2384" s="123"/>
      <c r="E2384" s="28" t="s">
        <v>6361</v>
      </c>
      <c r="F2384" s="124" t="s">
        <v>6340</v>
      </c>
      <c r="G2384" s="182"/>
      <c r="H2384" s="125"/>
      <c r="I2384" s="110" t="s">
        <v>1023</v>
      </c>
      <c r="J2384" s="111"/>
      <c r="K2384" s="110" t="s">
        <v>5083</v>
      </c>
      <c r="L2384" s="111"/>
      <c r="M2384" s="183">
        <v>37</v>
      </c>
      <c r="N2384" s="184"/>
      <c r="O2384" s="185"/>
      <c r="P2384" s="173" t="s">
        <v>889</v>
      </c>
      <c r="Q2384" s="174"/>
      <c r="R2384" s="231">
        <v>7</v>
      </c>
      <c r="S2384" s="232"/>
      <c r="T2384" s="183">
        <v>4</v>
      </c>
      <c r="U2384" s="185"/>
      <c r="V2384" s="173" t="s">
        <v>6362</v>
      </c>
      <c r="W2384" s="174"/>
      <c r="X2384" s="227">
        <v>55</v>
      </c>
      <c r="Y2384" s="228"/>
      <c r="Z2384" s="229"/>
      <c r="AA2384" s="110" t="s">
        <v>6363</v>
      </c>
      <c r="AB2384" s="111"/>
      <c r="AC2384" s="162"/>
      <c r="AD2384" s="163"/>
      <c r="AE2384" s="31"/>
      <c r="AF2384" s="167"/>
      <c r="AG2384" s="168"/>
      <c r="AH2384" s="169"/>
      <c r="AI2384" s="31"/>
      <c r="AJ2384" s="48"/>
      <c r="AK2384" s="15"/>
      <c r="AL2384" s="15"/>
    </row>
    <row r="2385" spans="1:38" ht="75" x14ac:dyDescent="0.35">
      <c r="A2385" s="179"/>
      <c r="B2385" s="121"/>
      <c r="C2385" s="122"/>
      <c r="D2385" s="123"/>
      <c r="E2385" s="28" t="s">
        <v>6364</v>
      </c>
      <c r="F2385" s="124" t="s">
        <v>6344</v>
      </c>
      <c r="G2385" s="182"/>
      <c r="H2385" s="125"/>
      <c r="I2385" s="110" t="s">
        <v>1261</v>
      </c>
      <c r="J2385" s="111"/>
      <c r="K2385" s="110" t="s">
        <v>5088</v>
      </c>
      <c r="L2385" s="111"/>
      <c r="M2385" s="183">
        <v>43</v>
      </c>
      <c r="N2385" s="184"/>
      <c r="O2385" s="185"/>
      <c r="P2385" s="173" t="s">
        <v>768</v>
      </c>
      <c r="Q2385" s="174"/>
      <c r="R2385" s="117" t="s">
        <v>1152</v>
      </c>
      <c r="S2385" s="118"/>
      <c r="T2385" s="183">
        <v>4</v>
      </c>
      <c r="U2385" s="185"/>
      <c r="V2385" s="173" t="s">
        <v>4027</v>
      </c>
      <c r="W2385" s="174"/>
      <c r="X2385" s="227">
        <v>63</v>
      </c>
      <c r="Y2385" s="228"/>
      <c r="Z2385" s="229"/>
      <c r="AA2385" s="110" t="s">
        <v>4595</v>
      </c>
      <c r="AB2385" s="111"/>
      <c r="AC2385" s="162"/>
      <c r="AD2385" s="163"/>
      <c r="AE2385" s="31"/>
      <c r="AF2385" s="167"/>
      <c r="AG2385" s="168"/>
      <c r="AH2385" s="169"/>
      <c r="AI2385" s="31"/>
      <c r="AJ2385" s="48"/>
      <c r="AK2385" s="15"/>
      <c r="AL2385" s="15"/>
    </row>
    <row r="2386" spans="1:38" ht="60" x14ac:dyDescent="0.35">
      <c r="A2386" s="179"/>
      <c r="B2386" s="121"/>
      <c r="C2386" s="122"/>
      <c r="D2386" s="123"/>
      <c r="E2386" s="28" t="s">
        <v>6365</v>
      </c>
      <c r="F2386" s="124" t="s">
        <v>6348</v>
      </c>
      <c r="G2386" s="182"/>
      <c r="H2386" s="125"/>
      <c r="I2386" s="110" t="s">
        <v>1127</v>
      </c>
      <c r="J2386" s="111"/>
      <c r="K2386" s="110" t="s">
        <v>5093</v>
      </c>
      <c r="L2386" s="111"/>
      <c r="M2386" s="183">
        <v>47</v>
      </c>
      <c r="N2386" s="184"/>
      <c r="O2386" s="185"/>
      <c r="P2386" s="173" t="s">
        <v>5094</v>
      </c>
      <c r="Q2386" s="174"/>
      <c r="R2386" s="88" t="s">
        <v>4862</v>
      </c>
      <c r="S2386" s="89"/>
      <c r="T2386" s="183">
        <v>4</v>
      </c>
      <c r="U2386" s="185"/>
      <c r="V2386" s="180" t="s">
        <v>4389</v>
      </c>
      <c r="W2386" s="181"/>
      <c r="X2386" s="227">
        <v>65</v>
      </c>
      <c r="Y2386" s="228"/>
      <c r="Z2386" s="229"/>
      <c r="AA2386" s="110" t="s">
        <v>1396</v>
      </c>
      <c r="AB2386" s="111"/>
      <c r="AC2386" s="162"/>
      <c r="AD2386" s="163"/>
      <c r="AE2386" s="31"/>
      <c r="AF2386" s="167"/>
      <c r="AG2386" s="168"/>
      <c r="AH2386" s="169"/>
      <c r="AI2386" s="31"/>
      <c r="AJ2386" s="48"/>
      <c r="AK2386" s="15"/>
      <c r="AL2386" s="15"/>
    </row>
    <row r="2387" spans="1:38" ht="60" x14ac:dyDescent="0.35">
      <c r="A2387" s="179"/>
      <c r="B2387" s="121"/>
      <c r="C2387" s="122"/>
      <c r="D2387" s="123"/>
      <c r="E2387" s="28" t="s">
        <v>6366</v>
      </c>
      <c r="F2387" s="124" t="s">
        <v>6353</v>
      </c>
      <c r="G2387" s="182"/>
      <c r="H2387" s="125"/>
      <c r="I2387" s="183">
        <v>5</v>
      </c>
      <c r="J2387" s="185"/>
      <c r="K2387" s="110" t="s">
        <v>5098</v>
      </c>
      <c r="L2387" s="111"/>
      <c r="M2387" s="183">
        <v>51</v>
      </c>
      <c r="N2387" s="184"/>
      <c r="O2387" s="185"/>
      <c r="P2387" s="183">
        <v>3</v>
      </c>
      <c r="Q2387" s="185"/>
      <c r="R2387" s="117" t="s">
        <v>4862</v>
      </c>
      <c r="S2387" s="118"/>
      <c r="T2387" s="183">
        <v>4</v>
      </c>
      <c r="U2387" s="185"/>
      <c r="V2387" s="173" t="s">
        <v>6367</v>
      </c>
      <c r="W2387" s="174"/>
      <c r="X2387" s="227">
        <v>75</v>
      </c>
      <c r="Y2387" s="228"/>
      <c r="Z2387" s="229"/>
      <c r="AA2387" s="110" t="s">
        <v>4610</v>
      </c>
      <c r="AB2387" s="111"/>
      <c r="AC2387" s="162"/>
      <c r="AD2387" s="163"/>
      <c r="AE2387" s="31"/>
      <c r="AF2387" s="167"/>
      <c r="AG2387" s="168"/>
      <c r="AH2387" s="169"/>
      <c r="AI2387" s="31"/>
      <c r="AJ2387" s="48"/>
      <c r="AK2387" s="15"/>
      <c r="AL2387" s="15"/>
    </row>
    <row r="2388" spans="1:38" ht="60" x14ac:dyDescent="0.35">
      <c r="A2388" s="230"/>
      <c r="B2388" s="93"/>
      <c r="C2388" s="106"/>
      <c r="D2388" s="94"/>
      <c r="E2388" s="28" t="s">
        <v>6368</v>
      </c>
      <c r="F2388" s="124" t="s">
        <v>6356</v>
      </c>
      <c r="G2388" s="182"/>
      <c r="H2388" s="125"/>
      <c r="I2388" s="110" t="s">
        <v>1033</v>
      </c>
      <c r="J2388" s="111"/>
      <c r="K2388" s="110" t="s">
        <v>5103</v>
      </c>
      <c r="L2388" s="111"/>
      <c r="M2388" s="183">
        <v>54</v>
      </c>
      <c r="N2388" s="184"/>
      <c r="O2388" s="185"/>
      <c r="P2388" s="180" t="s">
        <v>5104</v>
      </c>
      <c r="Q2388" s="181"/>
      <c r="R2388" s="204">
        <v>16</v>
      </c>
      <c r="S2388" s="205"/>
      <c r="T2388" s="183">
        <v>4</v>
      </c>
      <c r="U2388" s="185"/>
      <c r="V2388" s="180" t="s">
        <v>6369</v>
      </c>
      <c r="W2388" s="181"/>
      <c r="X2388" s="227">
        <v>79</v>
      </c>
      <c r="Y2388" s="228"/>
      <c r="Z2388" s="229"/>
      <c r="AA2388" s="110" t="s">
        <v>3118</v>
      </c>
      <c r="AB2388" s="111"/>
      <c r="AC2388" s="212"/>
      <c r="AD2388" s="213"/>
      <c r="AE2388" s="31"/>
      <c r="AF2388" s="214"/>
      <c r="AG2388" s="215"/>
      <c r="AH2388" s="216"/>
      <c r="AI2388" s="31"/>
      <c r="AJ2388" s="48"/>
      <c r="AK2388" s="15"/>
      <c r="AL2388" s="15"/>
    </row>
    <row r="2389" spans="1:38" ht="105" x14ac:dyDescent="0.35">
      <c r="A2389" s="178"/>
      <c r="B2389" s="119"/>
      <c r="C2389" s="139"/>
      <c r="D2389" s="120"/>
      <c r="E2389" s="28" t="s">
        <v>6370</v>
      </c>
      <c r="F2389" s="119"/>
      <c r="G2389" s="139"/>
      <c r="H2389" s="120"/>
      <c r="I2389" s="110" t="s">
        <v>1751</v>
      </c>
      <c r="J2389" s="111"/>
      <c r="K2389" s="143" t="s">
        <v>3583</v>
      </c>
      <c r="L2389" s="145"/>
      <c r="M2389" s="114" t="s">
        <v>6371</v>
      </c>
      <c r="N2389" s="115"/>
      <c r="O2389" s="116"/>
      <c r="P2389" s="183">
        <v>3</v>
      </c>
      <c r="Q2389" s="185"/>
      <c r="R2389" s="231">
        <v>9</v>
      </c>
      <c r="S2389" s="232"/>
      <c r="T2389" s="183">
        <v>4</v>
      </c>
      <c r="U2389" s="185"/>
      <c r="V2389" s="114" t="s">
        <v>5175</v>
      </c>
      <c r="W2389" s="116"/>
      <c r="X2389" s="227">
        <v>88</v>
      </c>
      <c r="Y2389" s="228"/>
      <c r="Z2389" s="229"/>
      <c r="AA2389" s="233" t="s">
        <v>1127</v>
      </c>
      <c r="AB2389" s="234"/>
      <c r="AC2389" s="223" t="s">
        <v>675</v>
      </c>
      <c r="AD2389" s="224"/>
      <c r="AE2389" s="16" t="s">
        <v>6374</v>
      </c>
      <c r="AF2389" s="164"/>
      <c r="AG2389" s="165"/>
      <c r="AH2389" s="166"/>
      <c r="AI2389" s="164"/>
      <c r="AJ2389" s="48"/>
      <c r="AK2389" s="15"/>
      <c r="AL2389" s="15"/>
    </row>
    <row r="2390" spans="1:38" ht="60" x14ac:dyDescent="0.35">
      <c r="A2390" s="179"/>
      <c r="B2390" s="121"/>
      <c r="C2390" s="122"/>
      <c r="D2390" s="123"/>
      <c r="E2390" s="28" t="s">
        <v>6376</v>
      </c>
      <c r="F2390" s="121"/>
      <c r="G2390" s="122"/>
      <c r="H2390" s="123"/>
      <c r="I2390" s="110" t="s">
        <v>1751</v>
      </c>
      <c r="J2390" s="111"/>
      <c r="K2390" s="104" t="s">
        <v>3583</v>
      </c>
      <c r="L2390" s="105"/>
      <c r="M2390" s="114" t="s">
        <v>6371</v>
      </c>
      <c r="N2390" s="115"/>
      <c r="O2390" s="116"/>
      <c r="P2390" s="183">
        <v>3</v>
      </c>
      <c r="Q2390" s="185"/>
      <c r="R2390" s="231">
        <v>9</v>
      </c>
      <c r="S2390" s="232"/>
      <c r="T2390" s="183">
        <v>4</v>
      </c>
      <c r="U2390" s="185"/>
      <c r="V2390" s="114" t="s">
        <v>5175</v>
      </c>
      <c r="W2390" s="116"/>
      <c r="X2390" s="227">
        <v>88</v>
      </c>
      <c r="Y2390" s="228"/>
      <c r="Z2390" s="229"/>
      <c r="AA2390" s="235"/>
      <c r="AB2390" s="236"/>
      <c r="AC2390" s="239" t="s">
        <v>6372</v>
      </c>
      <c r="AD2390" s="240"/>
      <c r="AE2390" s="43" t="s">
        <v>6375</v>
      </c>
      <c r="AF2390" s="167"/>
      <c r="AG2390" s="168"/>
      <c r="AH2390" s="169"/>
      <c r="AI2390" s="167"/>
      <c r="AJ2390" s="48"/>
      <c r="AK2390" s="15"/>
      <c r="AL2390" s="15"/>
    </row>
    <row r="2391" spans="1:38" ht="60" x14ac:dyDescent="0.35">
      <c r="A2391" s="179"/>
      <c r="B2391" s="121"/>
      <c r="C2391" s="122"/>
      <c r="D2391" s="123"/>
      <c r="E2391" s="28" t="s">
        <v>6377</v>
      </c>
      <c r="F2391" s="121"/>
      <c r="G2391" s="122"/>
      <c r="H2391" s="123"/>
      <c r="I2391" s="110" t="s">
        <v>1751</v>
      </c>
      <c r="J2391" s="111"/>
      <c r="K2391" s="104" t="s">
        <v>3583</v>
      </c>
      <c r="L2391" s="105"/>
      <c r="M2391" s="114" t="s">
        <v>6371</v>
      </c>
      <c r="N2391" s="115"/>
      <c r="O2391" s="116"/>
      <c r="P2391" s="183">
        <v>3</v>
      </c>
      <c r="Q2391" s="185"/>
      <c r="R2391" s="231">
        <v>9</v>
      </c>
      <c r="S2391" s="232"/>
      <c r="T2391" s="183">
        <v>4</v>
      </c>
      <c r="U2391" s="185"/>
      <c r="V2391" s="114" t="s">
        <v>5175</v>
      </c>
      <c r="W2391" s="116"/>
      <c r="X2391" s="227">
        <v>88</v>
      </c>
      <c r="Y2391" s="228"/>
      <c r="Z2391" s="229"/>
      <c r="AA2391" s="235"/>
      <c r="AB2391" s="236"/>
      <c r="AC2391" s="239" t="s">
        <v>828</v>
      </c>
      <c r="AD2391" s="240"/>
      <c r="AE2391" s="43"/>
      <c r="AF2391" s="167"/>
      <c r="AG2391" s="168"/>
      <c r="AH2391" s="169"/>
      <c r="AI2391" s="167"/>
      <c r="AJ2391" s="48"/>
      <c r="AK2391" s="15"/>
      <c r="AL2391" s="15"/>
    </row>
    <row r="2392" spans="1:38" ht="60" x14ac:dyDescent="0.3">
      <c r="A2392" s="179"/>
      <c r="B2392" s="155" t="s">
        <v>6378</v>
      </c>
      <c r="C2392" s="156"/>
      <c r="D2392" s="157"/>
      <c r="E2392" s="28" t="s">
        <v>6379</v>
      </c>
      <c r="F2392" s="155" t="s">
        <v>6380</v>
      </c>
      <c r="G2392" s="156"/>
      <c r="H2392" s="157"/>
      <c r="I2392" s="110" t="s">
        <v>1751</v>
      </c>
      <c r="J2392" s="111"/>
      <c r="K2392" s="104" t="s">
        <v>3583</v>
      </c>
      <c r="L2392" s="105"/>
      <c r="M2392" s="114" t="s">
        <v>6371</v>
      </c>
      <c r="N2392" s="115"/>
      <c r="O2392" s="116"/>
      <c r="P2392" s="183">
        <v>3</v>
      </c>
      <c r="Q2392" s="185"/>
      <c r="R2392" s="231">
        <v>9</v>
      </c>
      <c r="S2392" s="232"/>
      <c r="T2392" s="183">
        <v>4</v>
      </c>
      <c r="U2392" s="185"/>
      <c r="V2392" s="114" t="s">
        <v>5175</v>
      </c>
      <c r="W2392" s="116"/>
      <c r="X2392" s="227">
        <v>88</v>
      </c>
      <c r="Y2392" s="228"/>
      <c r="Z2392" s="229"/>
      <c r="AA2392" s="235"/>
      <c r="AB2392" s="236"/>
      <c r="AC2392" s="239" t="s">
        <v>677</v>
      </c>
      <c r="AD2392" s="240"/>
      <c r="AE2392" s="43"/>
      <c r="AF2392" s="167"/>
      <c r="AG2392" s="168"/>
      <c r="AH2392" s="169"/>
      <c r="AI2392" s="167"/>
      <c r="AJ2392" s="48"/>
      <c r="AK2392" s="15"/>
      <c r="AL2392" s="15"/>
    </row>
    <row r="2393" spans="1:38" ht="60" x14ac:dyDescent="0.35">
      <c r="A2393" s="179"/>
      <c r="B2393" s="121"/>
      <c r="C2393" s="122"/>
      <c r="D2393" s="123"/>
      <c r="E2393" s="28" t="s">
        <v>6381</v>
      </c>
      <c r="F2393" s="121"/>
      <c r="G2393" s="122"/>
      <c r="H2393" s="123"/>
      <c r="I2393" s="110" t="s">
        <v>1751</v>
      </c>
      <c r="J2393" s="111"/>
      <c r="K2393" s="104" t="s">
        <v>3583</v>
      </c>
      <c r="L2393" s="105"/>
      <c r="M2393" s="114" t="s">
        <v>6371</v>
      </c>
      <c r="N2393" s="115"/>
      <c r="O2393" s="116"/>
      <c r="P2393" s="183">
        <v>3</v>
      </c>
      <c r="Q2393" s="185"/>
      <c r="R2393" s="231">
        <v>9</v>
      </c>
      <c r="S2393" s="232"/>
      <c r="T2393" s="183">
        <v>4</v>
      </c>
      <c r="U2393" s="185"/>
      <c r="V2393" s="114" t="s">
        <v>5175</v>
      </c>
      <c r="W2393" s="116"/>
      <c r="X2393" s="227">
        <v>88</v>
      </c>
      <c r="Y2393" s="228"/>
      <c r="Z2393" s="229"/>
      <c r="AA2393" s="235"/>
      <c r="AB2393" s="236"/>
      <c r="AC2393" s="239" t="s">
        <v>678</v>
      </c>
      <c r="AD2393" s="240"/>
      <c r="AE2393" s="43"/>
      <c r="AF2393" s="167"/>
      <c r="AG2393" s="168"/>
      <c r="AH2393" s="169"/>
      <c r="AI2393" s="167"/>
      <c r="AJ2393" s="48"/>
      <c r="AK2393" s="15"/>
      <c r="AL2393" s="15"/>
    </row>
    <row r="2394" spans="1:38" ht="60" x14ac:dyDescent="0.35">
      <c r="A2394" s="179"/>
      <c r="B2394" s="121"/>
      <c r="C2394" s="122"/>
      <c r="D2394" s="123"/>
      <c r="E2394" s="28" t="s">
        <v>6382</v>
      </c>
      <c r="F2394" s="121"/>
      <c r="G2394" s="122"/>
      <c r="H2394" s="123"/>
      <c r="I2394" s="110" t="s">
        <v>1751</v>
      </c>
      <c r="J2394" s="111"/>
      <c r="K2394" s="104" t="s">
        <v>3583</v>
      </c>
      <c r="L2394" s="105"/>
      <c r="M2394" s="114" t="s">
        <v>6371</v>
      </c>
      <c r="N2394" s="115"/>
      <c r="O2394" s="116"/>
      <c r="P2394" s="183">
        <v>3</v>
      </c>
      <c r="Q2394" s="185"/>
      <c r="R2394" s="231">
        <v>9</v>
      </c>
      <c r="S2394" s="232"/>
      <c r="T2394" s="183">
        <v>4</v>
      </c>
      <c r="U2394" s="185"/>
      <c r="V2394" s="114" t="s">
        <v>5175</v>
      </c>
      <c r="W2394" s="116"/>
      <c r="X2394" s="227">
        <v>88</v>
      </c>
      <c r="Y2394" s="228"/>
      <c r="Z2394" s="229"/>
      <c r="AA2394" s="237"/>
      <c r="AB2394" s="238"/>
      <c r="AC2394" s="239" t="s">
        <v>6373</v>
      </c>
      <c r="AD2394" s="240"/>
      <c r="AE2394" s="43"/>
      <c r="AF2394" s="167"/>
      <c r="AG2394" s="168"/>
      <c r="AH2394" s="169"/>
      <c r="AI2394" s="167"/>
      <c r="AJ2394" s="48"/>
      <c r="AK2394" s="15"/>
      <c r="AL2394" s="15"/>
    </row>
    <row r="2395" spans="1:38" ht="60" x14ac:dyDescent="0.35">
      <c r="A2395" s="230"/>
      <c r="B2395" s="93"/>
      <c r="C2395" s="106"/>
      <c r="D2395" s="94"/>
      <c r="E2395" s="28" t="s">
        <v>6383</v>
      </c>
      <c r="F2395" s="93"/>
      <c r="G2395" s="106"/>
      <c r="H2395" s="94"/>
      <c r="I2395" s="110" t="s">
        <v>1751</v>
      </c>
      <c r="J2395" s="111"/>
      <c r="K2395" s="146" t="s">
        <v>3583</v>
      </c>
      <c r="L2395" s="148"/>
      <c r="M2395" s="114" t="s">
        <v>6371</v>
      </c>
      <c r="N2395" s="115"/>
      <c r="O2395" s="116"/>
      <c r="P2395" s="183">
        <v>3</v>
      </c>
      <c r="Q2395" s="185"/>
      <c r="R2395" s="206">
        <v>9</v>
      </c>
      <c r="S2395" s="207"/>
      <c r="T2395" s="183">
        <v>4</v>
      </c>
      <c r="U2395" s="185"/>
      <c r="V2395" s="114" t="s">
        <v>5175</v>
      </c>
      <c r="W2395" s="116"/>
      <c r="X2395" s="227">
        <v>88</v>
      </c>
      <c r="Y2395" s="228"/>
      <c r="Z2395" s="229"/>
      <c r="AA2395" s="110" t="s">
        <v>1127</v>
      </c>
      <c r="AB2395" s="111"/>
      <c r="AC2395" s="225"/>
      <c r="AD2395" s="226"/>
      <c r="AE2395" s="43"/>
      <c r="AF2395" s="214"/>
      <c r="AG2395" s="215"/>
      <c r="AH2395" s="216"/>
      <c r="AI2395" s="167"/>
      <c r="AJ2395" s="48"/>
      <c r="AK2395" s="15"/>
      <c r="AL2395" s="15"/>
    </row>
    <row r="2396" spans="1:38" ht="90" x14ac:dyDescent="0.3">
      <c r="A2396" s="178"/>
      <c r="B2396" s="149"/>
      <c r="C2396" s="158"/>
      <c r="D2396" s="150"/>
      <c r="E2396" s="28" t="s">
        <v>6384</v>
      </c>
      <c r="F2396" s="192" t="s">
        <v>6385</v>
      </c>
      <c r="G2396" s="196"/>
      <c r="H2396" s="193"/>
      <c r="I2396" s="110" t="s">
        <v>3205</v>
      </c>
      <c r="J2396" s="111"/>
      <c r="K2396" s="143" t="s">
        <v>6386</v>
      </c>
      <c r="L2396" s="145"/>
      <c r="M2396" s="110" t="s">
        <v>1127</v>
      </c>
      <c r="N2396" s="138"/>
      <c r="O2396" s="111"/>
      <c r="P2396" s="114" t="s">
        <v>922</v>
      </c>
      <c r="Q2396" s="116"/>
      <c r="R2396" s="88" t="s">
        <v>758</v>
      </c>
      <c r="S2396" s="89"/>
      <c r="T2396" s="114" t="s">
        <v>922</v>
      </c>
      <c r="U2396" s="116"/>
      <c r="V2396" s="173" t="s">
        <v>2099</v>
      </c>
      <c r="W2396" s="174"/>
      <c r="X2396" s="217" t="s">
        <v>4298</v>
      </c>
      <c r="Y2396" s="218"/>
      <c r="Z2396" s="219"/>
      <c r="AA2396" s="223" t="s">
        <v>6387</v>
      </c>
      <c r="AB2396" s="224"/>
      <c r="AC2396" s="171" t="s">
        <v>3194</v>
      </c>
      <c r="AD2396" s="172"/>
      <c r="AE2396" s="24" t="s">
        <v>6390</v>
      </c>
      <c r="AF2396" s="164"/>
      <c r="AG2396" s="165"/>
      <c r="AH2396" s="166"/>
      <c r="AI2396" s="167"/>
      <c r="AJ2396" s="48"/>
      <c r="AK2396" s="15"/>
      <c r="AL2396" s="15"/>
    </row>
    <row r="2397" spans="1:38" ht="90" x14ac:dyDescent="0.3">
      <c r="A2397" s="179"/>
      <c r="B2397" s="135"/>
      <c r="C2397" s="136"/>
      <c r="D2397" s="137"/>
      <c r="E2397" s="28" t="s">
        <v>6392</v>
      </c>
      <c r="F2397" s="194"/>
      <c r="G2397" s="197"/>
      <c r="H2397" s="195"/>
      <c r="I2397" s="110" t="s">
        <v>3205</v>
      </c>
      <c r="J2397" s="111"/>
      <c r="K2397" s="104" t="s">
        <v>6386</v>
      </c>
      <c r="L2397" s="105"/>
      <c r="M2397" s="110" t="s">
        <v>1127</v>
      </c>
      <c r="N2397" s="138"/>
      <c r="O2397" s="111"/>
      <c r="P2397" s="114" t="s">
        <v>922</v>
      </c>
      <c r="Q2397" s="116"/>
      <c r="R2397" s="117" t="s">
        <v>758</v>
      </c>
      <c r="S2397" s="118"/>
      <c r="T2397" s="114" t="s">
        <v>922</v>
      </c>
      <c r="U2397" s="116"/>
      <c r="V2397" s="173" t="s">
        <v>2099</v>
      </c>
      <c r="W2397" s="174"/>
      <c r="X2397" s="220"/>
      <c r="Y2397" s="221"/>
      <c r="Z2397" s="222"/>
      <c r="AA2397" s="225"/>
      <c r="AB2397" s="226"/>
      <c r="AC2397" s="162" t="s">
        <v>6388</v>
      </c>
      <c r="AD2397" s="163"/>
      <c r="AE2397" s="31" t="s">
        <v>1356</v>
      </c>
      <c r="AF2397" s="167"/>
      <c r="AG2397" s="168"/>
      <c r="AH2397" s="169"/>
      <c r="AI2397" s="167"/>
      <c r="AJ2397" s="48"/>
      <c r="AK2397" s="15"/>
      <c r="AL2397" s="15"/>
    </row>
    <row r="2398" spans="1:38" ht="90" x14ac:dyDescent="0.3">
      <c r="A2398" s="179"/>
      <c r="B2398" s="135"/>
      <c r="C2398" s="136"/>
      <c r="D2398" s="137"/>
      <c r="E2398" s="28" t="s">
        <v>6393</v>
      </c>
      <c r="F2398" s="192" t="s">
        <v>6394</v>
      </c>
      <c r="G2398" s="196"/>
      <c r="H2398" s="193"/>
      <c r="I2398" s="110" t="s">
        <v>6395</v>
      </c>
      <c r="J2398" s="111"/>
      <c r="K2398" s="104" t="s">
        <v>6386</v>
      </c>
      <c r="L2398" s="105"/>
      <c r="M2398" s="114" t="s">
        <v>2970</v>
      </c>
      <c r="N2398" s="115"/>
      <c r="O2398" s="116"/>
      <c r="P2398" s="114" t="s">
        <v>922</v>
      </c>
      <c r="Q2398" s="116"/>
      <c r="R2398" s="112">
        <v>4</v>
      </c>
      <c r="S2398" s="113"/>
      <c r="T2398" s="114" t="s">
        <v>922</v>
      </c>
      <c r="U2398" s="116"/>
      <c r="V2398" s="173" t="s">
        <v>2384</v>
      </c>
      <c r="W2398" s="174"/>
      <c r="X2398" s="186" t="s">
        <v>6396</v>
      </c>
      <c r="Y2398" s="187"/>
      <c r="Z2398" s="188"/>
      <c r="AA2398" s="192" t="s">
        <v>1985</v>
      </c>
      <c r="AB2398" s="193"/>
      <c r="AC2398" s="162" t="s">
        <v>6389</v>
      </c>
      <c r="AD2398" s="163"/>
      <c r="AE2398" s="31" t="s">
        <v>6391</v>
      </c>
      <c r="AF2398" s="167"/>
      <c r="AG2398" s="168"/>
      <c r="AH2398" s="169"/>
      <c r="AI2398" s="167"/>
      <c r="AJ2398" s="48"/>
      <c r="AK2398" s="15"/>
      <c r="AL2398" s="15"/>
    </row>
    <row r="2399" spans="1:38" ht="90" x14ac:dyDescent="0.3">
      <c r="A2399" s="179"/>
      <c r="B2399" s="135"/>
      <c r="C2399" s="136"/>
      <c r="D2399" s="137"/>
      <c r="E2399" s="28" t="s">
        <v>6397</v>
      </c>
      <c r="F2399" s="194"/>
      <c r="G2399" s="197"/>
      <c r="H2399" s="195"/>
      <c r="I2399" s="110" t="s">
        <v>6395</v>
      </c>
      <c r="J2399" s="111"/>
      <c r="K2399" s="104" t="s">
        <v>6386</v>
      </c>
      <c r="L2399" s="105"/>
      <c r="M2399" s="114" t="s">
        <v>2970</v>
      </c>
      <c r="N2399" s="115"/>
      <c r="O2399" s="116"/>
      <c r="P2399" s="114" t="s">
        <v>922</v>
      </c>
      <c r="Q2399" s="116"/>
      <c r="R2399" s="160">
        <v>4</v>
      </c>
      <c r="S2399" s="161"/>
      <c r="T2399" s="114" t="s">
        <v>922</v>
      </c>
      <c r="U2399" s="116"/>
      <c r="V2399" s="173" t="s">
        <v>2384</v>
      </c>
      <c r="W2399" s="174"/>
      <c r="X2399" s="189"/>
      <c r="Y2399" s="190"/>
      <c r="Z2399" s="191"/>
      <c r="AA2399" s="194"/>
      <c r="AB2399" s="195"/>
      <c r="AC2399" s="162"/>
      <c r="AD2399" s="163"/>
      <c r="AE2399" s="31"/>
      <c r="AF2399" s="167"/>
      <c r="AG2399" s="168"/>
      <c r="AH2399" s="169"/>
      <c r="AI2399" s="167"/>
      <c r="AJ2399" s="48"/>
      <c r="AK2399" s="15"/>
      <c r="AL2399" s="15"/>
    </row>
    <row r="2400" spans="1:38" ht="90" x14ac:dyDescent="0.35">
      <c r="A2400" s="179"/>
      <c r="B2400" s="121"/>
      <c r="C2400" s="122"/>
      <c r="D2400" s="123"/>
      <c r="E2400" s="28" t="s">
        <v>6398</v>
      </c>
      <c r="F2400" s="124" t="s">
        <v>6385</v>
      </c>
      <c r="G2400" s="182"/>
      <c r="H2400" s="125"/>
      <c r="I2400" s="110" t="s">
        <v>3205</v>
      </c>
      <c r="J2400" s="111"/>
      <c r="K2400" s="104" t="s">
        <v>6386</v>
      </c>
      <c r="L2400" s="105"/>
      <c r="M2400" s="110" t="s">
        <v>1751</v>
      </c>
      <c r="N2400" s="138"/>
      <c r="O2400" s="111"/>
      <c r="P2400" s="114" t="s">
        <v>922</v>
      </c>
      <c r="Q2400" s="116"/>
      <c r="R2400" s="114" t="s">
        <v>758</v>
      </c>
      <c r="S2400" s="116"/>
      <c r="T2400" s="114" t="s">
        <v>922</v>
      </c>
      <c r="U2400" s="116"/>
      <c r="V2400" s="173" t="s">
        <v>2783</v>
      </c>
      <c r="W2400" s="174"/>
      <c r="X2400" s="175" t="s">
        <v>4765</v>
      </c>
      <c r="Y2400" s="176"/>
      <c r="Z2400" s="177"/>
      <c r="AA2400" s="110" t="s">
        <v>3559</v>
      </c>
      <c r="AB2400" s="111"/>
      <c r="AC2400" s="162"/>
      <c r="AD2400" s="163"/>
      <c r="AE2400" s="31"/>
      <c r="AF2400" s="167"/>
      <c r="AG2400" s="168"/>
      <c r="AH2400" s="169"/>
      <c r="AI2400" s="167"/>
      <c r="AJ2400" s="48"/>
      <c r="AK2400" s="15"/>
      <c r="AL2400" s="15"/>
    </row>
    <row r="2401" spans="1:38" ht="15.5" x14ac:dyDescent="0.35">
      <c r="A2401" s="179"/>
      <c r="B2401" s="121"/>
      <c r="C2401" s="122"/>
      <c r="D2401" s="123"/>
      <c r="E2401" s="59" t="s">
        <v>6399</v>
      </c>
      <c r="F2401" s="143" t="s">
        <v>6394</v>
      </c>
      <c r="G2401" s="144"/>
      <c r="H2401" s="145"/>
      <c r="I2401" s="143" t="s">
        <v>6395</v>
      </c>
      <c r="J2401" s="145"/>
      <c r="K2401" s="104" t="s">
        <v>6386</v>
      </c>
      <c r="L2401" s="105"/>
      <c r="M2401" s="88" t="s">
        <v>1482</v>
      </c>
      <c r="N2401" s="153"/>
      <c r="O2401" s="89"/>
      <c r="P2401" s="88" t="s">
        <v>922</v>
      </c>
      <c r="Q2401" s="89"/>
      <c r="R2401" s="204">
        <v>4</v>
      </c>
      <c r="S2401" s="205"/>
      <c r="T2401" s="88" t="s">
        <v>922</v>
      </c>
      <c r="U2401" s="89"/>
      <c r="V2401" s="208" t="s">
        <v>903</v>
      </c>
      <c r="W2401" s="209"/>
      <c r="X2401" s="186" t="s">
        <v>3761</v>
      </c>
      <c r="Y2401" s="187"/>
      <c r="Z2401" s="188"/>
      <c r="AA2401" s="143" t="s">
        <v>1071</v>
      </c>
      <c r="AB2401" s="145"/>
      <c r="AC2401" s="162"/>
      <c r="AD2401" s="163"/>
      <c r="AE2401" s="31"/>
      <c r="AF2401" s="167"/>
      <c r="AG2401" s="168"/>
      <c r="AH2401" s="169"/>
      <c r="AI2401" s="167"/>
      <c r="AJ2401" s="48"/>
      <c r="AK2401" s="15"/>
      <c r="AL2401" s="15"/>
    </row>
    <row r="2402" spans="1:38" ht="15.5" x14ac:dyDescent="0.35">
      <c r="A2402" s="179"/>
      <c r="B2402" s="126" t="s">
        <v>6400</v>
      </c>
      <c r="C2402" s="203"/>
      <c r="D2402" s="127"/>
      <c r="E2402" s="60"/>
      <c r="F2402" s="146"/>
      <c r="G2402" s="147"/>
      <c r="H2402" s="148"/>
      <c r="I2402" s="146"/>
      <c r="J2402" s="148"/>
      <c r="K2402" s="93"/>
      <c r="L2402" s="94"/>
      <c r="M2402" s="117"/>
      <c r="N2402" s="154"/>
      <c r="O2402" s="118"/>
      <c r="P2402" s="117"/>
      <c r="Q2402" s="118"/>
      <c r="R2402" s="206"/>
      <c r="S2402" s="207"/>
      <c r="T2402" s="117"/>
      <c r="U2402" s="118"/>
      <c r="V2402" s="210"/>
      <c r="W2402" s="211"/>
      <c r="X2402" s="189"/>
      <c r="Y2402" s="190"/>
      <c r="Z2402" s="191"/>
      <c r="AA2402" s="146"/>
      <c r="AB2402" s="148"/>
      <c r="AC2402" s="162"/>
      <c r="AD2402" s="163"/>
      <c r="AE2402" s="31"/>
      <c r="AF2402" s="167"/>
      <c r="AG2402" s="168"/>
      <c r="AH2402" s="169"/>
      <c r="AI2402" s="167"/>
      <c r="AJ2402" s="48"/>
      <c r="AK2402" s="15"/>
      <c r="AL2402" s="15"/>
    </row>
    <row r="2403" spans="1:38" ht="15.5" x14ac:dyDescent="0.35">
      <c r="A2403" s="179"/>
      <c r="B2403" s="126"/>
      <c r="C2403" s="203"/>
      <c r="D2403" s="127"/>
      <c r="E2403" s="59" t="s">
        <v>6401</v>
      </c>
      <c r="F2403" s="119"/>
      <c r="G2403" s="139"/>
      <c r="H2403" s="120"/>
      <c r="I2403" s="143" t="s">
        <v>4087</v>
      </c>
      <c r="J2403" s="145"/>
      <c r="K2403" s="143" t="s">
        <v>6061</v>
      </c>
      <c r="L2403" s="145"/>
      <c r="M2403" s="143" t="s">
        <v>1140</v>
      </c>
      <c r="N2403" s="144"/>
      <c r="O2403" s="145"/>
      <c r="P2403" s="88" t="s">
        <v>706</v>
      </c>
      <c r="Q2403" s="89"/>
      <c r="R2403" s="112">
        <v>5</v>
      </c>
      <c r="S2403" s="113"/>
      <c r="T2403" s="88" t="s">
        <v>922</v>
      </c>
      <c r="U2403" s="89"/>
      <c r="V2403" s="198" t="s">
        <v>2767</v>
      </c>
      <c r="W2403" s="199"/>
      <c r="X2403" s="129"/>
      <c r="Y2403" s="130"/>
      <c r="Z2403" s="131"/>
      <c r="AA2403" s="119"/>
      <c r="AB2403" s="120"/>
      <c r="AC2403" s="162"/>
      <c r="AD2403" s="163"/>
      <c r="AE2403" s="31"/>
      <c r="AF2403" s="167"/>
      <c r="AG2403" s="168"/>
      <c r="AH2403" s="169"/>
      <c r="AI2403" s="167"/>
      <c r="AJ2403" s="48"/>
      <c r="AK2403" s="15"/>
      <c r="AL2403" s="15"/>
    </row>
    <row r="2404" spans="1:38" ht="15.5" x14ac:dyDescent="0.3">
      <c r="A2404" s="179"/>
      <c r="B2404" s="135"/>
      <c r="C2404" s="136"/>
      <c r="D2404" s="137"/>
      <c r="E2404" s="60"/>
      <c r="F2404" s="104" t="s">
        <v>6402</v>
      </c>
      <c r="G2404" s="202"/>
      <c r="H2404" s="105"/>
      <c r="I2404" s="146"/>
      <c r="J2404" s="148"/>
      <c r="K2404" s="146"/>
      <c r="L2404" s="148"/>
      <c r="M2404" s="146"/>
      <c r="N2404" s="147"/>
      <c r="O2404" s="148"/>
      <c r="P2404" s="117"/>
      <c r="Q2404" s="118"/>
      <c r="R2404" s="155">
        <v>5</v>
      </c>
      <c r="S2404" s="157"/>
      <c r="T2404" s="117"/>
      <c r="U2404" s="118"/>
      <c r="V2404" s="200"/>
      <c r="W2404" s="201"/>
      <c r="X2404" s="101" t="s">
        <v>4124</v>
      </c>
      <c r="Y2404" s="102"/>
      <c r="Z2404" s="103"/>
      <c r="AA2404" s="155" t="s">
        <v>6403</v>
      </c>
      <c r="AB2404" s="157"/>
      <c r="AC2404" s="162"/>
      <c r="AD2404" s="163"/>
      <c r="AE2404" s="31"/>
      <c r="AF2404" s="167"/>
      <c r="AG2404" s="168"/>
      <c r="AH2404" s="169"/>
      <c r="AI2404" s="167"/>
      <c r="AJ2404" s="48"/>
      <c r="AK2404" s="15"/>
      <c r="AL2404" s="15"/>
    </row>
    <row r="2405" spans="1:38" ht="90" x14ac:dyDescent="0.3">
      <c r="A2405" s="179"/>
      <c r="B2405" s="135"/>
      <c r="C2405" s="136"/>
      <c r="D2405" s="137"/>
      <c r="E2405" s="28" t="s">
        <v>6404</v>
      </c>
      <c r="F2405" s="146"/>
      <c r="G2405" s="147"/>
      <c r="H2405" s="148"/>
      <c r="I2405" s="110" t="s">
        <v>4087</v>
      </c>
      <c r="J2405" s="111"/>
      <c r="K2405" s="110" t="s">
        <v>6061</v>
      </c>
      <c r="L2405" s="111"/>
      <c r="M2405" s="110" t="s">
        <v>1140</v>
      </c>
      <c r="N2405" s="138"/>
      <c r="O2405" s="111"/>
      <c r="P2405" s="114" t="s">
        <v>706</v>
      </c>
      <c r="Q2405" s="116"/>
      <c r="R2405" s="155">
        <v>5</v>
      </c>
      <c r="S2405" s="157"/>
      <c r="T2405" s="114" t="s">
        <v>922</v>
      </c>
      <c r="U2405" s="116"/>
      <c r="V2405" s="180" t="s">
        <v>2767</v>
      </c>
      <c r="W2405" s="181"/>
      <c r="X2405" s="189"/>
      <c r="Y2405" s="190"/>
      <c r="Z2405" s="191"/>
      <c r="AA2405" s="160"/>
      <c r="AB2405" s="161"/>
      <c r="AC2405" s="162"/>
      <c r="AD2405" s="163"/>
      <c r="AE2405" s="31"/>
      <c r="AF2405" s="167"/>
      <c r="AG2405" s="168"/>
      <c r="AH2405" s="169"/>
      <c r="AI2405" s="167"/>
      <c r="AJ2405" s="48"/>
      <c r="AK2405" s="15"/>
      <c r="AL2405" s="15"/>
    </row>
    <row r="2406" spans="1:38" ht="90" x14ac:dyDescent="0.3">
      <c r="A2406" s="179"/>
      <c r="B2406" s="135"/>
      <c r="C2406" s="136"/>
      <c r="D2406" s="137"/>
      <c r="E2406" s="28" t="s">
        <v>6405</v>
      </c>
      <c r="F2406" s="192" t="s">
        <v>6406</v>
      </c>
      <c r="G2406" s="196"/>
      <c r="H2406" s="193"/>
      <c r="I2406" s="110" t="s">
        <v>1476</v>
      </c>
      <c r="J2406" s="111"/>
      <c r="K2406" s="143" t="s">
        <v>6061</v>
      </c>
      <c r="L2406" s="145"/>
      <c r="M2406" s="114" t="s">
        <v>6407</v>
      </c>
      <c r="N2406" s="115"/>
      <c r="O2406" s="116"/>
      <c r="P2406" s="114" t="s">
        <v>706</v>
      </c>
      <c r="Q2406" s="116"/>
      <c r="R2406" s="155">
        <v>5</v>
      </c>
      <c r="S2406" s="157"/>
      <c r="T2406" s="114" t="s">
        <v>922</v>
      </c>
      <c r="U2406" s="116"/>
      <c r="V2406" s="173" t="s">
        <v>6408</v>
      </c>
      <c r="W2406" s="174"/>
      <c r="X2406" s="186" t="s">
        <v>4963</v>
      </c>
      <c r="Y2406" s="187"/>
      <c r="Z2406" s="188"/>
      <c r="AA2406" s="192" t="s">
        <v>1685</v>
      </c>
      <c r="AB2406" s="193"/>
      <c r="AC2406" s="162"/>
      <c r="AD2406" s="163"/>
      <c r="AE2406" s="31"/>
      <c r="AF2406" s="167"/>
      <c r="AG2406" s="168"/>
      <c r="AH2406" s="169"/>
      <c r="AI2406" s="167"/>
      <c r="AJ2406" s="48"/>
      <c r="AK2406" s="15"/>
      <c r="AL2406" s="15"/>
    </row>
    <row r="2407" spans="1:38" ht="90" x14ac:dyDescent="0.3">
      <c r="A2407" s="179"/>
      <c r="B2407" s="135"/>
      <c r="C2407" s="136"/>
      <c r="D2407" s="137"/>
      <c r="E2407" s="28" t="s">
        <v>6409</v>
      </c>
      <c r="F2407" s="194"/>
      <c r="G2407" s="197"/>
      <c r="H2407" s="195"/>
      <c r="I2407" s="110" t="s">
        <v>1476</v>
      </c>
      <c r="J2407" s="111"/>
      <c r="K2407" s="146" t="s">
        <v>6061</v>
      </c>
      <c r="L2407" s="148"/>
      <c r="M2407" s="114" t="s">
        <v>6407</v>
      </c>
      <c r="N2407" s="115"/>
      <c r="O2407" s="116"/>
      <c r="P2407" s="114" t="s">
        <v>706</v>
      </c>
      <c r="Q2407" s="116"/>
      <c r="R2407" s="155">
        <v>5</v>
      </c>
      <c r="S2407" s="157"/>
      <c r="T2407" s="114" t="s">
        <v>922</v>
      </c>
      <c r="U2407" s="116"/>
      <c r="V2407" s="173" t="s">
        <v>6408</v>
      </c>
      <c r="W2407" s="174"/>
      <c r="X2407" s="189"/>
      <c r="Y2407" s="190"/>
      <c r="Z2407" s="191"/>
      <c r="AA2407" s="194"/>
      <c r="AB2407" s="195"/>
      <c r="AC2407" s="162"/>
      <c r="AD2407" s="163"/>
      <c r="AE2407" s="31"/>
      <c r="AF2407" s="167"/>
      <c r="AG2407" s="168"/>
      <c r="AH2407" s="169"/>
      <c r="AI2407" s="167"/>
      <c r="AJ2407" s="48"/>
      <c r="AK2407" s="15"/>
      <c r="AL2407" s="15"/>
    </row>
    <row r="2408" spans="1:38" ht="90" x14ac:dyDescent="0.35">
      <c r="A2408" s="179"/>
      <c r="B2408" s="121"/>
      <c r="C2408" s="122"/>
      <c r="D2408" s="123"/>
      <c r="E2408" s="28" t="s">
        <v>6410</v>
      </c>
      <c r="F2408" s="124" t="s">
        <v>6402</v>
      </c>
      <c r="G2408" s="182"/>
      <c r="H2408" s="125"/>
      <c r="I2408" s="110" t="s">
        <v>4087</v>
      </c>
      <c r="J2408" s="111"/>
      <c r="K2408" s="110" t="s">
        <v>6061</v>
      </c>
      <c r="L2408" s="111"/>
      <c r="M2408" s="183">
        <v>8</v>
      </c>
      <c r="N2408" s="184"/>
      <c r="O2408" s="185"/>
      <c r="P2408" s="114" t="s">
        <v>706</v>
      </c>
      <c r="Q2408" s="116"/>
      <c r="R2408" s="155">
        <v>5</v>
      </c>
      <c r="S2408" s="157"/>
      <c r="T2408" s="114" t="s">
        <v>922</v>
      </c>
      <c r="U2408" s="116"/>
      <c r="V2408" s="180" t="s">
        <v>6411</v>
      </c>
      <c r="W2408" s="181"/>
      <c r="X2408" s="175" t="s">
        <v>4122</v>
      </c>
      <c r="Y2408" s="176"/>
      <c r="Z2408" s="177"/>
      <c r="AA2408" s="124" t="s">
        <v>6412</v>
      </c>
      <c r="AB2408" s="125"/>
      <c r="AC2408" s="162"/>
      <c r="AD2408" s="163"/>
      <c r="AE2408" s="31"/>
      <c r="AF2408" s="167"/>
      <c r="AG2408" s="168"/>
      <c r="AH2408" s="169"/>
      <c r="AI2408" s="167"/>
      <c r="AJ2408" s="48"/>
      <c r="AK2408" s="15"/>
      <c r="AL2408" s="15"/>
    </row>
    <row r="2409" spans="1:38" ht="90" x14ac:dyDescent="0.35">
      <c r="A2409" s="230"/>
      <c r="B2409" s="93"/>
      <c r="C2409" s="106"/>
      <c r="D2409" s="94"/>
      <c r="E2409" s="28" t="s">
        <v>6413</v>
      </c>
      <c r="F2409" s="124" t="s">
        <v>6402</v>
      </c>
      <c r="G2409" s="182"/>
      <c r="H2409" s="125"/>
      <c r="I2409" s="110" t="s">
        <v>1476</v>
      </c>
      <c r="J2409" s="111"/>
      <c r="K2409" s="110" t="s">
        <v>6061</v>
      </c>
      <c r="L2409" s="111"/>
      <c r="M2409" s="183">
        <v>24</v>
      </c>
      <c r="N2409" s="184"/>
      <c r="O2409" s="185"/>
      <c r="P2409" s="114" t="s">
        <v>706</v>
      </c>
      <c r="Q2409" s="116"/>
      <c r="R2409" s="160"/>
      <c r="S2409" s="161"/>
      <c r="T2409" s="114" t="s">
        <v>922</v>
      </c>
      <c r="U2409" s="116"/>
      <c r="V2409" s="173" t="s">
        <v>6414</v>
      </c>
      <c r="W2409" s="174"/>
      <c r="X2409" s="175" t="s">
        <v>3240</v>
      </c>
      <c r="Y2409" s="176"/>
      <c r="Z2409" s="177"/>
      <c r="AA2409" s="110" t="s">
        <v>3553</v>
      </c>
      <c r="AB2409" s="111"/>
      <c r="AC2409" s="212"/>
      <c r="AD2409" s="213"/>
      <c r="AE2409" s="31"/>
      <c r="AF2409" s="214"/>
      <c r="AG2409" s="215"/>
      <c r="AH2409" s="216"/>
      <c r="AI2409" s="167"/>
      <c r="AJ2409" s="48"/>
      <c r="AK2409" s="15"/>
      <c r="AL2409" s="15"/>
    </row>
    <row r="2410" spans="1:38" ht="45" x14ac:dyDescent="0.35">
      <c r="A2410" s="178"/>
      <c r="B2410" s="119"/>
      <c r="C2410" s="139"/>
      <c r="D2410" s="120"/>
      <c r="E2410" s="28" t="s">
        <v>6415</v>
      </c>
      <c r="F2410" s="107"/>
      <c r="G2410" s="108"/>
      <c r="H2410" s="109"/>
      <c r="I2410" s="124" t="s">
        <v>6416</v>
      </c>
      <c r="J2410" s="125"/>
      <c r="K2410" s="124" t="s">
        <v>3828</v>
      </c>
      <c r="L2410" s="125"/>
      <c r="M2410" s="110" t="s">
        <v>717</v>
      </c>
      <c r="N2410" s="138"/>
      <c r="O2410" s="111"/>
      <c r="P2410" s="107"/>
      <c r="Q2410" s="109"/>
      <c r="R2410" s="114" t="s">
        <v>688</v>
      </c>
      <c r="S2410" s="116"/>
      <c r="T2410" s="114" t="s">
        <v>922</v>
      </c>
      <c r="U2410" s="116"/>
      <c r="V2410" s="114" t="s">
        <v>1191</v>
      </c>
      <c r="W2410" s="116"/>
      <c r="X2410" s="129"/>
      <c r="Y2410" s="130"/>
      <c r="Z2410" s="131"/>
      <c r="AA2410" s="119"/>
      <c r="AB2410" s="120"/>
      <c r="AC2410" s="171" t="s">
        <v>3194</v>
      </c>
      <c r="AD2410" s="172"/>
      <c r="AE2410" s="57"/>
      <c r="AF2410" s="164"/>
      <c r="AG2410" s="165"/>
      <c r="AH2410" s="166"/>
      <c r="AI2410" s="167"/>
      <c r="AJ2410" s="48"/>
      <c r="AK2410" s="15"/>
      <c r="AL2410" s="15"/>
    </row>
    <row r="2411" spans="1:38" ht="45" x14ac:dyDescent="0.35">
      <c r="A2411" s="179"/>
      <c r="B2411" s="121"/>
      <c r="C2411" s="122"/>
      <c r="D2411" s="123"/>
      <c r="E2411" s="28" t="s">
        <v>6419</v>
      </c>
      <c r="F2411" s="107"/>
      <c r="G2411" s="108"/>
      <c r="H2411" s="109"/>
      <c r="I2411" s="124" t="s">
        <v>6416</v>
      </c>
      <c r="J2411" s="125"/>
      <c r="K2411" s="124" t="s">
        <v>3828</v>
      </c>
      <c r="L2411" s="125"/>
      <c r="M2411" s="110" t="s">
        <v>717</v>
      </c>
      <c r="N2411" s="138"/>
      <c r="O2411" s="111"/>
      <c r="P2411" s="107"/>
      <c r="Q2411" s="109"/>
      <c r="R2411" s="114" t="s">
        <v>688</v>
      </c>
      <c r="S2411" s="116"/>
      <c r="T2411" s="114" t="s">
        <v>922</v>
      </c>
      <c r="U2411" s="116"/>
      <c r="V2411" s="114" t="s">
        <v>1191</v>
      </c>
      <c r="W2411" s="116"/>
      <c r="X2411" s="132" t="s">
        <v>1695</v>
      </c>
      <c r="Y2411" s="133"/>
      <c r="Z2411" s="134"/>
      <c r="AA2411" s="104" t="s">
        <v>6420</v>
      </c>
      <c r="AB2411" s="105"/>
      <c r="AC2411" s="162" t="s">
        <v>6417</v>
      </c>
      <c r="AD2411" s="163"/>
      <c r="AE2411" s="58"/>
      <c r="AF2411" s="167"/>
      <c r="AG2411" s="168"/>
      <c r="AH2411" s="169"/>
      <c r="AI2411" s="167"/>
      <c r="AJ2411" s="48"/>
      <c r="AK2411" s="15"/>
      <c r="AL2411" s="15"/>
    </row>
    <row r="2412" spans="1:38" ht="45" x14ac:dyDescent="0.35">
      <c r="A2412" s="179"/>
      <c r="B2412" s="135"/>
      <c r="C2412" s="136"/>
      <c r="D2412" s="137"/>
      <c r="E2412" s="28" t="s">
        <v>6421</v>
      </c>
      <c r="F2412" s="107"/>
      <c r="G2412" s="108"/>
      <c r="H2412" s="109"/>
      <c r="I2412" s="124" t="s">
        <v>6416</v>
      </c>
      <c r="J2412" s="125"/>
      <c r="K2412" s="124" t="s">
        <v>3828</v>
      </c>
      <c r="L2412" s="125"/>
      <c r="M2412" s="110" t="s">
        <v>717</v>
      </c>
      <c r="N2412" s="138"/>
      <c r="O2412" s="111"/>
      <c r="P2412" s="107"/>
      <c r="Q2412" s="109"/>
      <c r="R2412" s="114" t="s">
        <v>688</v>
      </c>
      <c r="S2412" s="116"/>
      <c r="T2412" s="114" t="s">
        <v>922</v>
      </c>
      <c r="U2412" s="116"/>
      <c r="V2412" s="114" t="s">
        <v>1191</v>
      </c>
      <c r="W2412" s="116"/>
      <c r="X2412" s="90"/>
      <c r="Y2412" s="91"/>
      <c r="Z2412" s="92"/>
      <c r="AA2412" s="93"/>
      <c r="AB2412" s="94"/>
      <c r="AC2412" s="162" t="s">
        <v>6418</v>
      </c>
      <c r="AD2412" s="163"/>
      <c r="AE2412" s="128"/>
      <c r="AF2412" s="167"/>
      <c r="AG2412" s="168"/>
      <c r="AH2412" s="169"/>
      <c r="AI2412" s="167"/>
      <c r="AJ2412" s="48"/>
      <c r="AK2412" s="15"/>
      <c r="AL2412" s="15"/>
    </row>
    <row r="2413" spans="1:38" ht="60" x14ac:dyDescent="0.35">
      <c r="A2413" s="179"/>
      <c r="B2413" s="135"/>
      <c r="C2413" s="136"/>
      <c r="D2413" s="137"/>
      <c r="E2413" s="28" t="s">
        <v>6422</v>
      </c>
      <c r="F2413" s="107"/>
      <c r="G2413" s="108"/>
      <c r="H2413" s="109"/>
      <c r="I2413" s="124" t="s">
        <v>6416</v>
      </c>
      <c r="J2413" s="125"/>
      <c r="K2413" s="124" t="s">
        <v>3828</v>
      </c>
      <c r="L2413" s="125"/>
      <c r="M2413" s="110" t="s">
        <v>1078</v>
      </c>
      <c r="N2413" s="138"/>
      <c r="O2413" s="111"/>
      <c r="P2413" s="107"/>
      <c r="Q2413" s="109"/>
      <c r="R2413" s="88" t="s">
        <v>1127</v>
      </c>
      <c r="S2413" s="89"/>
      <c r="T2413" s="114" t="s">
        <v>922</v>
      </c>
      <c r="U2413" s="116"/>
      <c r="V2413" s="114" t="s">
        <v>2113</v>
      </c>
      <c r="W2413" s="116"/>
      <c r="X2413" s="129"/>
      <c r="Y2413" s="130"/>
      <c r="Z2413" s="131"/>
      <c r="AA2413" s="119"/>
      <c r="AB2413" s="120"/>
      <c r="AC2413" s="162"/>
      <c r="AD2413" s="163"/>
      <c r="AE2413" s="128"/>
      <c r="AF2413" s="167"/>
      <c r="AG2413" s="168"/>
      <c r="AH2413" s="169"/>
      <c r="AI2413" s="167"/>
      <c r="AJ2413" s="48"/>
      <c r="AK2413" s="15"/>
      <c r="AL2413" s="15"/>
    </row>
    <row r="2414" spans="1:38" ht="60" x14ac:dyDescent="0.35">
      <c r="A2414" s="179"/>
      <c r="B2414" s="121"/>
      <c r="C2414" s="122"/>
      <c r="D2414" s="123"/>
      <c r="E2414" s="28" t="s">
        <v>6423</v>
      </c>
      <c r="F2414" s="107"/>
      <c r="G2414" s="108"/>
      <c r="H2414" s="109"/>
      <c r="I2414" s="124" t="s">
        <v>6416</v>
      </c>
      <c r="J2414" s="125"/>
      <c r="K2414" s="124" t="s">
        <v>3828</v>
      </c>
      <c r="L2414" s="125"/>
      <c r="M2414" s="110" t="s">
        <v>1078</v>
      </c>
      <c r="N2414" s="138"/>
      <c r="O2414" s="111"/>
      <c r="P2414" s="107"/>
      <c r="Q2414" s="109"/>
      <c r="R2414" s="126" t="s">
        <v>1127</v>
      </c>
      <c r="S2414" s="127"/>
      <c r="T2414" s="114" t="s">
        <v>922</v>
      </c>
      <c r="U2414" s="116"/>
      <c r="V2414" s="114" t="s">
        <v>2113</v>
      </c>
      <c r="W2414" s="116"/>
      <c r="X2414" s="101" t="s">
        <v>2073</v>
      </c>
      <c r="Y2414" s="102"/>
      <c r="Z2414" s="103"/>
      <c r="AA2414" s="104" t="s">
        <v>1854</v>
      </c>
      <c r="AB2414" s="105"/>
      <c r="AC2414" s="162"/>
      <c r="AD2414" s="163"/>
      <c r="AE2414" s="40" t="s">
        <v>4072</v>
      </c>
      <c r="AF2414" s="167"/>
      <c r="AG2414" s="168"/>
      <c r="AH2414" s="169"/>
      <c r="AI2414" s="167"/>
      <c r="AJ2414" s="48"/>
      <c r="AK2414" s="15"/>
      <c r="AL2414" s="15"/>
    </row>
    <row r="2415" spans="1:38" ht="30" x14ac:dyDescent="0.35">
      <c r="A2415" s="179"/>
      <c r="B2415" s="121"/>
      <c r="C2415" s="122"/>
      <c r="D2415" s="123"/>
      <c r="E2415" s="59" t="s">
        <v>6424</v>
      </c>
      <c r="F2415" s="149"/>
      <c r="G2415" s="158"/>
      <c r="H2415" s="150"/>
      <c r="I2415" s="112" t="s">
        <v>6416</v>
      </c>
      <c r="J2415" s="113"/>
      <c r="K2415" s="112" t="s">
        <v>3828</v>
      </c>
      <c r="L2415" s="113"/>
      <c r="M2415" s="143" t="s">
        <v>1078</v>
      </c>
      <c r="N2415" s="144"/>
      <c r="O2415" s="145"/>
      <c r="P2415" s="149"/>
      <c r="Q2415" s="150"/>
      <c r="R2415" s="126" t="s">
        <v>1127</v>
      </c>
      <c r="S2415" s="127"/>
      <c r="T2415" s="88" t="s">
        <v>922</v>
      </c>
      <c r="U2415" s="89"/>
      <c r="V2415" s="88" t="s">
        <v>2113</v>
      </c>
      <c r="W2415" s="89"/>
      <c r="X2415" s="140"/>
      <c r="Y2415" s="141"/>
      <c r="Z2415" s="142"/>
      <c r="AA2415" s="121"/>
      <c r="AB2415" s="123"/>
      <c r="AC2415" s="162"/>
      <c r="AD2415" s="163"/>
      <c r="AE2415" s="40" t="s">
        <v>6425</v>
      </c>
      <c r="AF2415" s="167"/>
      <c r="AG2415" s="168"/>
      <c r="AH2415" s="169"/>
      <c r="AI2415" s="167"/>
      <c r="AJ2415" s="48"/>
      <c r="AK2415" s="15"/>
      <c r="AL2415" s="15"/>
    </row>
    <row r="2416" spans="1:38" ht="45" x14ac:dyDescent="0.35">
      <c r="A2416" s="179"/>
      <c r="B2416" s="155" t="s">
        <v>6426</v>
      </c>
      <c r="C2416" s="156"/>
      <c r="D2416" s="157"/>
      <c r="E2416" s="60"/>
      <c r="F2416" s="151"/>
      <c r="G2416" s="159"/>
      <c r="H2416" s="152"/>
      <c r="I2416" s="160"/>
      <c r="J2416" s="161"/>
      <c r="K2416" s="160"/>
      <c r="L2416" s="161"/>
      <c r="M2416" s="146"/>
      <c r="N2416" s="147"/>
      <c r="O2416" s="148"/>
      <c r="P2416" s="151"/>
      <c r="Q2416" s="152"/>
      <c r="R2416" s="93"/>
      <c r="S2416" s="94"/>
      <c r="T2416" s="117"/>
      <c r="U2416" s="118"/>
      <c r="V2416" s="117"/>
      <c r="W2416" s="118"/>
      <c r="X2416" s="90"/>
      <c r="Y2416" s="91"/>
      <c r="Z2416" s="92"/>
      <c r="AA2416" s="93"/>
      <c r="AB2416" s="94"/>
      <c r="AC2416" s="162"/>
      <c r="AD2416" s="163"/>
      <c r="AE2416" s="40" t="s">
        <v>1356</v>
      </c>
      <c r="AF2416" s="167"/>
      <c r="AG2416" s="168"/>
      <c r="AH2416" s="169"/>
      <c r="AI2416" s="167"/>
      <c r="AJ2416" s="48"/>
      <c r="AK2416" s="15"/>
      <c r="AL2416" s="15"/>
    </row>
    <row r="2417" spans="1:38" ht="15.5" x14ac:dyDescent="0.35">
      <c r="A2417" s="179"/>
      <c r="B2417" s="121"/>
      <c r="C2417" s="122"/>
      <c r="D2417" s="123"/>
      <c r="E2417" s="61" t="s">
        <v>6427</v>
      </c>
      <c r="F2417" s="149"/>
      <c r="G2417" s="158"/>
      <c r="H2417" s="150"/>
      <c r="I2417" s="143" t="s">
        <v>922</v>
      </c>
      <c r="J2417" s="145"/>
      <c r="K2417" s="112" t="s">
        <v>3828</v>
      </c>
      <c r="L2417" s="113"/>
      <c r="M2417" s="143" t="s">
        <v>1081</v>
      </c>
      <c r="N2417" s="144"/>
      <c r="O2417" s="145"/>
      <c r="P2417" s="149"/>
      <c r="Q2417" s="150"/>
      <c r="R2417" s="88" t="s">
        <v>688</v>
      </c>
      <c r="S2417" s="89"/>
      <c r="T2417" s="88" t="s">
        <v>922</v>
      </c>
      <c r="U2417" s="89"/>
      <c r="V2417" s="88" t="s">
        <v>6428</v>
      </c>
      <c r="W2417" s="153"/>
      <c r="X2417" s="139"/>
      <c r="Y2417" s="139"/>
      <c r="Z2417" s="139"/>
      <c r="AA2417" s="139"/>
      <c r="AB2417" s="120"/>
      <c r="AC2417" s="162"/>
      <c r="AD2417" s="170"/>
      <c r="AE2417" s="39"/>
      <c r="AF2417" s="167"/>
      <c r="AG2417" s="168"/>
      <c r="AH2417" s="169"/>
      <c r="AI2417" s="167"/>
      <c r="AJ2417" s="48"/>
      <c r="AK2417" s="15"/>
      <c r="AL2417" s="15"/>
    </row>
    <row r="2418" spans="1:38" ht="45" x14ac:dyDescent="0.35">
      <c r="A2418" s="179"/>
      <c r="B2418" s="121"/>
      <c r="C2418" s="122"/>
      <c r="D2418" s="123"/>
      <c r="E2418" s="62"/>
      <c r="F2418" s="151"/>
      <c r="G2418" s="159"/>
      <c r="H2418" s="152"/>
      <c r="I2418" s="146"/>
      <c r="J2418" s="148"/>
      <c r="K2418" s="160"/>
      <c r="L2418" s="161"/>
      <c r="M2418" s="146"/>
      <c r="N2418" s="147"/>
      <c r="O2418" s="148"/>
      <c r="P2418" s="151"/>
      <c r="Q2418" s="152"/>
      <c r="R2418" s="117"/>
      <c r="S2418" s="118"/>
      <c r="T2418" s="117"/>
      <c r="U2418" s="118"/>
      <c r="V2418" s="117"/>
      <c r="W2418" s="154"/>
      <c r="X2418" s="140"/>
      <c r="Y2418" s="141"/>
      <c r="Z2418" s="142"/>
      <c r="AA2418" s="121"/>
      <c r="AB2418" s="123"/>
      <c r="AC2418" s="162"/>
      <c r="AD2418" s="163"/>
      <c r="AE2418" s="40" t="s">
        <v>6429</v>
      </c>
      <c r="AF2418" s="167"/>
      <c r="AG2418" s="168"/>
      <c r="AH2418" s="169"/>
      <c r="AI2418" s="167"/>
      <c r="AJ2418" s="48"/>
      <c r="AK2418" s="15"/>
      <c r="AL2418" s="15"/>
    </row>
    <row r="2419" spans="1:38" ht="60" x14ac:dyDescent="0.35">
      <c r="A2419" s="179"/>
      <c r="B2419" s="121"/>
      <c r="C2419" s="122"/>
      <c r="D2419" s="123"/>
      <c r="E2419" s="28" t="s">
        <v>6430</v>
      </c>
      <c r="F2419" s="107"/>
      <c r="G2419" s="108"/>
      <c r="H2419" s="109"/>
      <c r="I2419" s="110" t="s">
        <v>922</v>
      </c>
      <c r="J2419" s="111"/>
      <c r="K2419" s="124" t="s">
        <v>3828</v>
      </c>
      <c r="L2419" s="125"/>
      <c r="M2419" s="110" t="s">
        <v>1081</v>
      </c>
      <c r="N2419" s="138"/>
      <c r="O2419" s="111"/>
      <c r="P2419" s="107"/>
      <c r="Q2419" s="109"/>
      <c r="R2419" s="114" t="s">
        <v>688</v>
      </c>
      <c r="S2419" s="116"/>
      <c r="T2419" s="114" t="s">
        <v>922</v>
      </c>
      <c r="U2419" s="116"/>
      <c r="V2419" s="114" t="s">
        <v>6428</v>
      </c>
      <c r="W2419" s="116"/>
      <c r="X2419" s="132" t="s">
        <v>4298</v>
      </c>
      <c r="Y2419" s="133"/>
      <c r="Z2419" s="134"/>
      <c r="AA2419" s="104" t="s">
        <v>1336</v>
      </c>
      <c r="AB2419" s="105"/>
      <c r="AC2419" s="162"/>
      <c r="AD2419" s="163"/>
      <c r="AE2419" s="40" t="s">
        <v>6431</v>
      </c>
      <c r="AF2419" s="167"/>
      <c r="AG2419" s="168"/>
      <c r="AH2419" s="169"/>
      <c r="AI2419" s="167"/>
      <c r="AJ2419" s="48"/>
      <c r="AK2419" s="15"/>
      <c r="AL2419" s="15"/>
    </row>
    <row r="2420" spans="1:38" ht="60" x14ac:dyDescent="0.35">
      <c r="A2420" s="179"/>
      <c r="B2420" s="135"/>
      <c r="C2420" s="136"/>
      <c r="D2420" s="137"/>
      <c r="E2420" s="28" t="s">
        <v>6432</v>
      </c>
      <c r="F2420" s="107"/>
      <c r="G2420" s="108"/>
      <c r="H2420" s="109"/>
      <c r="I2420" s="110" t="s">
        <v>922</v>
      </c>
      <c r="J2420" s="111"/>
      <c r="K2420" s="124" t="s">
        <v>3828</v>
      </c>
      <c r="L2420" s="125"/>
      <c r="M2420" s="110" t="s">
        <v>1081</v>
      </c>
      <c r="N2420" s="138"/>
      <c r="O2420" s="111"/>
      <c r="P2420" s="107"/>
      <c r="Q2420" s="109"/>
      <c r="R2420" s="114" t="s">
        <v>688</v>
      </c>
      <c r="S2420" s="116"/>
      <c r="T2420" s="114" t="s">
        <v>922</v>
      </c>
      <c r="U2420" s="116"/>
      <c r="V2420" s="114" t="s">
        <v>6428</v>
      </c>
      <c r="W2420" s="116"/>
      <c r="X2420" s="90"/>
      <c r="Y2420" s="91"/>
      <c r="Z2420" s="92"/>
      <c r="AA2420" s="93"/>
      <c r="AB2420" s="94"/>
      <c r="AC2420" s="162"/>
      <c r="AD2420" s="163"/>
      <c r="AE2420" s="128"/>
      <c r="AF2420" s="167"/>
      <c r="AG2420" s="168"/>
      <c r="AH2420" s="169"/>
      <c r="AI2420" s="167"/>
      <c r="AJ2420" s="48"/>
      <c r="AK2420" s="15"/>
      <c r="AL2420" s="15"/>
    </row>
    <row r="2421" spans="1:38" ht="75" x14ac:dyDescent="0.35">
      <c r="A2421" s="179"/>
      <c r="B2421" s="135"/>
      <c r="C2421" s="136"/>
      <c r="D2421" s="137"/>
      <c r="E2421" s="28" t="s">
        <v>6433</v>
      </c>
      <c r="F2421" s="107"/>
      <c r="G2421" s="108"/>
      <c r="H2421" s="109"/>
      <c r="I2421" s="110" t="s">
        <v>922</v>
      </c>
      <c r="J2421" s="111"/>
      <c r="K2421" s="124" t="s">
        <v>3828</v>
      </c>
      <c r="L2421" s="125"/>
      <c r="M2421" s="114" t="s">
        <v>1462</v>
      </c>
      <c r="N2421" s="115"/>
      <c r="O2421" s="116"/>
      <c r="P2421" s="107"/>
      <c r="Q2421" s="109"/>
      <c r="R2421" s="88" t="s">
        <v>1127</v>
      </c>
      <c r="S2421" s="89"/>
      <c r="T2421" s="114" t="s">
        <v>922</v>
      </c>
      <c r="U2421" s="116"/>
      <c r="V2421" s="114" t="s">
        <v>2073</v>
      </c>
      <c r="W2421" s="116"/>
      <c r="X2421" s="129"/>
      <c r="Y2421" s="130"/>
      <c r="Z2421" s="131"/>
      <c r="AA2421" s="119"/>
      <c r="AB2421" s="120"/>
      <c r="AC2421" s="162"/>
      <c r="AD2421" s="163"/>
      <c r="AE2421" s="128"/>
      <c r="AF2421" s="167"/>
      <c r="AG2421" s="168"/>
      <c r="AH2421" s="169"/>
      <c r="AI2421" s="167"/>
      <c r="AJ2421" s="48"/>
      <c r="AK2421" s="15"/>
      <c r="AL2421" s="15"/>
    </row>
    <row r="2422" spans="1:38" ht="75" x14ac:dyDescent="0.35">
      <c r="A2422" s="179"/>
      <c r="B2422" s="121"/>
      <c r="C2422" s="122"/>
      <c r="D2422" s="123"/>
      <c r="E2422" s="28" t="s">
        <v>6434</v>
      </c>
      <c r="F2422" s="107"/>
      <c r="G2422" s="108"/>
      <c r="H2422" s="109"/>
      <c r="I2422" s="110" t="s">
        <v>922</v>
      </c>
      <c r="J2422" s="111"/>
      <c r="K2422" s="124" t="s">
        <v>3828</v>
      </c>
      <c r="L2422" s="125"/>
      <c r="M2422" s="114" t="s">
        <v>1462</v>
      </c>
      <c r="N2422" s="115"/>
      <c r="O2422" s="116"/>
      <c r="P2422" s="107"/>
      <c r="Q2422" s="109"/>
      <c r="R2422" s="126" t="s">
        <v>1127</v>
      </c>
      <c r="S2422" s="127"/>
      <c r="T2422" s="114" t="s">
        <v>922</v>
      </c>
      <c r="U2422" s="116"/>
      <c r="V2422" s="114" t="s">
        <v>2073</v>
      </c>
      <c r="W2422" s="116"/>
      <c r="X2422" s="101" t="s">
        <v>6396</v>
      </c>
      <c r="Y2422" s="102"/>
      <c r="Z2422" s="103"/>
      <c r="AA2422" s="104" t="s">
        <v>1854</v>
      </c>
      <c r="AB2422" s="105"/>
      <c r="AC2422" s="162"/>
      <c r="AD2422" s="163"/>
      <c r="AE2422" s="58"/>
      <c r="AF2422" s="167"/>
      <c r="AG2422" s="168"/>
      <c r="AH2422" s="169"/>
      <c r="AI2422" s="167"/>
      <c r="AJ2422" s="48"/>
      <c r="AK2422" s="15"/>
      <c r="AL2422" s="15"/>
    </row>
    <row r="2423" spans="1:38" ht="75" x14ac:dyDescent="0.35">
      <c r="A2423" s="179"/>
      <c r="B2423" s="93"/>
      <c r="C2423" s="106"/>
      <c r="D2423" s="94"/>
      <c r="E2423" s="28" t="s">
        <v>6435</v>
      </c>
      <c r="F2423" s="107"/>
      <c r="G2423" s="108"/>
      <c r="H2423" s="109"/>
      <c r="I2423" s="110" t="s">
        <v>922</v>
      </c>
      <c r="J2423" s="111"/>
      <c r="K2423" s="112" t="s">
        <v>3828</v>
      </c>
      <c r="L2423" s="113"/>
      <c r="M2423" s="114" t="s">
        <v>1462</v>
      </c>
      <c r="N2423" s="115"/>
      <c r="O2423" s="116"/>
      <c r="P2423" s="107"/>
      <c r="Q2423" s="109"/>
      <c r="R2423" s="117" t="s">
        <v>1127</v>
      </c>
      <c r="S2423" s="118"/>
      <c r="T2423" s="114" t="s">
        <v>922</v>
      </c>
      <c r="U2423" s="116"/>
      <c r="V2423" s="88" t="s">
        <v>2073</v>
      </c>
      <c r="W2423" s="89"/>
      <c r="X2423" s="90"/>
      <c r="Y2423" s="91"/>
      <c r="Z2423" s="92"/>
      <c r="AA2423" s="93"/>
      <c r="AB2423" s="94"/>
      <c r="AC2423" s="162"/>
      <c r="AD2423" s="163"/>
      <c r="AE2423" s="52"/>
      <c r="AF2423" s="167"/>
      <c r="AG2423" s="168"/>
      <c r="AH2423" s="169"/>
      <c r="AI2423" s="167"/>
      <c r="AJ2423" s="48"/>
      <c r="AK2423" s="15"/>
      <c r="AL2423" s="15"/>
    </row>
    <row r="2424" spans="1:38" x14ac:dyDescent="0.3">
      <c r="A2424" s="85"/>
      <c r="B2424" s="85"/>
      <c r="C2424" s="85"/>
      <c r="D2424" s="85"/>
      <c r="E2424" s="85"/>
      <c r="F2424" s="85"/>
      <c r="G2424" s="85"/>
      <c r="H2424" s="85"/>
      <c r="I2424" s="85"/>
      <c r="J2424" s="85"/>
      <c r="K2424" s="85"/>
      <c r="L2424" s="85"/>
      <c r="M2424" s="85"/>
      <c r="N2424" s="85"/>
      <c r="O2424" s="85"/>
      <c r="P2424" s="85"/>
      <c r="Q2424" s="85"/>
      <c r="R2424" s="85"/>
      <c r="S2424" s="85"/>
      <c r="T2424" s="85"/>
      <c r="U2424" s="85"/>
      <c r="V2424" s="85"/>
      <c r="W2424" s="85"/>
      <c r="X2424" s="95"/>
      <c r="Y2424" s="95"/>
      <c r="Z2424" s="96"/>
      <c r="AA2424" s="99"/>
      <c r="AB2424" s="100"/>
      <c r="AC2424" s="84"/>
      <c r="AD2424" s="85"/>
      <c r="AE2424" s="85"/>
      <c r="AF2424" s="85"/>
      <c r="AG2424" s="85"/>
      <c r="AH2424" s="85"/>
      <c r="AI2424" s="85"/>
      <c r="AJ2424" s="13"/>
    </row>
    <row r="2425" spans="1:38" x14ac:dyDescent="0.3">
      <c r="A2425" s="85"/>
      <c r="B2425" s="85"/>
      <c r="C2425" s="85"/>
      <c r="D2425" s="85"/>
      <c r="E2425" s="85"/>
      <c r="F2425" s="85"/>
      <c r="G2425" s="85"/>
      <c r="H2425" s="85"/>
      <c r="I2425" s="85"/>
      <c r="J2425" s="85"/>
      <c r="K2425" s="85"/>
      <c r="L2425" s="85"/>
      <c r="M2425" s="85"/>
      <c r="N2425" s="85"/>
      <c r="O2425" s="85"/>
      <c r="P2425" s="85"/>
      <c r="Q2425" s="85"/>
      <c r="R2425" s="85"/>
      <c r="S2425" s="85"/>
      <c r="T2425" s="85"/>
      <c r="U2425" s="85"/>
      <c r="V2425" s="85"/>
      <c r="W2425" s="85"/>
      <c r="X2425" s="97"/>
      <c r="Y2425" s="97"/>
      <c r="Z2425" s="98"/>
      <c r="AA2425" s="86"/>
      <c r="AB2425" s="87"/>
      <c r="AC2425" s="84"/>
      <c r="AD2425" s="85"/>
      <c r="AE2425" s="85"/>
      <c r="AF2425" s="85"/>
      <c r="AG2425" s="85"/>
      <c r="AH2425" s="85"/>
      <c r="AI2425" s="85"/>
      <c r="AJ2425" s="13"/>
    </row>
  </sheetData>
  <mergeCells count="22395">
    <mergeCell ref="A1:AE1"/>
    <mergeCell ref="AF1:AH1"/>
    <mergeCell ref="AI1:AJ1"/>
    <mergeCell ref="A2:AJ2"/>
    <mergeCell ref="A3:A4"/>
    <mergeCell ref="B3:D4"/>
    <mergeCell ref="E3:E4"/>
    <mergeCell ref="F3:H3"/>
    <mergeCell ref="F4:H4"/>
    <mergeCell ref="I3:J4"/>
    <mergeCell ref="AC12:AD12"/>
    <mergeCell ref="AC13:AD13"/>
    <mergeCell ref="AF5:AH13"/>
    <mergeCell ref="AI5:AI13"/>
    <mergeCell ref="AJ5:AJ13"/>
    <mergeCell ref="F6:H6"/>
    <mergeCell ref="I6:J6"/>
    <mergeCell ref="K6:L6"/>
    <mergeCell ref="M6:O6"/>
    <mergeCell ref="P6:Q6"/>
    <mergeCell ref="AC6:AD6"/>
    <mergeCell ref="AC7:AD7"/>
    <mergeCell ref="AC8:AD8"/>
    <mergeCell ref="AC9:AD9"/>
    <mergeCell ref="AC10:AD10"/>
    <mergeCell ref="AC11:AD11"/>
    <mergeCell ref="R5:S5"/>
    <mergeCell ref="T5:U5"/>
    <mergeCell ref="V5:W5"/>
    <mergeCell ref="X5:Z5"/>
    <mergeCell ref="AA5:AB5"/>
    <mergeCell ref="AC5:AD5"/>
    <mergeCell ref="AF3:AH4"/>
    <mergeCell ref="AI3:AI4"/>
    <mergeCell ref="AJ3:AJ4"/>
    <mergeCell ref="A5:A13"/>
    <mergeCell ref="B5:D13"/>
    <mergeCell ref="F5:H5"/>
    <mergeCell ref="I5:J5"/>
    <mergeCell ref="K5:L5"/>
    <mergeCell ref="M5:O5"/>
    <mergeCell ref="P5:Q5"/>
    <mergeCell ref="V3:W4"/>
    <mergeCell ref="X3:Z4"/>
    <mergeCell ref="AA3:AB3"/>
    <mergeCell ref="AA4:AB4"/>
    <mergeCell ref="AC3:AD4"/>
    <mergeCell ref="AE3:AE4"/>
    <mergeCell ref="K3:L3"/>
    <mergeCell ref="K4:L4"/>
    <mergeCell ref="M3:O4"/>
    <mergeCell ref="P3:Q4"/>
    <mergeCell ref="R3:S4"/>
    <mergeCell ref="T3:U4"/>
    <mergeCell ref="R9:S9"/>
    <mergeCell ref="T9:U9"/>
    <mergeCell ref="V9:W9"/>
    <mergeCell ref="X9:Z9"/>
    <mergeCell ref="AA9:AB9"/>
    <mergeCell ref="F10:H10"/>
    <mergeCell ref="I10:J10"/>
    <mergeCell ref="K10:L10"/>
    <mergeCell ref="M10:O10"/>
    <mergeCell ref="P10:Q10"/>
    <mergeCell ref="R8:S8"/>
    <mergeCell ref="T8:U8"/>
    <mergeCell ref="V8:W8"/>
    <mergeCell ref="X8:Z8"/>
    <mergeCell ref="AA8:AB8"/>
    <mergeCell ref="F9:H9"/>
    <mergeCell ref="I9:J9"/>
    <mergeCell ref="K9:L9"/>
    <mergeCell ref="M9:O9"/>
    <mergeCell ref="P9:Q9"/>
    <mergeCell ref="R7:S7"/>
    <mergeCell ref="T7:U7"/>
    <mergeCell ref="V7:W7"/>
    <mergeCell ref="X7:Z7"/>
    <mergeCell ref="AA7:AB7"/>
    <mergeCell ref="F8:H8"/>
    <mergeCell ref="I8:J8"/>
    <mergeCell ref="K8:L8"/>
    <mergeCell ref="M8:O8"/>
    <mergeCell ref="P8:Q8"/>
    <mergeCell ref="R6:S6"/>
    <mergeCell ref="T6:U6"/>
    <mergeCell ref="V6:W6"/>
    <mergeCell ref="X6:Z6"/>
    <mergeCell ref="AA6:AB6"/>
    <mergeCell ref="F7:H7"/>
    <mergeCell ref="I7:J7"/>
    <mergeCell ref="K7:L7"/>
    <mergeCell ref="M7:O7"/>
    <mergeCell ref="P7:Q7"/>
    <mergeCell ref="R13:S13"/>
    <mergeCell ref="T13:U13"/>
    <mergeCell ref="V13:W13"/>
    <mergeCell ref="X13:Z13"/>
    <mergeCell ref="AA13:AB13"/>
    <mergeCell ref="A14:A19"/>
    <mergeCell ref="B14:D19"/>
    <mergeCell ref="F14:H15"/>
    <mergeCell ref="I14:J15"/>
    <mergeCell ref="K14:L15"/>
    <mergeCell ref="R12:S12"/>
    <mergeCell ref="T12:U12"/>
    <mergeCell ref="V12:W12"/>
    <mergeCell ref="X12:Z12"/>
    <mergeCell ref="AA12:AB12"/>
    <mergeCell ref="F13:H13"/>
    <mergeCell ref="I13:J13"/>
    <mergeCell ref="K13:L13"/>
    <mergeCell ref="M13:O13"/>
    <mergeCell ref="P13:Q13"/>
    <mergeCell ref="R11:S11"/>
    <mergeCell ref="T11:U11"/>
    <mergeCell ref="V11:W11"/>
    <mergeCell ref="X11:Z11"/>
    <mergeCell ref="AA11:AB11"/>
    <mergeCell ref="F12:H12"/>
    <mergeCell ref="I12:J12"/>
    <mergeCell ref="K12:L12"/>
    <mergeCell ref="M12:O12"/>
    <mergeCell ref="P12:Q12"/>
    <mergeCell ref="R10:S10"/>
    <mergeCell ref="T10:U10"/>
    <mergeCell ref="V10:W10"/>
    <mergeCell ref="X10:Z10"/>
    <mergeCell ref="AA10:AB10"/>
    <mergeCell ref="F11:H11"/>
    <mergeCell ref="I11:J11"/>
    <mergeCell ref="K11:L11"/>
    <mergeCell ref="M11:O11"/>
    <mergeCell ref="P11:Q11"/>
    <mergeCell ref="T20:U22"/>
    <mergeCell ref="V20:W22"/>
    <mergeCell ref="X20:Z22"/>
    <mergeCell ref="AA20:AB22"/>
    <mergeCell ref="AC20:AD20"/>
    <mergeCell ref="AC21:AD21"/>
    <mergeCell ref="AC22:AD22"/>
    <mergeCell ref="X18:Z19"/>
    <mergeCell ref="AA18:AB19"/>
    <mergeCell ref="A20:A37"/>
    <mergeCell ref="B20:D37"/>
    <mergeCell ref="F20:H22"/>
    <mergeCell ref="I20:J22"/>
    <mergeCell ref="K20:L22"/>
    <mergeCell ref="M20:O22"/>
    <mergeCell ref="P20:Q22"/>
    <mergeCell ref="R20:S22"/>
    <mergeCell ref="X16:Z17"/>
    <mergeCell ref="AA16:AB17"/>
    <mergeCell ref="F18:H19"/>
    <mergeCell ref="I18:J19"/>
    <mergeCell ref="K18:L19"/>
    <mergeCell ref="M18:O19"/>
    <mergeCell ref="P18:Q19"/>
    <mergeCell ref="R18:S19"/>
    <mergeCell ref="T18:U19"/>
    <mergeCell ref="V18:W19"/>
    <mergeCell ref="AI14:AI19"/>
    <mergeCell ref="AJ14:AJ19"/>
    <mergeCell ref="F16:H17"/>
    <mergeCell ref="I16:J17"/>
    <mergeCell ref="K16:L17"/>
    <mergeCell ref="M16:O17"/>
    <mergeCell ref="P16:Q17"/>
    <mergeCell ref="R16:S17"/>
    <mergeCell ref="T16:U17"/>
    <mergeCell ref="V16:W17"/>
    <mergeCell ref="AC19:AD19"/>
    <mergeCell ref="AF14:AH14"/>
    <mergeCell ref="AF15:AH15"/>
    <mergeCell ref="AF16:AH16"/>
    <mergeCell ref="AF17:AH17"/>
    <mergeCell ref="AF18:AH18"/>
    <mergeCell ref="AF19:AH19"/>
    <mergeCell ref="AA14:AB15"/>
    <mergeCell ref="AC14:AD14"/>
    <mergeCell ref="AC15:AD15"/>
    <mergeCell ref="AC16:AD16"/>
    <mergeCell ref="AC17:AD17"/>
    <mergeCell ref="AC18:AD18"/>
    <mergeCell ref="M14:O15"/>
    <mergeCell ref="P14:Q15"/>
    <mergeCell ref="R14:S15"/>
    <mergeCell ref="T14:U15"/>
    <mergeCell ref="V14:W15"/>
    <mergeCell ref="X14:Z15"/>
    <mergeCell ref="V26:W28"/>
    <mergeCell ref="X26:Z28"/>
    <mergeCell ref="AA26:AB28"/>
    <mergeCell ref="F29:H31"/>
    <mergeCell ref="I29:J31"/>
    <mergeCell ref="K29:L31"/>
    <mergeCell ref="M29:O31"/>
    <mergeCell ref="P29:Q31"/>
    <mergeCell ref="R29:S31"/>
    <mergeCell ref="T29:U31"/>
    <mergeCell ref="AA23:AB25"/>
    <mergeCell ref="F26:H28"/>
    <mergeCell ref="I26:J26"/>
    <mergeCell ref="I27:J27"/>
    <mergeCell ref="I28:J28"/>
    <mergeCell ref="K26:L28"/>
    <mergeCell ref="M26:O28"/>
    <mergeCell ref="P26:Q28"/>
    <mergeCell ref="R26:S28"/>
    <mergeCell ref="T26:U28"/>
    <mergeCell ref="AJ20:AJ37"/>
    <mergeCell ref="F23:H25"/>
    <mergeCell ref="I23:J25"/>
    <mergeCell ref="K23:L25"/>
    <mergeCell ref="M23:O25"/>
    <mergeCell ref="P23:Q25"/>
    <mergeCell ref="R23:S25"/>
    <mergeCell ref="T23:U25"/>
    <mergeCell ref="V23:W25"/>
    <mergeCell ref="X23:Z25"/>
    <mergeCell ref="AF33:AH33"/>
    <mergeCell ref="AF34:AH34"/>
    <mergeCell ref="AF35:AH35"/>
    <mergeCell ref="AF36:AH36"/>
    <mergeCell ref="AF37:AH37"/>
    <mergeCell ref="AI20:AI37"/>
    <mergeCell ref="AF27:AH27"/>
    <mergeCell ref="AF28:AH28"/>
    <mergeCell ref="AF29:AH29"/>
    <mergeCell ref="AF30:AH30"/>
    <mergeCell ref="AF31:AH31"/>
    <mergeCell ref="AF32:AH32"/>
    <mergeCell ref="AC35:AD35"/>
    <mergeCell ref="AC36:AD36"/>
    <mergeCell ref="AC37:AD37"/>
    <mergeCell ref="AF20:AH20"/>
    <mergeCell ref="AF21:AH21"/>
    <mergeCell ref="AF22:AH22"/>
    <mergeCell ref="AF23:AH23"/>
    <mergeCell ref="AF24:AH24"/>
    <mergeCell ref="AF25:AH25"/>
    <mergeCell ref="AF26:AH26"/>
    <mergeCell ref="AC29:AD29"/>
    <mergeCell ref="AC30:AD30"/>
    <mergeCell ref="AC31:AD31"/>
    <mergeCell ref="AC32:AD32"/>
    <mergeCell ref="AC33:AD33"/>
    <mergeCell ref="AC34:AD34"/>
    <mergeCell ref="AC23:AD23"/>
    <mergeCell ref="AC24:AD24"/>
    <mergeCell ref="AC25:AD25"/>
    <mergeCell ref="AC26:AD26"/>
    <mergeCell ref="AC27:AD27"/>
    <mergeCell ref="AC28:AD28"/>
    <mergeCell ref="F38:H39"/>
    <mergeCell ref="I38:J39"/>
    <mergeCell ref="F40:H41"/>
    <mergeCell ref="I40:J41"/>
    <mergeCell ref="F42:H44"/>
    <mergeCell ref="I42:J44"/>
    <mergeCell ref="V35:W37"/>
    <mergeCell ref="X35:Z37"/>
    <mergeCell ref="AA35:AB37"/>
    <mergeCell ref="A38:A47"/>
    <mergeCell ref="B38:D38"/>
    <mergeCell ref="B39:D39"/>
    <mergeCell ref="B40:D40"/>
    <mergeCell ref="B41:D41"/>
    <mergeCell ref="B42:D42"/>
    <mergeCell ref="B43:D43"/>
    <mergeCell ref="V32:W34"/>
    <mergeCell ref="X32:Z34"/>
    <mergeCell ref="AA32:AB34"/>
    <mergeCell ref="F35:H37"/>
    <mergeCell ref="I35:J37"/>
    <mergeCell ref="K35:L37"/>
    <mergeCell ref="M35:O37"/>
    <mergeCell ref="P35:Q37"/>
    <mergeCell ref="R35:S37"/>
    <mergeCell ref="T35:U37"/>
    <mergeCell ref="V29:W31"/>
    <mergeCell ref="X29:Z31"/>
    <mergeCell ref="AA29:AB31"/>
    <mergeCell ref="F32:H34"/>
    <mergeCell ref="I32:J34"/>
    <mergeCell ref="K32:L34"/>
    <mergeCell ref="M32:O34"/>
    <mergeCell ref="P32:Q34"/>
    <mergeCell ref="R32:S34"/>
    <mergeCell ref="T32:U34"/>
    <mergeCell ref="K40:L41"/>
    <mergeCell ref="M40:O41"/>
    <mergeCell ref="P40:Q41"/>
    <mergeCell ref="R40:S41"/>
    <mergeCell ref="T40:U41"/>
    <mergeCell ref="V40:W41"/>
    <mergeCell ref="AF44:AH44"/>
    <mergeCell ref="AF45:AH45"/>
    <mergeCell ref="AF46:AH46"/>
    <mergeCell ref="AF47:AH47"/>
    <mergeCell ref="AI38:AI47"/>
    <mergeCell ref="AJ38:AJ47"/>
    <mergeCell ref="AF38:AH38"/>
    <mergeCell ref="AF39:AH39"/>
    <mergeCell ref="AF40:AH40"/>
    <mergeCell ref="AF41:AH41"/>
    <mergeCell ref="AF42:AH42"/>
    <mergeCell ref="AF43:AH43"/>
    <mergeCell ref="AC42:AD42"/>
    <mergeCell ref="AC43:AD43"/>
    <mergeCell ref="AC44:AD44"/>
    <mergeCell ref="AC45:AD45"/>
    <mergeCell ref="AC46:AD46"/>
    <mergeCell ref="AC47:AD47"/>
    <mergeCell ref="X38:Z39"/>
    <mergeCell ref="AA38:AB39"/>
    <mergeCell ref="AC38:AD38"/>
    <mergeCell ref="AC39:AD39"/>
    <mergeCell ref="AC40:AD40"/>
    <mergeCell ref="AC41:AD41"/>
    <mergeCell ref="X40:Z41"/>
    <mergeCell ref="AA40:AB41"/>
    <mergeCell ref="K38:L39"/>
    <mergeCell ref="M38:O39"/>
    <mergeCell ref="P38:Q39"/>
    <mergeCell ref="R38:S39"/>
    <mergeCell ref="T38:U39"/>
    <mergeCell ref="V38:W39"/>
    <mergeCell ref="AF48:AH51"/>
    <mergeCell ref="AI48:AI51"/>
    <mergeCell ref="AJ48:AJ51"/>
    <mergeCell ref="A52:A56"/>
    <mergeCell ref="B52:D56"/>
    <mergeCell ref="E52:E54"/>
    <mergeCell ref="F52:H56"/>
    <mergeCell ref="I52:J56"/>
    <mergeCell ref="K52:L56"/>
    <mergeCell ref="M52:O54"/>
    <mergeCell ref="R48:S51"/>
    <mergeCell ref="T48:U51"/>
    <mergeCell ref="V48:W51"/>
    <mergeCell ref="X48:Z51"/>
    <mergeCell ref="AA48:AB51"/>
    <mergeCell ref="AC48:AD48"/>
    <mergeCell ref="AC49:AD49"/>
    <mergeCell ref="AC50:AD50"/>
    <mergeCell ref="AC51:AD51"/>
    <mergeCell ref="X45:Z47"/>
    <mergeCell ref="AA45:AB47"/>
    <mergeCell ref="A48:A51"/>
    <mergeCell ref="B48:D51"/>
    <mergeCell ref="E48:E49"/>
    <mergeCell ref="F48:H51"/>
    <mergeCell ref="I48:J51"/>
    <mergeCell ref="K48:L51"/>
    <mergeCell ref="M48:O51"/>
    <mergeCell ref="P48:Q51"/>
    <mergeCell ref="X42:Z44"/>
    <mergeCell ref="AA42:AB44"/>
    <mergeCell ref="F45:H47"/>
    <mergeCell ref="I45:J47"/>
    <mergeCell ref="K45:L47"/>
    <mergeCell ref="M45:O47"/>
    <mergeCell ref="P45:Q47"/>
    <mergeCell ref="R45:S47"/>
    <mergeCell ref="T45:U47"/>
    <mergeCell ref="V45:W47"/>
    <mergeCell ref="K42:L44"/>
    <mergeCell ref="M42:O44"/>
    <mergeCell ref="P42:Q44"/>
    <mergeCell ref="R42:S44"/>
    <mergeCell ref="T42:U44"/>
    <mergeCell ref="V42:W44"/>
    <mergeCell ref="B44:D44"/>
    <mergeCell ref="B45:D45"/>
    <mergeCell ref="B46:D46"/>
    <mergeCell ref="B47:D47"/>
    <mergeCell ref="AF57:AH62"/>
    <mergeCell ref="AI57:AI62"/>
    <mergeCell ref="AJ57:AJ62"/>
    <mergeCell ref="A63:A66"/>
    <mergeCell ref="B63:D66"/>
    <mergeCell ref="F63:H66"/>
    <mergeCell ref="I63:J66"/>
    <mergeCell ref="K63:L63"/>
    <mergeCell ref="M63:O63"/>
    <mergeCell ref="P63:Q63"/>
    <mergeCell ref="AA57:AB62"/>
    <mergeCell ref="AC57:AD57"/>
    <mergeCell ref="AC58:AD58"/>
    <mergeCell ref="AC59:AD59"/>
    <mergeCell ref="AC60:AD60"/>
    <mergeCell ref="AC61:AD61"/>
    <mergeCell ref="AC62:AD62"/>
    <mergeCell ref="M57:O62"/>
    <mergeCell ref="P57:Q62"/>
    <mergeCell ref="R57:S62"/>
    <mergeCell ref="T57:U62"/>
    <mergeCell ref="V57:W62"/>
    <mergeCell ref="X57:Z62"/>
    <mergeCell ref="A57:A62"/>
    <mergeCell ref="B57:D62"/>
    <mergeCell ref="E57:E58"/>
    <mergeCell ref="F57:H62"/>
    <mergeCell ref="I57:J62"/>
    <mergeCell ref="K57:L62"/>
    <mergeCell ref="AJ52:AJ56"/>
    <mergeCell ref="M55:O55"/>
    <mergeCell ref="P55:Q55"/>
    <mergeCell ref="R55:S55"/>
    <mergeCell ref="T55:U55"/>
    <mergeCell ref="V55:W55"/>
    <mergeCell ref="M56:O56"/>
    <mergeCell ref="P56:Q56"/>
    <mergeCell ref="R56:S56"/>
    <mergeCell ref="T56:U56"/>
    <mergeCell ref="AF52:AH52"/>
    <mergeCell ref="AF53:AH53"/>
    <mergeCell ref="AF54:AH54"/>
    <mergeCell ref="AF55:AH55"/>
    <mergeCell ref="AF56:AH56"/>
    <mergeCell ref="AI52:AI56"/>
    <mergeCell ref="AC52:AD52"/>
    <mergeCell ref="AC53:AD53"/>
    <mergeCell ref="AC54:AD54"/>
    <mergeCell ref="AC55:AD55"/>
    <mergeCell ref="AC56:AD56"/>
    <mergeCell ref="AE52:AE56"/>
    <mergeCell ref="P52:Q54"/>
    <mergeCell ref="R52:S54"/>
    <mergeCell ref="T52:U54"/>
    <mergeCell ref="V52:W54"/>
    <mergeCell ref="X52:Z56"/>
    <mergeCell ref="AA52:AB56"/>
    <mergeCell ref="V56:W56"/>
    <mergeCell ref="X65:Z65"/>
    <mergeCell ref="AA65:AB65"/>
    <mergeCell ref="K66:L66"/>
    <mergeCell ref="M66:O66"/>
    <mergeCell ref="P66:Q66"/>
    <mergeCell ref="R66:S66"/>
    <mergeCell ref="T66:U66"/>
    <mergeCell ref="V66:W66"/>
    <mergeCell ref="X66:Z66"/>
    <mergeCell ref="AA66:AB66"/>
    <mergeCell ref="K65:L65"/>
    <mergeCell ref="M65:O65"/>
    <mergeCell ref="P65:Q65"/>
    <mergeCell ref="R65:S65"/>
    <mergeCell ref="T65:U65"/>
    <mergeCell ref="V65:W65"/>
    <mergeCell ref="AI63:AI66"/>
    <mergeCell ref="AJ63:AJ66"/>
    <mergeCell ref="K64:L64"/>
    <mergeCell ref="M64:O64"/>
    <mergeCell ref="P64:Q64"/>
    <mergeCell ref="R64:S64"/>
    <mergeCell ref="T64:U64"/>
    <mergeCell ref="V64:W64"/>
    <mergeCell ref="X64:Z64"/>
    <mergeCell ref="AA64:AB64"/>
    <mergeCell ref="AC64:AD64"/>
    <mergeCell ref="AC65:AD65"/>
    <mergeCell ref="AC66:AD66"/>
    <mergeCell ref="AF63:AH63"/>
    <mergeCell ref="AF64:AH64"/>
    <mergeCell ref="AF65:AH65"/>
    <mergeCell ref="AF66:AH66"/>
    <mergeCell ref="R63:S63"/>
    <mergeCell ref="T63:U63"/>
    <mergeCell ref="V63:W63"/>
    <mergeCell ref="X63:Z63"/>
    <mergeCell ref="AA63:AB63"/>
    <mergeCell ref="AC63:AD63"/>
    <mergeCell ref="P69:Q70"/>
    <mergeCell ref="R69:S70"/>
    <mergeCell ref="T69:U70"/>
    <mergeCell ref="V69:W70"/>
    <mergeCell ref="X69:Z70"/>
    <mergeCell ref="AA69:AB70"/>
    <mergeCell ref="AF79:AH79"/>
    <mergeCell ref="AF80:AH80"/>
    <mergeCell ref="AF81:AH81"/>
    <mergeCell ref="AF82:AH82"/>
    <mergeCell ref="AI67:AI82"/>
    <mergeCell ref="AJ67:AJ82"/>
    <mergeCell ref="AF73:AH73"/>
    <mergeCell ref="AF74:AH74"/>
    <mergeCell ref="AF75:AH75"/>
    <mergeCell ref="AF76:AH76"/>
    <mergeCell ref="AF77:AH77"/>
    <mergeCell ref="AF78:AH78"/>
    <mergeCell ref="AC79:AD79"/>
    <mergeCell ref="AC80:AD80"/>
    <mergeCell ref="AC81:AD81"/>
    <mergeCell ref="AC82:AD82"/>
    <mergeCell ref="AF67:AH67"/>
    <mergeCell ref="AF68:AH68"/>
    <mergeCell ref="AF69:AH69"/>
    <mergeCell ref="AF70:AH70"/>
    <mergeCell ref="AF71:AH71"/>
    <mergeCell ref="AF72:AH72"/>
    <mergeCell ref="AC73:AD73"/>
    <mergeCell ref="AC74:AD74"/>
    <mergeCell ref="AC75:AD75"/>
    <mergeCell ref="AC76:AD76"/>
    <mergeCell ref="AC77:AD77"/>
    <mergeCell ref="AC78:AD78"/>
    <mergeCell ref="AC67:AD67"/>
    <mergeCell ref="AC68:AD68"/>
    <mergeCell ref="AC69:AD69"/>
    <mergeCell ref="AC70:AD70"/>
    <mergeCell ref="AC71:AD71"/>
    <mergeCell ref="AC72:AD72"/>
    <mergeCell ref="P67:Q68"/>
    <mergeCell ref="R67:S68"/>
    <mergeCell ref="T67:U68"/>
    <mergeCell ref="V67:W68"/>
    <mergeCell ref="X67:Z68"/>
    <mergeCell ref="AA67:AB68"/>
    <mergeCell ref="T75:U76"/>
    <mergeCell ref="V75:W76"/>
    <mergeCell ref="X75:Z76"/>
    <mergeCell ref="AA75:AB76"/>
    <mergeCell ref="F77:H77"/>
    <mergeCell ref="I77:J77"/>
    <mergeCell ref="K77:L77"/>
    <mergeCell ref="M77:O77"/>
    <mergeCell ref="P77:Q77"/>
    <mergeCell ref="R77:S77"/>
    <mergeCell ref="T73:U74"/>
    <mergeCell ref="V73:W74"/>
    <mergeCell ref="X73:Z74"/>
    <mergeCell ref="AA73:AB74"/>
    <mergeCell ref="F75:H76"/>
    <mergeCell ref="I75:J76"/>
    <mergeCell ref="K75:L76"/>
    <mergeCell ref="M75:O76"/>
    <mergeCell ref="P75:Q76"/>
    <mergeCell ref="R75:S76"/>
    <mergeCell ref="T72:U72"/>
    <mergeCell ref="V72:W72"/>
    <mergeCell ref="X72:Z72"/>
    <mergeCell ref="AA72:AB72"/>
    <mergeCell ref="F73:H74"/>
    <mergeCell ref="I73:J74"/>
    <mergeCell ref="K73:L74"/>
    <mergeCell ref="M73:O74"/>
    <mergeCell ref="P73:Q74"/>
    <mergeCell ref="R73:S74"/>
    <mergeCell ref="T71:U71"/>
    <mergeCell ref="V71:W71"/>
    <mergeCell ref="X71:Z71"/>
    <mergeCell ref="AA71:AB71"/>
    <mergeCell ref="F72:H72"/>
    <mergeCell ref="I72:J72"/>
    <mergeCell ref="K72:L72"/>
    <mergeCell ref="M72:O72"/>
    <mergeCell ref="P72:Q72"/>
    <mergeCell ref="R72:S72"/>
    <mergeCell ref="F71:H71"/>
    <mergeCell ref="I71:J71"/>
    <mergeCell ref="K71:L71"/>
    <mergeCell ref="M71:O71"/>
    <mergeCell ref="P71:Q71"/>
    <mergeCell ref="R71:S71"/>
    <mergeCell ref="T81:U82"/>
    <mergeCell ref="V81:W82"/>
    <mergeCell ref="X81:Z82"/>
    <mergeCell ref="AA81:AB82"/>
    <mergeCell ref="A83:A86"/>
    <mergeCell ref="B83:D86"/>
    <mergeCell ref="E83:E84"/>
    <mergeCell ref="F83:H84"/>
    <mergeCell ref="I83:J84"/>
    <mergeCell ref="K83:L84"/>
    <mergeCell ref="T79:U80"/>
    <mergeCell ref="V79:W80"/>
    <mergeCell ref="X79:Z80"/>
    <mergeCell ref="AA79:AB80"/>
    <mergeCell ref="F81:H82"/>
    <mergeCell ref="I81:J82"/>
    <mergeCell ref="K81:L82"/>
    <mergeCell ref="M81:O82"/>
    <mergeCell ref="P81:Q82"/>
    <mergeCell ref="R81:S82"/>
    <mergeCell ref="T78:U78"/>
    <mergeCell ref="V78:W78"/>
    <mergeCell ref="X78:Z78"/>
    <mergeCell ref="AA78:AB78"/>
    <mergeCell ref="F79:H80"/>
    <mergeCell ref="I79:J80"/>
    <mergeCell ref="K79:L80"/>
    <mergeCell ref="M79:O80"/>
    <mergeCell ref="P79:Q80"/>
    <mergeCell ref="R79:S80"/>
    <mergeCell ref="T77:U77"/>
    <mergeCell ref="V77:W77"/>
    <mergeCell ref="X77:Z77"/>
    <mergeCell ref="AA77:AB77"/>
    <mergeCell ref="F78:H78"/>
    <mergeCell ref="I78:J78"/>
    <mergeCell ref="K78:L78"/>
    <mergeCell ref="M78:O78"/>
    <mergeCell ref="P78:Q78"/>
    <mergeCell ref="R78:S78"/>
    <mergeCell ref="A67:A82"/>
    <mergeCell ref="B67:D82"/>
    <mergeCell ref="F67:H68"/>
    <mergeCell ref="I67:J68"/>
    <mergeCell ref="K67:L68"/>
    <mergeCell ref="M67:O68"/>
    <mergeCell ref="F69:H70"/>
    <mergeCell ref="I69:J70"/>
    <mergeCell ref="K69:L70"/>
    <mergeCell ref="M69:O70"/>
    <mergeCell ref="X86:Z86"/>
    <mergeCell ref="AA86:AB86"/>
    <mergeCell ref="A87:A89"/>
    <mergeCell ref="B87:D89"/>
    <mergeCell ref="F87:H89"/>
    <mergeCell ref="I87:J89"/>
    <mergeCell ref="K87:L89"/>
    <mergeCell ref="M87:O87"/>
    <mergeCell ref="P87:Q87"/>
    <mergeCell ref="R87:S87"/>
    <mergeCell ref="X85:Z85"/>
    <mergeCell ref="AA85:AB85"/>
    <mergeCell ref="F86:H86"/>
    <mergeCell ref="I86:J86"/>
    <mergeCell ref="K86:L86"/>
    <mergeCell ref="M86:O86"/>
    <mergeCell ref="P86:Q86"/>
    <mergeCell ref="R86:S86"/>
    <mergeCell ref="T86:U86"/>
    <mergeCell ref="V86:W86"/>
    <mergeCell ref="AI83:AI86"/>
    <mergeCell ref="AJ83:AJ86"/>
    <mergeCell ref="F85:H85"/>
    <mergeCell ref="I85:J85"/>
    <mergeCell ref="K85:L85"/>
    <mergeCell ref="M85:O85"/>
    <mergeCell ref="P85:Q85"/>
    <mergeCell ref="R85:S85"/>
    <mergeCell ref="T85:U85"/>
    <mergeCell ref="V85:W85"/>
    <mergeCell ref="AA83:AB84"/>
    <mergeCell ref="AC83:AD83"/>
    <mergeCell ref="AC84:AD84"/>
    <mergeCell ref="AC85:AD85"/>
    <mergeCell ref="AC86:AD86"/>
    <mergeCell ref="AF83:AH86"/>
    <mergeCell ref="M83:O84"/>
    <mergeCell ref="P83:Q84"/>
    <mergeCell ref="R83:S84"/>
    <mergeCell ref="T83:U84"/>
    <mergeCell ref="V83:W84"/>
    <mergeCell ref="X83:Z84"/>
    <mergeCell ref="X91:Z91"/>
    <mergeCell ref="AA91:AB91"/>
    <mergeCell ref="M92:O92"/>
    <mergeCell ref="P92:Q92"/>
    <mergeCell ref="R92:S92"/>
    <mergeCell ref="T92:U92"/>
    <mergeCell ref="V92:W92"/>
    <mergeCell ref="X92:Z92"/>
    <mergeCell ref="AA92:AB92"/>
    <mergeCell ref="AC90:AD92"/>
    <mergeCell ref="AE90:AE92"/>
    <mergeCell ref="AF90:AH92"/>
    <mergeCell ref="AI90:AI92"/>
    <mergeCell ref="AJ90:AJ92"/>
    <mergeCell ref="M91:O91"/>
    <mergeCell ref="P91:Q91"/>
    <mergeCell ref="R91:S91"/>
    <mergeCell ref="T91:U91"/>
    <mergeCell ref="V91:W91"/>
    <mergeCell ref="P90:Q90"/>
    <mergeCell ref="R90:S90"/>
    <mergeCell ref="T90:U90"/>
    <mergeCell ref="V90:W90"/>
    <mergeCell ref="X90:Z90"/>
    <mergeCell ref="AA90:AB90"/>
    <mergeCell ref="A90:A92"/>
    <mergeCell ref="B90:D92"/>
    <mergeCell ref="F90:H92"/>
    <mergeCell ref="I90:J92"/>
    <mergeCell ref="K90:L92"/>
    <mergeCell ref="M90:O90"/>
    <mergeCell ref="M89:O89"/>
    <mergeCell ref="P89:Q89"/>
    <mergeCell ref="R89:S89"/>
    <mergeCell ref="T89:U89"/>
    <mergeCell ref="V89:W89"/>
    <mergeCell ref="X89:Z89"/>
    <mergeCell ref="AF87:AH89"/>
    <mergeCell ref="AI87:AI89"/>
    <mergeCell ref="AJ87:AJ89"/>
    <mergeCell ref="M88:O88"/>
    <mergeCell ref="P88:Q88"/>
    <mergeCell ref="R88:S88"/>
    <mergeCell ref="T88:U88"/>
    <mergeCell ref="V88:W88"/>
    <mergeCell ref="X88:Z88"/>
    <mergeCell ref="AA88:AB88"/>
    <mergeCell ref="T87:U87"/>
    <mergeCell ref="V87:W87"/>
    <mergeCell ref="X87:Z87"/>
    <mergeCell ref="AA87:AB87"/>
    <mergeCell ref="AC87:AD89"/>
    <mergeCell ref="AE87:AE89"/>
    <mergeCell ref="AA89:AB89"/>
    <mergeCell ref="V95:W95"/>
    <mergeCell ref="X95:Z95"/>
    <mergeCell ref="AA95:AB95"/>
    <mergeCell ref="A96:A100"/>
    <mergeCell ref="B96:D100"/>
    <mergeCell ref="E96:E98"/>
    <mergeCell ref="F96:H100"/>
    <mergeCell ref="I96:J100"/>
    <mergeCell ref="K96:L100"/>
    <mergeCell ref="M96:O98"/>
    <mergeCell ref="T94:U94"/>
    <mergeCell ref="V94:W94"/>
    <mergeCell ref="X94:Z94"/>
    <mergeCell ref="AA94:AB94"/>
    <mergeCell ref="I95:J95"/>
    <mergeCell ref="K95:L95"/>
    <mergeCell ref="M95:O95"/>
    <mergeCell ref="P95:Q95"/>
    <mergeCell ref="R95:S95"/>
    <mergeCell ref="T95:U95"/>
    <mergeCell ref="AC93:AD95"/>
    <mergeCell ref="AE93:AE95"/>
    <mergeCell ref="AF93:AH95"/>
    <mergeCell ref="AI93:AI95"/>
    <mergeCell ref="AJ93:AJ95"/>
    <mergeCell ref="I94:J94"/>
    <mergeCell ref="K94:L94"/>
    <mergeCell ref="M94:O94"/>
    <mergeCell ref="P94:Q94"/>
    <mergeCell ref="R94:S94"/>
    <mergeCell ref="P93:Q93"/>
    <mergeCell ref="R93:S93"/>
    <mergeCell ref="T93:U93"/>
    <mergeCell ref="V93:W93"/>
    <mergeCell ref="X93:Z93"/>
    <mergeCell ref="AA93:AB93"/>
    <mergeCell ref="A93:A95"/>
    <mergeCell ref="B93:D95"/>
    <mergeCell ref="F93:H95"/>
    <mergeCell ref="I93:J93"/>
    <mergeCell ref="K93:L93"/>
    <mergeCell ref="M93:O93"/>
    <mergeCell ref="A101:A103"/>
    <mergeCell ref="B101:D103"/>
    <mergeCell ref="F101:H103"/>
    <mergeCell ref="I101:J103"/>
    <mergeCell ref="K101:L101"/>
    <mergeCell ref="AJ96:AJ100"/>
    <mergeCell ref="M99:O99"/>
    <mergeCell ref="P99:Q99"/>
    <mergeCell ref="R99:S99"/>
    <mergeCell ref="T99:U99"/>
    <mergeCell ref="V99:W99"/>
    <mergeCell ref="X99:Z99"/>
    <mergeCell ref="AA99:AB99"/>
    <mergeCell ref="M100:O100"/>
    <mergeCell ref="P100:Q100"/>
    <mergeCell ref="AF96:AH96"/>
    <mergeCell ref="AF97:AH97"/>
    <mergeCell ref="AF98:AH98"/>
    <mergeCell ref="AF99:AH99"/>
    <mergeCell ref="AF100:AH100"/>
    <mergeCell ref="AI96:AI100"/>
    <mergeCell ref="AC96:AD96"/>
    <mergeCell ref="AC97:AD97"/>
    <mergeCell ref="AC98:AD98"/>
    <mergeCell ref="AC99:AD99"/>
    <mergeCell ref="AC100:AD100"/>
    <mergeCell ref="AE96:AE100"/>
    <mergeCell ref="P96:Q98"/>
    <mergeCell ref="R96:S98"/>
    <mergeCell ref="T96:U98"/>
    <mergeCell ref="V96:W98"/>
    <mergeCell ref="X96:Z98"/>
    <mergeCell ref="AA96:AB98"/>
    <mergeCell ref="X102:Z102"/>
    <mergeCell ref="AA102:AB102"/>
    <mergeCell ref="K103:L103"/>
    <mergeCell ref="M103:O103"/>
    <mergeCell ref="P103:Q103"/>
    <mergeCell ref="R103:S103"/>
    <mergeCell ref="T103:U103"/>
    <mergeCell ref="V103:W103"/>
    <mergeCell ref="X103:Z103"/>
    <mergeCell ref="AA103:AB103"/>
    <mergeCell ref="K102:L102"/>
    <mergeCell ref="M102:O102"/>
    <mergeCell ref="P102:Q102"/>
    <mergeCell ref="R102:S102"/>
    <mergeCell ref="T102:U102"/>
    <mergeCell ref="V102:W102"/>
    <mergeCell ref="AA101:AB101"/>
    <mergeCell ref="AC101:AD103"/>
    <mergeCell ref="AE101:AE103"/>
    <mergeCell ref="AF101:AH103"/>
    <mergeCell ref="AI101:AI103"/>
    <mergeCell ref="AJ101:AJ103"/>
    <mergeCell ref="M101:O101"/>
    <mergeCell ref="P101:Q101"/>
    <mergeCell ref="R101:S101"/>
    <mergeCell ref="T101:U101"/>
    <mergeCell ref="V101:W101"/>
    <mergeCell ref="X101:Z101"/>
    <mergeCell ref="R100:S100"/>
    <mergeCell ref="T100:U100"/>
    <mergeCell ref="V100:W100"/>
    <mergeCell ref="X100:Z100"/>
    <mergeCell ref="AA100:AB100"/>
    <mergeCell ref="M106:O106"/>
    <mergeCell ref="P106:Q106"/>
    <mergeCell ref="R106:S106"/>
    <mergeCell ref="T106:U106"/>
    <mergeCell ref="V106:W106"/>
    <mergeCell ref="X106:Z106"/>
    <mergeCell ref="AF104:AH104"/>
    <mergeCell ref="AF105:AH105"/>
    <mergeCell ref="AF106:AH106"/>
    <mergeCell ref="AF107:AH107"/>
    <mergeCell ref="AF108:AH108"/>
    <mergeCell ref="AJ104:AJ108"/>
    <mergeCell ref="AA104:AB105"/>
    <mergeCell ref="AC104:AD104"/>
    <mergeCell ref="AC105:AD105"/>
    <mergeCell ref="AC106:AD106"/>
    <mergeCell ref="AC107:AD107"/>
    <mergeCell ref="AC108:AD108"/>
    <mergeCell ref="AA106:AB106"/>
    <mergeCell ref="M104:O105"/>
    <mergeCell ref="P104:Q105"/>
    <mergeCell ref="R104:S105"/>
    <mergeCell ref="T104:U105"/>
    <mergeCell ref="V104:W105"/>
    <mergeCell ref="X104:Z105"/>
    <mergeCell ref="A104:A108"/>
    <mergeCell ref="B104:D108"/>
    <mergeCell ref="E104:E105"/>
    <mergeCell ref="F104:H105"/>
    <mergeCell ref="I104:J105"/>
    <mergeCell ref="K104:L105"/>
    <mergeCell ref="F106:H106"/>
    <mergeCell ref="I106:J106"/>
    <mergeCell ref="K106:L106"/>
    <mergeCell ref="F107:H107"/>
    <mergeCell ref="AC117:AD117"/>
    <mergeCell ref="AC118:AD118"/>
    <mergeCell ref="R109:S112"/>
    <mergeCell ref="T109:U112"/>
    <mergeCell ref="V109:W112"/>
    <mergeCell ref="X109:Z112"/>
    <mergeCell ref="AA109:AB112"/>
    <mergeCell ref="AC109:AD109"/>
    <mergeCell ref="AC110:AD110"/>
    <mergeCell ref="AC111:AD111"/>
    <mergeCell ref="AC112:AD112"/>
    <mergeCell ref="V108:W108"/>
    <mergeCell ref="X108:Z108"/>
    <mergeCell ref="AA108:AB108"/>
    <mergeCell ref="A109:A120"/>
    <mergeCell ref="B109:D120"/>
    <mergeCell ref="F109:H112"/>
    <mergeCell ref="I109:J112"/>
    <mergeCell ref="K109:L112"/>
    <mergeCell ref="M109:O112"/>
    <mergeCell ref="P109:Q112"/>
    <mergeCell ref="V107:W107"/>
    <mergeCell ref="X107:Z107"/>
    <mergeCell ref="AA107:AB107"/>
    <mergeCell ref="F108:H108"/>
    <mergeCell ref="I108:J108"/>
    <mergeCell ref="K108:L108"/>
    <mergeCell ref="M108:O108"/>
    <mergeCell ref="P108:Q108"/>
    <mergeCell ref="R108:S108"/>
    <mergeCell ref="T108:U108"/>
    <mergeCell ref="I107:J107"/>
    <mergeCell ref="K107:L107"/>
    <mergeCell ref="M107:O107"/>
    <mergeCell ref="P107:Q107"/>
    <mergeCell ref="R107:S107"/>
    <mergeCell ref="T107:U107"/>
    <mergeCell ref="AJ121:AJ122"/>
    <mergeCell ref="AJ123:AJ129"/>
    <mergeCell ref="AC121:AD121"/>
    <mergeCell ref="AC122:AD122"/>
    <mergeCell ref="AC123:AD123"/>
    <mergeCell ref="AC124:AD124"/>
    <mergeCell ref="AC125:AD125"/>
    <mergeCell ref="AC126:AD126"/>
    <mergeCell ref="P121:Q123"/>
    <mergeCell ref="R121:S123"/>
    <mergeCell ref="T121:U123"/>
    <mergeCell ref="V121:W123"/>
    <mergeCell ref="X121:Z123"/>
    <mergeCell ref="AA121:AB123"/>
    <mergeCell ref="T117:U120"/>
    <mergeCell ref="V117:W120"/>
    <mergeCell ref="X117:Z120"/>
    <mergeCell ref="AA117:AB120"/>
    <mergeCell ref="A121:A129"/>
    <mergeCell ref="B121:D129"/>
    <mergeCell ref="F121:H123"/>
    <mergeCell ref="I121:J123"/>
    <mergeCell ref="K121:L123"/>
    <mergeCell ref="M121:O123"/>
    <mergeCell ref="AA113:AB116"/>
    <mergeCell ref="F117:H120"/>
    <mergeCell ref="I117:J117"/>
    <mergeCell ref="I118:J118"/>
    <mergeCell ref="I119:J119"/>
    <mergeCell ref="I120:J120"/>
    <mergeCell ref="K117:L120"/>
    <mergeCell ref="M117:O120"/>
    <mergeCell ref="P117:Q120"/>
    <mergeCell ref="R117:S120"/>
    <mergeCell ref="AJ109:AJ120"/>
    <mergeCell ref="F113:H116"/>
    <mergeCell ref="I113:J116"/>
    <mergeCell ref="K113:L116"/>
    <mergeCell ref="M113:O116"/>
    <mergeCell ref="P113:Q116"/>
    <mergeCell ref="R113:S116"/>
    <mergeCell ref="T113:U116"/>
    <mergeCell ref="V113:W116"/>
    <mergeCell ref="X113:Z116"/>
    <mergeCell ref="AF116:AH116"/>
    <mergeCell ref="AF117:AH117"/>
    <mergeCell ref="AF118:AH118"/>
    <mergeCell ref="AF119:AH119"/>
    <mergeCell ref="AF120:AH120"/>
    <mergeCell ref="AI109:AI120"/>
    <mergeCell ref="AC119:AD119"/>
    <mergeCell ref="AC120:AD120"/>
    <mergeCell ref="AE109:AE120"/>
    <mergeCell ref="AF109:AH109"/>
    <mergeCell ref="AF110:AH110"/>
    <mergeCell ref="AF111:AH111"/>
    <mergeCell ref="AF112:AH112"/>
    <mergeCell ref="AF113:AH113"/>
    <mergeCell ref="AF114:AH114"/>
    <mergeCell ref="AF115:AH115"/>
    <mergeCell ref="AC113:AD113"/>
    <mergeCell ref="AC114:AD114"/>
    <mergeCell ref="AC115:AD115"/>
    <mergeCell ref="AC116:AD116"/>
    <mergeCell ref="X130:Z131"/>
    <mergeCell ref="AA130:AB131"/>
    <mergeCell ref="T127:U129"/>
    <mergeCell ref="V127:W129"/>
    <mergeCell ref="X127:Z129"/>
    <mergeCell ref="AA127:AB129"/>
    <mergeCell ref="A130:A141"/>
    <mergeCell ref="B130:D141"/>
    <mergeCell ref="F130:H131"/>
    <mergeCell ref="I130:J131"/>
    <mergeCell ref="K130:L131"/>
    <mergeCell ref="M130:O130"/>
    <mergeCell ref="T124:U126"/>
    <mergeCell ref="V124:W126"/>
    <mergeCell ref="X124:Z126"/>
    <mergeCell ref="AA124:AB126"/>
    <mergeCell ref="F127:H129"/>
    <mergeCell ref="I127:J129"/>
    <mergeCell ref="K127:L129"/>
    <mergeCell ref="M127:O129"/>
    <mergeCell ref="P127:Q129"/>
    <mergeCell ref="R127:S129"/>
    <mergeCell ref="F124:H126"/>
    <mergeCell ref="I124:J126"/>
    <mergeCell ref="K124:L126"/>
    <mergeCell ref="M124:O126"/>
    <mergeCell ref="P124:Q126"/>
    <mergeCell ref="R124:S126"/>
    <mergeCell ref="AC127:AD127"/>
    <mergeCell ref="AC128:AD128"/>
    <mergeCell ref="AC129:AD129"/>
    <mergeCell ref="AF121:AH129"/>
    <mergeCell ref="AI121:AI129"/>
    <mergeCell ref="X134:Z135"/>
    <mergeCell ref="AA134:AB135"/>
    <mergeCell ref="M135:O135"/>
    <mergeCell ref="P135:Q135"/>
    <mergeCell ref="R135:S135"/>
    <mergeCell ref="T135:U135"/>
    <mergeCell ref="V135:W135"/>
    <mergeCell ref="T133:U133"/>
    <mergeCell ref="V133:W133"/>
    <mergeCell ref="F134:H135"/>
    <mergeCell ref="I134:J135"/>
    <mergeCell ref="K134:L135"/>
    <mergeCell ref="M134:O134"/>
    <mergeCell ref="P134:Q134"/>
    <mergeCell ref="R134:S134"/>
    <mergeCell ref="T134:U134"/>
    <mergeCell ref="V134:W134"/>
    <mergeCell ref="F132:H133"/>
    <mergeCell ref="I132:J133"/>
    <mergeCell ref="K132:L133"/>
    <mergeCell ref="M132:O132"/>
    <mergeCell ref="P132:Q132"/>
    <mergeCell ref="R132:S132"/>
    <mergeCell ref="M133:O133"/>
    <mergeCell ref="P133:Q133"/>
    <mergeCell ref="R133:S133"/>
    <mergeCell ref="AJ130:AJ141"/>
    <mergeCell ref="M131:O131"/>
    <mergeCell ref="P131:Q131"/>
    <mergeCell ref="R131:S131"/>
    <mergeCell ref="T131:U131"/>
    <mergeCell ref="V131:W131"/>
    <mergeCell ref="T132:U132"/>
    <mergeCell ref="V132:W132"/>
    <mergeCell ref="X132:Z133"/>
    <mergeCell ref="AA132:AB133"/>
    <mergeCell ref="AF136:AH136"/>
    <mergeCell ref="AF137:AH137"/>
    <mergeCell ref="AF138:AH138"/>
    <mergeCell ref="AF139:AH139"/>
    <mergeCell ref="AF140:AH140"/>
    <mergeCell ref="AF141:AH141"/>
    <mergeCell ref="AF130:AH130"/>
    <mergeCell ref="AF131:AH131"/>
    <mergeCell ref="AF132:AH132"/>
    <mergeCell ref="AF133:AH133"/>
    <mergeCell ref="AF134:AH134"/>
    <mergeCell ref="AF135:AH135"/>
    <mergeCell ref="AC136:AD136"/>
    <mergeCell ref="AC137:AD137"/>
    <mergeCell ref="AC138:AD138"/>
    <mergeCell ref="AC139:AD139"/>
    <mergeCell ref="AC140:AD140"/>
    <mergeCell ref="AC141:AD141"/>
    <mergeCell ref="AC130:AD130"/>
    <mergeCell ref="AC131:AD131"/>
    <mergeCell ref="AC132:AD132"/>
    <mergeCell ref="AC133:AD133"/>
    <mergeCell ref="AC134:AD134"/>
    <mergeCell ref="AC135:AD135"/>
    <mergeCell ref="P130:Q130"/>
    <mergeCell ref="R130:S130"/>
    <mergeCell ref="T130:U130"/>
    <mergeCell ref="V130:W130"/>
    <mergeCell ref="T140:U140"/>
    <mergeCell ref="V140:W140"/>
    <mergeCell ref="X140:Z141"/>
    <mergeCell ref="AA140:AB141"/>
    <mergeCell ref="M141:O141"/>
    <mergeCell ref="P141:Q141"/>
    <mergeCell ref="R141:S141"/>
    <mergeCell ref="T141:U141"/>
    <mergeCell ref="V141:W141"/>
    <mergeCell ref="F140:H141"/>
    <mergeCell ref="I140:J141"/>
    <mergeCell ref="K140:L141"/>
    <mergeCell ref="M140:O140"/>
    <mergeCell ref="P140:Q140"/>
    <mergeCell ref="R140:S140"/>
    <mergeCell ref="T138:U138"/>
    <mergeCell ref="V138:W138"/>
    <mergeCell ref="X138:Z139"/>
    <mergeCell ref="AA138:AB139"/>
    <mergeCell ref="M139:O139"/>
    <mergeCell ref="P139:Q139"/>
    <mergeCell ref="R139:S139"/>
    <mergeCell ref="T139:U139"/>
    <mergeCell ref="V139:W139"/>
    <mergeCell ref="F138:H139"/>
    <mergeCell ref="I138:J139"/>
    <mergeCell ref="K138:L139"/>
    <mergeCell ref="M138:O138"/>
    <mergeCell ref="P138:Q138"/>
    <mergeCell ref="R138:S138"/>
    <mergeCell ref="T136:U136"/>
    <mergeCell ref="V136:W136"/>
    <mergeCell ref="X136:Z137"/>
    <mergeCell ref="AA136:AB137"/>
    <mergeCell ref="M137:O137"/>
    <mergeCell ref="P137:Q137"/>
    <mergeCell ref="R137:S137"/>
    <mergeCell ref="T137:U137"/>
    <mergeCell ref="V137:W137"/>
    <mergeCell ref="F136:H137"/>
    <mergeCell ref="I136:J137"/>
    <mergeCell ref="K136:L137"/>
    <mergeCell ref="M136:O136"/>
    <mergeCell ref="P136:Q136"/>
    <mergeCell ref="R136:S136"/>
    <mergeCell ref="V146:W146"/>
    <mergeCell ref="X146:Z146"/>
    <mergeCell ref="AA146:AB146"/>
    <mergeCell ref="A147:A152"/>
    <mergeCell ref="B147:D152"/>
    <mergeCell ref="F147:H149"/>
    <mergeCell ref="I147:J148"/>
    <mergeCell ref="K147:L147"/>
    <mergeCell ref="M147:O147"/>
    <mergeCell ref="P147:Q147"/>
    <mergeCell ref="V145:W145"/>
    <mergeCell ref="X145:Z145"/>
    <mergeCell ref="AA145:AB145"/>
    <mergeCell ref="F146:H146"/>
    <mergeCell ref="I146:J146"/>
    <mergeCell ref="K146:L146"/>
    <mergeCell ref="M146:O146"/>
    <mergeCell ref="P146:Q146"/>
    <mergeCell ref="R146:S146"/>
    <mergeCell ref="T146:U146"/>
    <mergeCell ref="V144:W144"/>
    <mergeCell ref="X144:Z144"/>
    <mergeCell ref="AA144:AB144"/>
    <mergeCell ref="F145:H145"/>
    <mergeCell ref="I145:J145"/>
    <mergeCell ref="K145:L145"/>
    <mergeCell ref="M145:O145"/>
    <mergeCell ref="P145:Q145"/>
    <mergeCell ref="R145:S145"/>
    <mergeCell ref="T145:U145"/>
    <mergeCell ref="AF142:AH146"/>
    <mergeCell ref="AI142:AI146"/>
    <mergeCell ref="AJ142:AJ146"/>
    <mergeCell ref="F144:H144"/>
    <mergeCell ref="I144:J144"/>
    <mergeCell ref="K144:L144"/>
    <mergeCell ref="M144:O144"/>
    <mergeCell ref="P144:Q144"/>
    <mergeCell ref="R144:S144"/>
    <mergeCell ref="T144:U144"/>
    <mergeCell ref="AA142:AB143"/>
    <mergeCell ref="AC142:AD142"/>
    <mergeCell ref="AC143:AD143"/>
    <mergeCell ref="AC144:AD144"/>
    <mergeCell ref="AC145:AD145"/>
    <mergeCell ref="AC146:AD146"/>
    <mergeCell ref="M142:O143"/>
    <mergeCell ref="P142:Q143"/>
    <mergeCell ref="R142:S143"/>
    <mergeCell ref="T142:U143"/>
    <mergeCell ref="V142:W143"/>
    <mergeCell ref="X142:Z143"/>
    <mergeCell ref="A142:A146"/>
    <mergeCell ref="B142:D146"/>
    <mergeCell ref="E142:E143"/>
    <mergeCell ref="F142:H143"/>
    <mergeCell ref="I142:J143"/>
    <mergeCell ref="K142:L143"/>
    <mergeCell ref="X150:Z150"/>
    <mergeCell ref="AA150:AB150"/>
    <mergeCell ref="K151:L151"/>
    <mergeCell ref="M151:O151"/>
    <mergeCell ref="P151:Q151"/>
    <mergeCell ref="R151:S151"/>
    <mergeCell ref="T151:U151"/>
    <mergeCell ref="V151:W151"/>
    <mergeCell ref="X151:Z151"/>
    <mergeCell ref="AA151:AB151"/>
    <mergeCell ref="X149:Z149"/>
    <mergeCell ref="AA149:AB149"/>
    <mergeCell ref="F150:H152"/>
    <mergeCell ref="I150:J151"/>
    <mergeCell ref="K150:L150"/>
    <mergeCell ref="M150:O150"/>
    <mergeCell ref="P150:Q150"/>
    <mergeCell ref="R150:S150"/>
    <mergeCell ref="T150:U150"/>
    <mergeCell ref="V150:W150"/>
    <mergeCell ref="I149:J149"/>
    <mergeCell ref="K149:L149"/>
    <mergeCell ref="M149:O149"/>
    <mergeCell ref="P149:Q149"/>
    <mergeCell ref="R149:S149"/>
    <mergeCell ref="T149:U149"/>
    <mergeCell ref="AJ147:AJ152"/>
    <mergeCell ref="K148:L148"/>
    <mergeCell ref="M148:O148"/>
    <mergeCell ref="P148:Q148"/>
    <mergeCell ref="R148:S148"/>
    <mergeCell ref="T148:U148"/>
    <mergeCell ref="V148:W148"/>
    <mergeCell ref="X148:Z148"/>
    <mergeCell ref="AA148:AB148"/>
    <mergeCell ref="V149:W149"/>
    <mergeCell ref="AC148:AD148"/>
    <mergeCell ref="AC149:AD149"/>
    <mergeCell ref="AC150:AD150"/>
    <mergeCell ref="AC151:AD151"/>
    <mergeCell ref="AC152:AD152"/>
    <mergeCell ref="AF147:AH152"/>
    <mergeCell ref="R147:S147"/>
    <mergeCell ref="T147:U147"/>
    <mergeCell ref="V147:W147"/>
    <mergeCell ref="X147:Z147"/>
    <mergeCell ref="AA147:AB147"/>
    <mergeCell ref="AC147:AD147"/>
    <mergeCell ref="X154:Z154"/>
    <mergeCell ref="AA154:AB154"/>
    <mergeCell ref="F155:H155"/>
    <mergeCell ref="I155:J155"/>
    <mergeCell ref="K155:L155"/>
    <mergeCell ref="M155:O155"/>
    <mergeCell ref="P155:Q155"/>
    <mergeCell ref="R155:S155"/>
    <mergeCell ref="T155:U155"/>
    <mergeCell ref="V155:W155"/>
    <mergeCell ref="AI153:AI163"/>
    <mergeCell ref="AJ153:AJ158"/>
    <mergeCell ref="F154:H154"/>
    <mergeCell ref="I154:J154"/>
    <mergeCell ref="K154:L154"/>
    <mergeCell ref="M154:O154"/>
    <mergeCell ref="P154:Q154"/>
    <mergeCell ref="R154:S154"/>
    <mergeCell ref="T154:U154"/>
    <mergeCell ref="V154:W154"/>
    <mergeCell ref="AC154:AD154"/>
    <mergeCell ref="AC155:AD155"/>
    <mergeCell ref="AC156:AD156"/>
    <mergeCell ref="AC157:AD157"/>
    <mergeCell ref="AC158:AD158"/>
    <mergeCell ref="AF153:AH158"/>
    <mergeCell ref="R153:S153"/>
    <mergeCell ref="T153:U153"/>
    <mergeCell ref="V153:W153"/>
    <mergeCell ref="X153:Z153"/>
    <mergeCell ref="AA153:AB153"/>
    <mergeCell ref="AC153:AD153"/>
    <mergeCell ref="V152:W152"/>
    <mergeCell ref="X152:Z152"/>
    <mergeCell ref="AA152:AB152"/>
    <mergeCell ref="F153:H153"/>
    <mergeCell ref="I153:J153"/>
    <mergeCell ref="K153:L153"/>
    <mergeCell ref="M153:O153"/>
    <mergeCell ref="P153:Q153"/>
    <mergeCell ref="I152:J152"/>
    <mergeCell ref="K152:L152"/>
    <mergeCell ref="M152:O152"/>
    <mergeCell ref="P152:Q152"/>
    <mergeCell ref="R152:S152"/>
    <mergeCell ref="T152:U152"/>
    <mergeCell ref="X158:Z158"/>
    <mergeCell ref="AA158:AB158"/>
    <mergeCell ref="A159:A163"/>
    <mergeCell ref="B159:D163"/>
    <mergeCell ref="E159:E161"/>
    <mergeCell ref="F159:H163"/>
    <mergeCell ref="I159:J163"/>
    <mergeCell ref="K159:L163"/>
    <mergeCell ref="M159:O163"/>
    <mergeCell ref="P159:Q163"/>
    <mergeCell ref="X157:Z157"/>
    <mergeCell ref="AA157:AB157"/>
    <mergeCell ref="F158:H158"/>
    <mergeCell ref="I158:J158"/>
    <mergeCell ref="K158:L158"/>
    <mergeCell ref="M158:O158"/>
    <mergeCell ref="P158:Q158"/>
    <mergeCell ref="R158:S158"/>
    <mergeCell ref="T158:U158"/>
    <mergeCell ref="V158:W158"/>
    <mergeCell ref="X156:Z156"/>
    <mergeCell ref="AA156:AB156"/>
    <mergeCell ref="F157:H157"/>
    <mergeCell ref="I157:J157"/>
    <mergeCell ref="K157:L157"/>
    <mergeCell ref="M157:O157"/>
    <mergeCell ref="P157:Q157"/>
    <mergeCell ref="R157:S157"/>
    <mergeCell ref="T157:U157"/>
    <mergeCell ref="V157:W157"/>
    <mergeCell ref="X155:Z155"/>
    <mergeCell ref="AA155:AB155"/>
    <mergeCell ref="F156:H156"/>
    <mergeCell ref="I156:J156"/>
    <mergeCell ref="K156:L156"/>
    <mergeCell ref="M156:O156"/>
    <mergeCell ref="P156:Q156"/>
    <mergeCell ref="R156:S156"/>
    <mergeCell ref="T156:U156"/>
    <mergeCell ref="V156:W156"/>
    <mergeCell ref="A153:A158"/>
    <mergeCell ref="B153:D158"/>
    <mergeCell ref="AJ164:AJ169"/>
    <mergeCell ref="A170:A174"/>
    <mergeCell ref="B170:D174"/>
    <mergeCell ref="E170:E172"/>
    <mergeCell ref="F170:H172"/>
    <mergeCell ref="I170:J172"/>
    <mergeCell ref="K170:L172"/>
    <mergeCell ref="M170:O172"/>
    <mergeCell ref="P170:Q172"/>
    <mergeCell ref="R170:S172"/>
    <mergeCell ref="AC169:AD169"/>
    <mergeCell ref="AF164:AH164"/>
    <mergeCell ref="AF165:AH165"/>
    <mergeCell ref="AF166:AH166"/>
    <mergeCell ref="AF167:AH167"/>
    <mergeCell ref="AF168:AH168"/>
    <mergeCell ref="AF169:AH169"/>
    <mergeCell ref="R164:S169"/>
    <mergeCell ref="T164:U169"/>
    <mergeCell ref="V164:W169"/>
    <mergeCell ref="X164:Z169"/>
    <mergeCell ref="AA164:AB169"/>
    <mergeCell ref="AC164:AD164"/>
    <mergeCell ref="AC165:AD165"/>
    <mergeCell ref="AC166:AD166"/>
    <mergeCell ref="AC167:AD167"/>
    <mergeCell ref="AC168:AD168"/>
    <mergeCell ref="AF159:AH163"/>
    <mergeCell ref="AJ159:AJ163"/>
    <mergeCell ref="A164:A169"/>
    <mergeCell ref="B164:D169"/>
    <mergeCell ref="E164:E168"/>
    <mergeCell ref="F164:H169"/>
    <mergeCell ref="I164:J169"/>
    <mergeCell ref="K164:L169"/>
    <mergeCell ref="M164:O169"/>
    <mergeCell ref="P164:Q169"/>
    <mergeCell ref="R159:S163"/>
    <mergeCell ref="T159:U163"/>
    <mergeCell ref="V159:W163"/>
    <mergeCell ref="X159:Z163"/>
    <mergeCell ref="AA159:AB163"/>
    <mergeCell ref="AC159:AD159"/>
    <mergeCell ref="AC160:AD160"/>
    <mergeCell ref="AC161:AD161"/>
    <mergeCell ref="AC162:AD162"/>
    <mergeCell ref="AC163:AD163"/>
    <mergeCell ref="R174:S174"/>
    <mergeCell ref="T174:U174"/>
    <mergeCell ref="V174:W174"/>
    <mergeCell ref="X174:Z174"/>
    <mergeCell ref="AA174:AB174"/>
    <mergeCell ref="A175:A178"/>
    <mergeCell ref="B175:D178"/>
    <mergeCell ref="F175:H178"/>
    <mergeCell ref="I175:J178"/>
    <mergeCell ref="K175:L178"/>
    <mergeCell ref="R173:S173"/>
    <mergeCell ref="T173:U173"/>
    <mergeCell ref="V173:W173"/>
    <mergeCell ref="X173:Z173"/>
    <mergeCell ref="AA173:AB173"/>
    <mergeCell ref="F174:H174"/>
    <mergeCell ref="I174:J174"/>
    <mergeCell ref="K174:L174"/>
    <mergeCell ref="M174:O174"/>
    <mergeCell ref="P174:Q174"/>
    <mergeCell ref="AC173:AD173"/>
    <mergeCell ref="AC174:AD174"/>
    <mergeCell ref="AF170:AH174"/>
    <mergeCell ref="AI170:AI178"/>
    <mergeCell ref="AJ170:AJ174"/>
    <mergeCell ref="F173:H173"/>
    <mergeCell ref="I173:J173"/>
    <mergeCell ref="K173:L173"/>
    <mergeCell ref="M173:O173"/>
    <mergeCell ref="P173:Q173"/>
    <mergeCell ref="T170:U172"/>
    <mergeCell ref="V170:W172"/>
    <mergeCell ref="X170:Z172"/>
    <mergeCell ref="AA170:AB172"/>
    <mergeCell ref="AC170:AD170"/>
    <mergeCell ref="AC171:AD171"/>
    <mergeCell ref="AC172:AD172"/>
    <mergeCell ref="AE180:AE183"/>
    <mergeCell ref="AF180:AH183"/>
    <mergeCell ref="AI180:AI183"/>
    <mergeCell ref="AJ180:AJ183"/>
    <mergeCell ref="A184:A188"/>
    <mergeCell ref="B184:D188"/>
    <mergeCell ref="E184:E185"/>
    <mergeCell ref="F184:H188"/>
    <mergeCell ref="I184:J188"/>
    <mergeCell ref="K184:L185"/>
    <mergeCell ref="X180:Z183"/>
    <mergeCell ref="AA180:AB183"/>
    <mergeCell ref="AC180:AD180"/>
    <mergeCell ref="AC181:AD181"/>
    <mergeCell ref="AC182:AD182"/>
    <mergeCell ref="AC183:AD183"/>
    <mergeCell ref="K180:L183"/>
    <mergeCell ref="M180:O183"/>
    <mergeCell ref="P180:Q183"/>
    <mergeCell ref="R180:S183"/>
    <mergeCell ref="T180:U183"/>
    <mergeCell ref="V180:W183"/>
    <mergeCell ref="AA179:AB179"/>
    <mergeCell ref="AC179:AD179"/>
    <mergeCell ref="AG179:AL179"/>
    <mergeCell ref="A180:A183"/>
    <mergeCell ref="B180:D183"/>
    <mergeCell ref="F180:H180"/>
    <mergeCell ref="F181:H181"/>
    <mergeCell ref="F182:H182"/>
    <mergeCell ref="F183:H183"/>
    <mergeCell ref="I180:J183"/>
    <mergeCell ref="AJ175:AJ178"/>
    <mergeCell ref="F179:H179"/>
    <mergeCell ref="I179:J179"/>
    <mergeCell ref="K179:L179"/>
    <mergeCell ref="M179:O179"/>
    <mergeCell ref="P179:Q179"/>
    <mergeCell ref="R179:S179"/>
    <mergeCell ref="T179:U179"/>
    <mergeCell ref="V179:W179"/>
    <mergeCell ref="X179:Z179"/>
    <mergeCell ref="AA175:AB178"/>
    <mergeCell ref="AC175:AD175"/>
    <mergeCell ref="AC176:AD176"/>
    <mergeCell ref="AC177:AD177"/>
    <mergeCell ref="AC178:AD178"/>
    <mergeCell ref="AF175:AH178"/>
    <mergeCell ref="M175:O178"/>
    <mergeCell ref="P175:Q178"/>
    <mergeCell ref="R175:S178"/>
    <mergeCell ref="T175:U178"/>
    <mergeCell ref="V175:W178"/>
    <mergeCell ref="X175:Z178"/>
    <mergeCell ref="X187:Z187"/>
    <mergeCell ref="AA187:AB187"/>
    <mergeCell ref="K188:L188"/>
    <mergeCell ref="M188:O188"/>
    <mergeCell ref="P188:Q188"/>
    <mergeCell ref="R188:S188"/>
    <mergeCell ref="T188:U188"/>
    <mergeCell ref="V188:W188"/>
    <mergeCell ref="X188:Z188"/>
    <mergeCell ref="AA188:AB188"/>
    <mergeCell ref="K187:L187"/>
    <mergeCell ref="M187:O187"/>
    <mergeCell ref="P187:Q187"/>
    <mergeCell ref="R187:S187"/>
    <mergeCell ref="T187:U187"/>
    <mergeCell ref="V187:W187"/>
    <mergeCell ref="AF184:AH188"/>
    <mergeCell ref="AJ184:AJ194"/>
    <mergeCell ref="K186:L186"/>
    <mergeCell ref="M186:O186"/>
    <mergeCell ref="P186:Q186"/>
    <mergeCell ref="R186:S186"/>
    <mergeCell ref="T186:U186"/>
    <mergeCell ref="V186:W186"/>
    <mergeCell ref="X186:Z186"/>
    <mergeCell ref="AA186:AB186"/>
    <mergeCell ref="AA184:AB185"/>
    <mergeCell ref="AC184:AD184"/>
    <mergeCell ref="AC185:AD185"/>
    <mergeCell ref="AC186:AD186"/>
    <mergeCell ref="AC187:AD187"/>
    <mergeCell ref="AC188:AD188"/>
    <mergeCell ref="M184:O185"/>
    <mergeCell ref="P184:Q185"/>
    <mergeCell ref="R184:S185"/>
    <mergeCell ref="T184:U185"/>
    <mergeCell ref="V184:W185"/>
    <mergeCell ref="X184:Z185"/>
    <mergeCell ref="AA193:AB194"/>
    <mergeCell ref="A195:A211"/>
    <mergeCell ref="B195:D211"/>
    <mergeCell ref="F195:H196"/>
    <mergeCell ref="I195:J195"/>
    <mergeCell ref="K195:L195"/>
    <mergeCell ref="M195:O195"/>
    <mergeCell ref="P195:Q195"/>
    <mergeCell ref="R195:S195"/>
    <mergeCell ref="T195:U195"/>
    <mergeCell ref="AA191:AB192"/>
    <mergeCell ref="F193:H194"/>
    <mergeCell ref="I193:J194"/>
    <mergeCell ref="K193:L194"/>
    <mergeCell ref="M193:O194"/>
    <mergeCell ref="P193:Q194"/>
    <mergeCell ref="R193:S194"/>
    <mergeCell ref="T193:U194"/>
    <mergeCell ref="V193:W194"/>
    <mergeCell ref="X193:Z194"/>
    <mergeCell ref="AF189:AH194"/>
    <mergeCell ref="F191:H192"/>
    <mergeCell ref="I191:J192"/>
    <mergeCell ref="K191:L192"/>
    <mergeCell ref="M191:O192"/>
    <mergeCell ref="P191:Q192"/>
    <mergeCell ref="R191:S192"/>
    <mergeCell ref="T191:U192"/>
    <mergeCell ref="V191:W192"/>
    <mergeCell ref="X191:Z192"/>
    <mergeCell ref="AC189:AD189"/>
    <mergeCell ref="AC190:AD190"/>
    <mergeCell ref="AC191:AD191"/>
    <mergeCell ref="AC192:AD192"/>
    <mergeCell ref="AC193:AD193"/>
    <mergeCell ref="AC194:AD194"/>
    <mergeCell ref="P189:Q190"/>
    <mergeCell ref="R189:S190"/>
    <mergeCell ref="T189:U190"/>
    <mergeCell ref="V189:W190"/>
    <mergeCell ref="X189:Z190"/>
    <mergeCell ref="AA189:AB190"/>
    <mergeCell ref="A189:A194"/>
    <mergeCell ref="B189:D194"/>
    <mergeCell ref="F189:H190"/>
    <mergeCell ref="I189:J190"/>
    <mergeCell ref="K189:L190"/>
    <mergeCell ref="M189:O190"/>
    <mergeCell ref="T197:U197"/>
    <mergeCell ref="V197:W197"/>
    <mergeCell ref="X197:Z197"/>
    <mergeCell ref="AA197:AB197"/>
    <mergeCell ref="I198:J198"/>
    <mergeCell ref="K198:L198"/>
    <mergeCell ref="M198:O198"/>
    <mergeCell ref="P198:Q198"/>
    <mergeCell ref="R198:S198"/>
    <mergeCell ref="T198:U198"/>
    <mergeCell ref="F197:H201"/>
    <mergeCell ref="I197:J197"/>
    <mergeCell ref="K197:L197"/>
    <mergeCell ref="M197:O197"/>
    <mergeCell ref="P197:Q197"/>
    <mergeCell ref="R197:S197"/>
    <mergeCell ref="AC210:AD210"/>
    <mergeCell ref="AC211:AD211"/>
    <mergeCell ref="AF195:AH211"/>
    <mergeCell ref="AI195:AJ211"/>
    <mergeCell ref="I196:J196"/>
    <mergeCell ref="K196:L196"/>
    <mergeCell ref="M196:O196"/>
    <mergeCell ref="P196:Q196"/>
    <mergeCell ref="R196:S196"/>
    <mergeCell ref="T196:U196"/>
    <mergeCell ref="AC204:AD204"/>
    <mergeCell ref="AC205:AD205"/>
    <mergeCell ref="AC206:AD206"/>
    <mergeCell ref="AC207:AD207"/>
    <mergeCell ref="AC208:AD208"/>
    <mergeCell ref="AC209:AD209"/>
    <mergeCell ref="AC198:AD198"/>
    <mergeCell ref="AC199:AD199"/>
    <mergeCell ref="AC200:AD200"/>
    <mergeCell ref="AC201:AD201"/>
    <mergeCell ref="AC202:AD202"/>
    <mergeCell ref="AC203:AD203"/>
    <mergeCell ref="V195:W195"/>
    <mergeCell ref="X195:Z195"/>
    <mergeCell ref="AA195:AB195"/>
    <mergeCell ref="AC195:AD195"/>
    <mergeCell ref="AC196:AD196"/>
    <mergeCell ref="AC197:AD197"/>
    <mergeCell ref="V196:W196"/>
    <mergeCell ref="X196:Z196"/>
    <mergeCell ref="AA196:AB196"/>
    <mergeCell ref="F202:H206"/>
    <mergeCell ref="I202:J202"/>
    <mergeCell ref="K202:L202"/>
    <mergeCell ref="M202:O202"/>
    <mergeCell ref="P202:Q202"/>
    <mergeCell ref="R202:S202"/>
    <mergeCell ref="AA200:AB200"/>
    <mergeCell ref="I201:J201"/>
    <mergeCell ref="K201:L201"/>
    <mergeCell ref="M201:O201"/>
    <mergeCell ref="P201:Q201"/>
    <mergeCell ref="R201:S201"/>
    <mergeCell ref="T201:U201"/>
    <mergeCell ref="V201:W201"/>
    <mergeCell ref="X201:Z201"/>
    <mergeCell ref="AA201:AB201"/>
    <mergeCell ref="X199:Z199"/>
    <mergeCell ref="AA199:AB199"/>
    <mergeCell ref="I200:J200"/>
    <mergeCell ref="K200:L200"/>
    <mergeCell ref="M200:O200"/>
    <mergeCell ref="P200:Q200"/>
    <mergeCell ref="R200:S200"/>
    <mergeCell ref="T200:U200"/>
    <mergeCell ref="V200:W200"/>
    <mergeCell ref="X200:Z200"/>
    <mergeCell ref="V198:W198"/>
    <mergeCell ref="X198:Z198"/>
    <mergeCell ref="AA198:AB198"/>
    <mergeCell ref="I199:J199"/>
    <mergeCell ref="K199:L199"/>
    <mergeCell ref="M199:O199"/>
    <mergeCell ref="P199:Q199"/>
    <mergeCell ref="R199:S199"/>
    <mergeCell ref="T199:U199"/>
    <mergeCell ref="V199:W199"/>
    <mergeCell ref="AA205:AB205"/>
    <mergeCell ref="I206:J206"/>
    <mergeCell ref="K206:L206"/>
    <mergeCell ref="M206:O206"/>
    <mergeCell ref="P206:Q206"/>
    <mergeCell ref="R206:S206"/>
    <mergeCell ref="T206:U206"/>
    <mergeCell ref="V206:W206"/>
    <mergeCell ref="X206:Z206"/>
    <mergeCell ref="AA206:AB206"/>
    <mergeCell ref="X204:Z204"/>
    <mergeCell ref="AA204:AB204"/>
    <mergeCell ref="I205:J205"/>
    <mergeCell ref="K205:L205"/>
    <mergeCell ref="M205:O205"/>
    <mergeCell ref="P205:Q205"/>
    <mergeCell ref="R205:S205"/>
    <mergeCell ref="T205:U205"/>
    <mergeCell ref="V205:W205"/>
    <mergeCell ref="X205:Z205"/>
    <mergeCell ref="V203:W203"/>
    <mergeCell ref="X203:Z203"/>
    <mergeCell ref="AA203:AB203"/>
    <mergeCell ref="I204:J204"/>
    <mergeCell ref="K204:L204"/>
    <mergeCell ref="M204:O204"/>
    <mergeCell ref="P204:Q204"/>
    <mergeCell ref="R204:S204"/>
    <mergeCell ref="T204:U204"/>
    <mergeCell ref="V204:W204"/>
    <mergeCell ref="T202:U202"/>
    <mergeCell ref="V202:W202"/>
    <mergeCell ref="X202:Z202"/>
    <mergeCell ref="AA202:AB202"/>
    <mergeCell ref="I203:J203"/>
    <mergeCell ref="K203:L203"/>
    <mergeCell ref="M203:O203"/>
    <mergeCell ref="P203:Q203"/>
    <mergeCell ref="R203:S203"/>
    <mergeCell ref="T203:U203"/>
    <mergeCell ref="X209:Z209"/>
    <mergeCell ref="AA209:AB209"/>
    <mergeCell ref="I210:J210"/>
    <mergeCell ref="K210:L210"/>
    <mergeCell ref="M210:O210"/>
    <mergeCell ref="P210:Q210"/>
    <mergeCell ref="R210:S210"/>
    <mergeCell ref="T210:U210"/>
    <mergeCell ref="V210:W210"/>
    <mergeCell ref="X210:Z210"/>
    <mergeCell ref="V208:W208"/>
    <mergeCell ref="X208:Z208"/>
    <mergeCell ref="AA208:AB208"/>
    <mergeCell ref="I209:J209"/>
    <mergeCell ref="K209:L209"/>
    <mergeCell ref="M209:O209"/>
    <mergeCell ref="P209:Q209"/>
    <mergeCell ref="R209:S209"/>
    <mergeCell ref="T209:U209"/>
    <mergeCell ref="V209:W209"/>
    <mergeCell ref="T207:U207"/>
    <mergeCell ref="V207:W207"/>
    <mergeCell ref="X207:Z207"/>
    <mergeCell ref="AA207:AB207"/>
    <mergeCell ref="I208:J208"/>
    <mergeCell ref="K208:L208"/>
    <mergeCell ref="M208:O208"/>
    <mergeCell ref="P208:Q208"/>
    <mergeCell ref="R208:S208"/>
    <mergeCell ref="T208:U208"/>
    <mergeCell ref="F207:H211"/>
    <mergeCell ref="I207:J207"/>
    <mergeCell ref="K207:L207"/>
    <mergeCell ref="M207:O207"/>
    <mergeCell ref="P207:Q207"/>
    <mergeCell ref="R207:S207"/>
    <mergeCell ref="AF212:AH217"/>
    <mergeCell ref="AJ212:AJ217"/>
    <mergeCell ref="K213:L213"/>
    <mergeCell ref="M213:O213"/>
    <mergeCell ref="P213:Q213"/>
    <mergeCell ref="R213:S213"/>
    <mergeCell ref="T213:U213"/>
    <mergeCell ref="V213:W213"/>
    <mergeCell ref="X213:Z213"/>
    <mergeCell ref="AA213:AB213"/>
    <mergeCell ref="AC212:AD212"/>
    <mergeCell ref="AC213:AD213"/>
    <mergeCell ref="AC214:AD214"/>
    <mergeCell ref="AC215:AD215"/>
    <mergeCell ref="AC216:AD216"/>
    <mergeCell ref="AC217:AD217"/>
    <mergeCell ref="P212:Q212"/>
    <mergeCell ref="R212:S212"/>
    <mergeCell ref="T212:U212"/>
    <mergeCell ref="V212:W212"/>
    <mergeCell ref="X212:Z212"/>
    <mergeCell ref="AA212:AB212"/>
    <mergeCell ref="A212:A217"/>
    <mergeCell ref="B212:D217"/>
    <mergeCell ref="F212:H214"/>
    <mergeCell ref="I212:J214"/>
    <mergeCell ref="K212:L212"/>
    <mergeCell ref="M212:O212"/>
    <mergeCell ref="K214:L214"/>
    <mergeCell ref="M214:O214"/>
    <mergeCell ref="F215:H217"/>
    <mergeCell ref="I215:J217"/>
    <mergeCell ref="AA210:AB210"/>
    <mergeCell ref="I211:J211"/>
    <mergeCell ref="K211:L211"/>
    <mergeCell ref="M211:O211"/>
    <mergeCell ref="P211:Q211"/>
    <mergeCell ref="R211:S211"/>
    <mergeCell ref="T211:U211"/>
    <mergeCell ref="V211:W211"/>
    <mergeCell ref="X211:Z211"/>
    <mergeCell ref="AA211:AB211"/>
    <mergeCell ref="X217:Z217"/>
    <mergeCell ref="AA217:AB217"/>
    <mergeCell ref="A218:A229"/>
    <mergeCell ref="B218:D218"/>
    <mergeCell ref="B219:D219"/>
    <mergeCell ref="B220:D220"/>
    <mergeCell ref="B221:D221"/>
    <mergeCell ref="B222:D222"/>
    <mergeCell ref="B223:D223"/>
    <mergeCell ref="B224:D224"/>
    <mergeCell ref="K217:L217"/>
    <mergeCell ref="M217:O217"/>
    <mergeCell ref="P217:Q217"/>
    <mergeCell ref="R217:S217"/>
    <mergeCell ref="T217:U217"/>
    <mergeCell ref="V217:W217"/>
    <mergeCell ref="X215:Z215"/>
    <mergeCell ref="AA215:AB215"/>
    <mergeCell ref="K216:L216"/>
    <mergeCell ref="M216:O216"/>
    <mergeCell ref="P216:Q216"/>
    <mergeCell ref="R216:S216"/>
    <mergeCell ref="T216:U216"/>
    <mergeCell ref="V216:W216"/>
    <mergeCell ref="X216:Z216"/>
    <mergeCell ref="AA216:AB216"/>
    <mergeCell ref="K215:L215"/>
    <mergeCell ref="M215:O215"/>
    <mergeCell ref="P215:Q215"/>
    <mergeCell ref="R215:S215"/>
    <mergeCell ref="T215:U215"/>
    <mergeCell ref="V215:W215"/>
    <mergeCell ref="P214:Q214"/>
    <mergeCell ref="R214:S214"/>
    <mergeCell ref="T214:U214"/>
    <mergeCell ref="V214:W214"/>
    <mergeCell ref="X214:Z214"/>
    <mergeCell ref="AA214:AB214"/>
    <mergeCell ref="AI237:AJ237"/>
    <mergeCell ref="AI238:AJ238"/>
    <mergeCell ref="AI239:AJ239"/>
    <mergeCell ref="E221:E223"/>
    <mergeCell ref="F221:H223"/>
    <mergeCell ref="I221:J223"/>
    <mergeCell ref="K221:L223"/>
    <mergeCell ref="M221:O223"/>
    <mergeCell ref="P221:Q223"/>
    <mergeCell ref="AI230:AJ230"/>
    <mergeCell ref="AI231:AJ231"/>
    <mergeCell ref="AI232:AJ232"/>
    <mergeCell ref="AI233:AJ233"/>
    <mergeCell ref="AI234:AJ234"/>
    <mergeCell ref="AI235:AJ235"/>
    <mergeCell ref="AI224:AJ224"/>
    <mergeCell ref="AI225:AJ225"/>
    <mergeCell ref="AI226:AJ226"/>
    <mergeCell ref="AI227:AJ227"/>
    <mergeCell ref="AI228:AJ228"/>
    <mergeCell ref="AI229:AJ229"/>
    <mergeCell ref="AC227:AD227"/>
    <mergeCell ref="AC228:AD228"/>
    <mergeCell ref="AC229:AD229"/>
    <mergeCell ref="AF218:AH229"/>
    <mergeCell ref="AI218:AJ218"/>
    <mergeCell ref="AI219:AJ219"/>
    <mergeCell ref="AI220:AJ220"/>
    <mergeCell ref="AI221:AJ221"/>
    <mergeCell ref="AI222:AJ222"/>
    <mergeCell ref="AI223:AJ223"/>
    <mergeCell ref="AC221:AD221"/>
    <mergeCell ref="AC222:AD222"/>
    <mergeCell ref="AC223:AD223"/>
    <mergeCell ref="AC224:AD224"/>
    <mergeCell ref="AC225:AD225"/>
    <mergeCell ref="AC226:AD226"/>
    <mergeCell ref="T218:U220"/>
    <mergeCell ref="V218:W220"/>
    <mergeCell ref="X218:Z220"/>
    <mergeCell ref="AA218:AB220"/>
    <mergeCell ref="AC218:AD218"/>
    <mergeCell ref="AC219:AD219"/>
    <mergeCell ref="AC220:AD220"/>
    <mergeCell ref="F218:H220"/>
    <mergeCell ref="I218:J220"/>
    <mergeCell ref="K218:L220"/>
    <mergeCell ref="M218:O220"/>
    <mergeCell ref="P218:Q220"/>
    <mergeCell ref="R218:S220"/>
    <mergeCell ref="E218:E220"/>
    <mergeCell ref="E227:E229"/>
    <mergeCell ref="T227:U229"/>
    <mergeCell ref="V227:W229"/>
    <mergeCell ref="X227:Z229"/>
    <mergeCell ref="AA227:AB229"/>
    <mergeCell ref="A230:A234"/>
    <mergeCell ref="B230:D234"/>
    <mergeCell ref="E230:E231"/>
    <mergeCell ref="F230:H231"/>
    <mergeCell ref="I230:J231"/>
    <mergeCell ref="K230:L231"/>
    <mergeCell ref="F227:H229"/>
    <mergeCell ref="I227:J229"/>
    <mergeCell ref="K227:L229"/>
    <mergeCell ref="M227:O229"/>
    <mergeCell ref="P227:Q229"/>
    <mergeCell ref="R227:S229"/>
    <mergeCell ref="P224:Q226"/>
    <mergeCell ref="R224:S226"/>
    <mergeCell ref="T224:U226"/>
    <mergeCell ref="V224:W226"/>
    <mergeCell ref="X224:Z226"/>
    <mergeCell ref="AA224:AB226"/>
    <mergeCell ref="R221:S223"/>
    <mergeCell ref="T221:U223"/>
    <mergeCell ref="V221:W223"/>
    <mergeCell ref="X221:Z223"/>
    <mergeCell ref="AA221:AB223"/>
    <mergeCell ref="E224:E226"/>
    <mergeCell ref="F224:H226"/>
    <mergeCell ref="I224:J226"/>
    <mergeCell ref="K224:L226"/>
    <mergeCell ref="M224:O226"/>
    <mergeCell ref="AI236:AJ236"/>
    <mergeCell ref="B225:D225"/>
    <mergeCell ref="B226:D226"/>
    <mergeCell ref="B227:D227"/>
    <mergeCell ref="B228:D228"/>
    <mergeCell ref="B229:D229"/>
    <mergeCell ref="T234:U234"/>
    <mergeCell ref="V234:W234"/>
    <mergeCell ref="X234:Z234"/>
    <mergeCell ref="AA234:AB234"/>
    <mergeCell ref="A235:A239"/>
    <mergeCell ref="B235:D239"/>
    <mergeCell ref="E235:E236"/>
    <mergeCell ref="F235:H236"/>
    <mergeCell ref="I235:J236"/>
    <mergeCell ref="K235:L236"/>
    <mergeCell ref="T233:U233"/>
    <mergeCell ref="V233:W233"/>
    <mergeCell ref="X233:Z233"/>
    <mergeCell ref="AA233:AB233"/>
    <mergeCell ref="F234:H234"/>
    <mergeCell ref="I234:J234"/>
    <mergeCell ref="K234:L234"/>
    <mergeCell ref="M234:O234"/>
    <mergeCell ref="P234:Q234"/>
    <mergeCell ref="R234:S234"/>
    <mergeCell ref="F233:H233"/>
    <mergeCell ref="I233:J233"/>
    <mergeCell ref="K233:L233"/>
    <mergeCell ref="M233:O233"/>
    <mergeCell ref="P233:Q233"/>
    <mergeCell ref="R233:S233"/>
    <mergeCell ref="AF230:AH234"/>
    <mergeCell ref="F232:H232"/>
    <mergeCell ref="I232:J232"/>
    <mergeCell ref="K232:L232"/>
    <mergeCell ref="M232:O232"/>
    <mergeCell ref="P232:Q232"/>
    <mergeCell ref="R232:S232"/>
    <mergeCell ref="T232:U232"/>
    <mergeCell ref="V232:W232"/>
    <mergeCell ref="X232:Z232"/>
    <mergeCell ref="AA230:AB231"/>
    <mergeCell ref="AC230:AD230"/>
    <mergeCell ref="AC231:AD231"/>
    <mergeCell ref="AC232:AD232"/>
    <mergeCell ref="AC233:AD233"/>
    <mergeCell ref="AC234:AD234"/>
    <mergeCell ref="AA232:AB232"/>
    <mergeCell ref="M230:O231"/>
    <mergeCell ref="P230:Q231"/>
    <mergeCell ref="R230:S231"/>
    <mergeCell ref="T230:U231"/>
    <mergeCell ref="V230:W231"/>
    <mergeCell ref="X230:Z231"/>
    <mergeCell ref="T239:U239"/>
    <mergeCell ref="V239:W239"/>
    <mergeCell ref="X239:Z239"/>
    <mergeCell ref="AA239:AB239"/>
    <mergeCell ref="A240:A243"/>
    <mergeCell ref="B240:D243"/>
    <mergeCell ref="F240:H240"/>
    <mergeCell ref="I240:J240"/>
    <mergeCell ref="K240:L240"/>
    <mergeCell ref="M240:O240"/>
    <mergeCell ref="T238:U238"/>
    <mergeCell ref="V238:W238"/>
    <mergeCell ref="X238:Z238"/>
    <mergeCell ref="AA238:AB238"/>
    <mergeCell ref="F239:H239"/>
    <mergeCell ref="I239:J239"/>
    <mergeCell ref="K239:L239"/>
    <mergeCell ref="M239:O239"/>
    <mergeCell ref="P239:Q239"/>
    <mergeCell ref="R239:S239"/>
    <mergeCell ref="F238:H238"/>
    <mergeCell ref="I238:J238"/>
    <mergeCell ref="K238:L238"/>
    <mergeCell ref="M238:O238"/>
    <mergeCell ref="P238:Q238"/>
    <mergeCell ref="R238:S238"/>
    <mergeCell ref="AF235:AH239"/>
    <mergeCell ref="F237:H237"/>
    <mergeCell ref="I237:J237"/>
    <mergeCell ref="K237:L237"/>
    <mergeCell ref="M237:O237"/>
    <mergeCell ref="P237:Q237"/>
    <mergeCell ref="R237:S237"/>
    <mergeCell ref="T237:U237"/>
    <mergeCell ref="V237:W237"/>
    <mergeCell ref="X237:Z237"/>
    <mergeCell ref="AA235:AB236"/>
    <mergeCell ref="AC235:AD235"/>
    <mergeCell ref="AC236:AD236"/>
    <mergeCell ref="AC237:AD237"/>
    <mergeCell ref="AC238:AD238"/>
    <mergeCell ref="AC239:AD239"/>
    <mergeCell ref="AA237:AB237"/>
    <mergeCell ref="M235:O236"/>
    <mergeCell ref="P235:Q236"/>
    <mergeCell ref="R235:S236"/>
    <mergeCell ref="T235:U236"/>
    <mergeCell ref="V235:W236"/>
    <mergeCell ref="X235:Z236"/>
    <mergeCell ref="V243:W243"/>
    <mergeCell ref="X243:Z243"/>
    <mergeCell ref="AA243:AB243"/>
    <mergeCell ref="A244:A247"/>
    <mergeCell ref="B244:D247"/>
    <mergeCell ref="F244:H244"/>
    <mergeCell ref="I244:J244"/>
    <mergeCell ref="K244:L244"/>
    <mergeCell ref="M244:O244"/>
    <mergeCell ref="P244:Q244"/>
    <mergeCell ref="V242:W242"/>
    <mergeCell ref="X242:Z242"/>
    <mergeCell ref="AA242:AB242"/>
    <mergeCell ref="F243:H243"/>
    <mergeCell ref="I243:J243"/>
    <mergeCell ref="K243:L243"/>
    <mergeCell ref="M243:O243"/>
    <mergeCell ref="P243:Q243"/>
    <mergeCell ref="R243:S243"/>
    <mergeCell ref="T243:U243"/>
    <mergeCell ref="V241:W241"/>
    <mergeCell ref="X241:Z241"/>
    <mergeCell ref="AA241:AB241"/>
    <mergeCell ref="F242:H242"/>
    <mergeCell ref="I242:J242"/>
    <mergeCell ref="K242:L242"/>
    <mergeCell ref="M242:O242"/>
    <mergeCell ref="P242:Q242"/>
    <mergeCell ref="R242:S242"/>
    <mergeCell ref="T242:U242"/>
    <mergeCell ref="AC246:AD246"/>
    <mergeCell ref="AC247:AD247"/>
    <mergeCell ref="AF240:AH247"/>
    <mergeCell ref="F241:H241"/>
    <mergeCell ref="I241:J241"/>
    <mergeCell ref="K241:L241"/>
    <mergeCell ref="M241:O241"/>
    <mergeCell ref="P241:Q241"/>
    <mergeCell ref="R241:S241"/>
    <mergeCell ref="T241:U241"/>
    <mergeCell ref="AC240:AD240"/>
    <mergeCell ref="AC241:AD241"/>
    <mergeCell ref="AC242:AD242"/>
    <mergeCell ref="AC243:AD243"/>
    <mergeCell ref="AC244:AD244"/>
    <mergeCell ref="AC245:AD245"/>
    <mergeCell ref="P240:Q240"/>
    <mergeCell ref="R240:S240"/>
    <mergeCell ref="T240:U240"/>
    <mergeCell ref="V240:W240"/>
    <mergeCell ref="X240:Z240"/>
    <mergeCell ref="AA240:AB240"/>
    <mergeCell ref="R247:S247"/>
    <mergeCell ref="T247:U247"/>
    <mergeCell ref="V247:W247"/>
    <mergeCell ref="X247:Z247"/>
    <mergeCell ref="AA247:AB247"/>
    <mergeCell ref="A248:A256"/>
    <mergeCell ref="B248:D256"/>
    <mergeCell ref="F248:H250"/>
    <mergeCell ref="I248:J250"/>
    <mergeCell ref="K248:L248"/>
    <mergeCell ref="R246:S246"/>
    <mergeCell ref="T246:U246"/>
    <mergeCell ref="V246:W246"/>
    <mergeCell ref="X246:Z246"/>
    <mergeCell ref="AA246:AB246"/>
    <mergeCell ref="F247:H247"/>
    <mergeCell ref="I247:J247"/>
    <mergeCell ref="K247:L247"/>
    <mergeCell ref="M247:O247"/>
    <mergeCell ref="P247:Q247"/>
    <mergeCell ref="R245:S245"/>
    <mergeCell ref="T245:U245"/>
    <mergeCell ref="V245:W245"/>
    <mergeCell ref="X245:Z245"/>
    <mergeCell ref="AA245:AB245"/>
    <mergeCell ref="F246:H246"/>
    <mergeCell ref="I246:J246"/>
    <mergeCell ref="K246:L246"/>
    <mergeCell ref="M246:O246"/>
    <mergeCell ref="P246:Q246"/>
    <mergeCell ref="R244:S244"/>
    <mergeCell ref="T244:U244"/>
    <mergeCell ref="V244:W244"/>
    <mergeCell ref="X244:Z244"/>
    <mergeCell ref="AA244:AB244"/>
    <mergeCell ref="F245:H245"/>
    <mergeCell ref="I245:J245"/>
    <mergeCell ref="K245:L245"/>
    <mergeCell ref="M245:O245"/>
    <mergeCell ref="P245:Q245"/>
    <mergeCell ref="X250:Z250"/>
    <mergeCell ref="AA250:AB250"/>
    <mergeCell ref="F251:H253"/>
    <mergeCell ref="I251:J253"/>
    <mergeCell ref="K251:L251"/>
    <mergeCell ref="M251:O251"/>
    <mergeCell ref="P251:Q251"/>
    <mergeCell ref="R251:S251"/>
    <mergeCell ref="T251:U251"/>
    <mergeCell ref="V251:W251"/>
    <mergeCell ref="K250:L250"/>
    <mergeCell ref="M250:O250"/>
    <mergeCell ref="P250:Q250"/>
    <mergeCell ref="R250:S250"/>
    <mergeCell ref="T250:U250"/>
    <mergeCell ref="V250:W250"/>
    <mergeCell ref="AF254:AH254"/>
    <mergeCell ref="AF255:AH255"/>
    <mergeCell ref="AF256:AH256"/>
    <mergeCell ref="K249:L249"/>
    <mergeCell ref="M249:O249"/>
    <mergeCell ref="P249:Q249"/>
    <mergeCell ref="R249:S249"/>
    <mergeCell ref="T249:U249"/>
    <mergeCell ref="V249:W249"/>
    <mergeCell ref="X249:Z249"/>
    <mergeCell ref="AC253:AD253"/>
    <mergeCell ref="AC254:AD254"/>
    <mergeCell ref="AC255:AD255"/>
    <mergeCell ref="AC256:AD256"/>
    <mergeCell ref="AF248:AH248"/>
    <mergeCell ref="AF249:AH249"/>
    <mergeCell ref="AF250:AH250"/>
    <mergeCell ref="AF251:AH251"/>
    <mergeCell ref="AF252:AH252"/>
    <mergeCell ref="AF253:AH253"/>
    <mergeCell ref="AA248:AB248"/>
    <mergeCell ref="AC248:AD248"/>
    <mergeCell ref="AC249:AD249"/>
    <mergeCell ref="AC250:AD250"/>
    <mergeCell ref="AC251:AD251"/>
    <mergeCell ref="AC252:AD252"/>
    <mergeCell ref="AA249:AB249"/>
    <mergeCell ref="M248:O248"/>
    <mergeCell ref="P248:Q248"/>
    <mergeCell ref="R248:S248"/>
    <mergeCell ref="T248:U248"/>
    <mergeCell ref="V248:W248"/>
    <mergeCell ref="X248:Z248"/>
    <mergeCell ref="X254:Z254"/>
    <mergeCell ref="AA254:AB254"/>
    <mergeCell ref="K255:L255"/>
    <mergeCell ref="M255:O255"/>
    <mergeCell ref="P255:Q255"/>
    <mergeCell ref="R255:S255"/>
    <mergeCell ref="T255:U255"/>
    <mergeCell ref="V255:W255"/>
    <mergeCell ref="X255:Z255"/>
    <mergeCell ref="AA255:AB255"/>
    <mergeCell ref="X253:Z253"/>
    <mergeCell ref="AA253:AB253"/>
    <mergeCell ref="F254:H256"/>
    <mergeCell ref="I254:J256"/>
    <mergeCell ref="K254:L254"/>
    <mergeCell ref="M254:O254"/>
    <mergeCell ref="P254:Q254"/>
    <mergeCell ref="R254:S254"/>
    <mergeCell ref="T254:U254"/>
    <mergeCell ref="V254:W254"/>
    <mergeCell ref="K253:L253"/>
    <mergeCell ref="M253:O253"/>
    <mergeCell ref="P253:Q253"/>
    <mergeCell ref="R253:S253"/>
    <mergeCell ref="T253:U253"/>
    <mergeCell ref="V253:W253"/>
    <mergeCell ref="X251:Z251"/>
    <mergeCell ref="AA251:AB251"/>
    <mergeCell ref="K252:L252"/>
    <mergeCell ref="M252:O252"/>
    <mergeCell ref="P252:Q252"/>
    <mergeCell ref="R252:S252"/>
    <mergeCell ref="T252:U252"/>
    <mergeCell ref="V252:W252"/>
    <mergeCell ref="X252:Z252"/>
    <mergeCell ref="AA252:AB252"/>
    <mergeCell ref="AC273:AD273"/>
    <mergeCell ref="AC274:AD274"/>
    <mergeCell ref="AF257:AH274"/>
    <mergeCell ref="AI257:AI274"/>
    <mergeCell ref="AC265:AD265"/>
    <mergeCell ref="AC266:AD266"/>
    <mergeCell ref="AC267:AD267"/>
    <mergeCell ref="AC268:AD268"/>
    <mergeCell ref="AC269:AD269"/>
    <mergeCell ref="AC270:AD270"/>
    <mergeCell ref="AC259:AD259"/>
    <mergeCell ref="AC260:AD260"/>
    <mergeCell ref="AC261:AD261"/>
    <mergeCell ref="AC262:AD262"/>
    <mergeCell ref="AC263:AD263"/>
    <mergeCell ref="AC264:AD264"/>
    <mergeCell ref="T257:U257"/>
    <mergeCell ref="V257:W257"/>
    <mergeCell ref="X257:Z257"/>
    <mergeCell ref="AA257:AB257"/>
    <mergeCell ref="AC257:AD257"/>
    <mergeCell ref="AC258:AD258"/>
    <mergeCell ref="X258:Z258"/>
    <mergeCell ref="AA258:AB258"/>
    <mergeCell ref="X256:Z256"/>
    <mergeCell ref="AA256:AB256"/>
    <mergeCell ref="A257:A274"/>
    <mergeCell ref="B257:D274"/>
    <mergeCell ref="F257:H274"/>
    <mergeCell ref="I257:J259"/>
    <mergeCell ref="K257:L257"/>
    <mergeCell ref="M257:O257"/>
    <mergeCell ref="P257:Q257"/>
    <mergeCell ref="R257:S257"/>
    <mergeCell ref="K256:L256"/>
    <mergeCell ref="M256:O256"/>
    <mergeCell ref="P256:Q256"/>
    <mergeCell ref="R256:S256"/>
    <mergeCell ref="T256:U256"/>
    <mergeCell ref="V256:W256"/>
    <mergeCell ref="AA260:AB260"/>
    <mergeCell ref="K261:L261"/>
    <mergeCell ref="M261:O261"/>
    <mergeCell ref="P261:Q261"/>
    <mergeCell ref="R261:S261"/>
    <mergeCell ref="T261:U261"/>
    <mergeCell ref="V261:W261"/>
    <mergeCell ref="X261:Z261"/>
    <mergeCell ref="AA261:AB261"/>
    <mergeCell ref="X259:Z259"/>
    <mergeCell ref="AA259:AB259"/>
    <mergeCell ref="I260:J262"/>
    <mergeCell ref="K260:L260"/>
    <mergeCell ref="M260:O260"/>
    <mergeCell ref="P260:Q260"/>
    <mergeCell ref="R260:S260"/>
    <mergeCell ref="T260:U260"/>
    <mergeCell ref="V260:W260"/>
    <mergeCell ref="X260:Z260"/>
    <mergeCell ref="K259:L259"/>
    <mergeCell ref="M259:O259"/>
    <mergeCell ref="P259:Q259"/>
    <mergeCell ref="R259:S259"/>
    <mergeCell ref="T259:U259"/>
    <mergeCell ref="V259:W259"/>
    <mergeCell ref="K258:L258"/>
    <mergeCell ref="M258:O258"/>
    <mergeCell ref="P258:Q258"/>
    <mergeCell ref="R258:S258"/>
    <mergeCell ref="T258:U258"/>
    <mergeCell ref="V258:W258"/>
    <mergeCell ref="AC271:AD271"/>
    <mergeCell ref="AC272:AD272"/>
    <mergeCell ref="X265:Z265"/>
    <mergeCell ref="AA265:AB265"/>
    <mergeCell ref="I266:J268"/>
    <mergeCell ref="K266:L266"/>
    <mergeCell ref="M266:O266"/>
    <mergeCell ref="P266:Q266"/>
    <mergeCell ref="R266:S266"/>
    <mergeCell ref="T266:U266"/>
    <mergeCell ref="V266:W266"/>
    <mergeCell ref="X266:Z266"/>
    <mergeCell ref="K265:L265"/>
    <mergeCell ref="M265:O265"/>
    <mergeCell ref="P265:Q265"/>
    <mergeCell ref="R265:S265"/>
    <mergeCell ref="T265:U265"/>
    <mergeCell ref="V265:W265"/>
    <mergeCell ref="AA263:AB263"/>
    <mergeCell ref="K264:L264"/>
    <mergeCell ref="M264:O264"/>
    <mergeCell ref="P264:Q264"/>
    <mergeCell ref="R264:S264"/>
    <mergeCell ref="T264:U264"/>
    <mergeCell ref="V264:W264"/>
    <mergeCell ref="X264:Z264"/>
    <mergeCell ref="AA264:AB264"/>
    <mergeCell ref="X262:Z262"/>
    <mergeCell ref="AA262:AB262"/>
    <mergeCell ref="I263:J265"/>
    <mergeCell ref="K263:L263"/>
    <mergeCell ref="M263:O263"/>
    <mergeCell ref="P263:Q263"/>
    <mergeCell ref="R263:S263"/>
    <mergeCell ref="T263:U263"/>
    <mergeCell ref="V263:W263"/>
    <mergeCell ref="X263:Z263"/>
    <mergeCell ref="K262:L262"/>
    <mergeCell ref="M262:O262"/>
    <mergeCell ref="P262:Q262"/>
    <mergeCell ref="R262:S262"/>
    <mergeCell ref="T262:U262"/>
    <mergeCell ref="V262:W262"/>
    <mergeCell ref="AA269:AB269"/>
    <mergeCell ref="K270:L270"/>
    <mergeCell ref="M270:O270"/>
    <mergeCell ref="P270:Q270"/>
    <mergeCell ref="R270:S270"/>
    <mergeCell ref="T270:U270"/>
    <mergeCell ref="V270:W270"/>
    <mergeCell ref="X270:Z270"/>
    <mergeCell ref="AA270:AB270"/>
    <mergeCell ref="X268:Z268"/>
    <mergeCell ref="AA268:AB268"/>
    <mergeCell ref="I269:J271"/>
    <mergeCell ref="K269:L269"/>
    <mergeCell ref="M269:O269"/>
    <mergeCell ref="P269:Q269"/>
    <mergeCell ref="R269:S269"/>
    <mergeCell ref="T269:U269"/>
    <mergeCell ref="V269:W269"/>
    <mergeCell ref="X269:Z269"/>
    <mergeCell ref="K268:L268"/>
    <mergeCell ref="M268:O268"/>
    <mergeCell ref="P268:Q268"/>
    <mergeCell ref="R268:S268"/>
    <mergeCell ref="T268:U268"/>
    <mergeCell ref="V268:W268"/>
    <mergeCell ref="AA266:AB266"/>
    <mergeCell ref="K267:L267"/>
    <mergeCell ref="M267:O267"/>
    <mergeCell ref="P267:Q267"/>
    <mergeCell ref="R267:S267"/>
    <mergeCell ref="T267:U267"/>
    <mergeCell ref="V267:W267"/>
    <mergeCell ref="X267:Z267"/>
    <mergeCell ref="AA267:AB267"/>
    <mergeCell ref="X274:Z274"/>
    <mergeCell ref="AA274:AB274"/>
    <mergeCell ref="A275:A278"/>
    <mergeCell ref="B275:D278"/>
    <mergeCell ref="F275:H275"/>
    <mergeCell ref="I275:J275"/>
    <mergeCell ref="K275:L275"/>
    <mergeCell ref="M275:O275"/>
    <mergeCell ref="P275:Q275"/>
    <mergeCell ref="R275:S275"/>
    <mergeCell ref="K274:L274"/>
    <mergeCell ref="M274:O274"/>
    <mergeCell ref="P274:Q274"/>
    <mergeCell ref="R274:S274"/>
    <mergeCell ref="T274:U274"/>
    <mergeCell ref="V274:W274"/>
    <mergeCell ref="AA272:AB272"/>
    <mergeCell ref="K273:L273"/>
    <mergeCell ref="M273:O273"/>
    <mergeCell ref="P273:Q273"/>
    <mergeCell ref="R273:S273"/>
    <mergeCell ref="T273:U273"/>
    <mergeCell ref="V273:W273"/>
    <mergeCell ref="X273:Z273"/>
    <mergeCell ref="AA273:AB273"/>
    <mergeCell ref="X271:Z271"/>
    <mergeCell ref="AA271:AB271"/>
    <mergeCell ref="I272:J274"/>
    <mergeCell ref="K272:L272"/>
    <mergeCell ref="M272:O272"/>
    <mergeCell ref="P272:Q272"/>
    <mergeCell ref="R272:S272"/>
    <mergeCell ref="T272:U272"/>
    <mergeCell ref="V272:W272"/>
    <mergeCell ref="X272:Z272"/>
    <mergeCell ref="K271:L271"/>
    <mergeCell ref="M271:O271"/>
    <mergeCell ref="P271:Q271"/>
    <mergeCell ref="R271:S271"/>
    <mergeCell ref="T271:U271"/>
    <mergeCell ref="V271:W271"/>
    <mergeCell ref="T278:U278"/>
    <mergeCell ref="V278:W278"/>
    <mergeCell ref="X278:Z278"/>
    <mergeCell ref="AA278:AB278"/>
    <mergeCell ref="A279:A283"/>
    <mergeCell ref="B279:D283"/>
    <mergeCell ref="F279:H280"/>
    <mergeCell ref="I279:J280"/>
    <mergeCell ref="K279:L280"/>
    <mergeCell ref="M279:O279"/>
    <mergeCell ref="T277:U277"/>
    <mergeCell ref="V277:W277"/>
    <mergeCell ref="X277:Z277"/>
    <mergeCell ref="AA277:AB277"/>
    <mergeCell ref="F278:H278"/>
    <mergeCell ref="I278:J278"/>
    <mergeCell ref="K278:L278"/>
    <mergeCell ref="M278:O278"/>
    <mergeCell ref="P278:Q278"/>
    <mergeCell ref="R278:S278"/>
    <mergeCell ref="F277:H277"/>
    <mergeCell ref="I277:J277"/>
    <mergeCell ref="K277:L277"/>
    <mergeCell ref="M277:O277"/>
    <mergeCell ref="P277:Q277"/>
    <mergeCell ref="R277:S277"/>
    <mergeCell ref="AC277:AD277"/>
    <mergeCell ref="AC278:AD278"/>
    <mergeCell ref="AF275:AH278"/>
    <mergeCell ref="F276:H276"/>
    <mergeCell ref="I276:J276"/>
    <mergeCell ref="K276:L276"/>
    <mergeCell ref="M276:O276"/>
    <mergeCell ref="P276:Q276"/>
    <mergeCell ref="R276:S276"/>
    <mergeCell ref="T276:U276"/>
    <mergeCell ref="T275:U275"/>
    <mergeCell ref="V275:W275"/>
    <mergeCell ref="X275:Z275"/>
    <mergeCell ref="AA275:AB275"/>
    <mergeCell ref="AC275:AD275"/>
    <mergeCell ref="AC276:AD276"/>
    <mergeCell ref="V276:W276"/>
    <mergeCell ref="X276:Z276"/>
    <mergeCell ref="AA276:AB276"/>
    <mergeCell ref="A284:A292"/>
    <mergeCell ref="B284:D292"/>
    <mergeCell ref="E284:E285"/>
    <mergeCell ref="F284:H287"/>
    <mergeCell ref="I284:J287"/>
    <mergeCell ref="K284:L287"/>
    <mergeCell ref="V281:W281"/>
    <mergeCell ref="X281:Z281"/>
    <mergeCell ref="AA281:AB281"/>
    <mergeCell ref="M282:O282"/>
    <mergeCell ref="P282:Q282"/>
    <mergeCell ref="R282:S282"/>
    <mergeCell ref="T282:U282"/>
    <mergeCell ref="V282:W282"/>
    <mergeCell ref="X282:Z282"/>
    <mergeCell ref="AA282:AB282"/>
    <mergeCell ref="F281:H283"/>
    <mergeCell ref="I281:J283"/>
    <mergeCell ref="K281:L283"/>
    <mergeCell ref="M281:O281"/>
    <mergeCell ref="P281:Q281"/>
    <mergeCell ref="R281:S281"/>
    <mergeCell ref="M283:O283"/>
    <mergeCell ref="P283:Q283"/>
    <mergeCell ref="R283:S283"/>
    <mergeCell ref="AF279:AH283"/>
    <mergeCell ref="AI279:AI283"/>
    <mergeCell ref="M280:O280"/>
    <mergeCell ref="P280:Q280"/>
    <mergeCell ref="R280:S280"/>
    <mergeCell ref="T280:U280"/>
    <mergeCell ref="V280:W280"/>
    <mergeCell ref="X280:Z280"/>
    <mergeCell ref="AA280:AB280"/>
    <mergeCell ref="T281:U281"/>
    <mergeCell ref="AC279:AD279"/>
    <mergeCell ref="AC280:AD280"/>
    <mergeCell ref="AC281:AD281"/>
    <mergeCell ref="AC282:AD282"/>
    <mergeCell ref="AC283:AD283"/>
    <mergeCell ref="AE279:AE283"/>
    <mergeCell ref="P279:Q279"/>
    <mergeCell ref="R279:S279"/>
    <mergeCell ref="T279:U279"/>
    <mergeCell ref="V279:W279"/>
    <mergeCell ref="X279:Z279"/>
    <mergeCell ref="AA279:AB279"/>
    <mergeCell ref="AJ284:AL284"/>
    <mergeCell ref="AJ285:AL285"/>
    <mergeCell ref="AJ286:AL286"/>
    <mergeCell ref="AJ287:AL287"/>
    <mergeCell ref="AJ291:AL291"/>
    <mergeCell ref="AJ292:AL292"/>
    <mergeCell ref="AC289:AD289"/>
    <mergeCell ref="AC290:AD290"/>
    <mergeCell ref="AC291:AD291"/>
    <mergeCell ref="AC292:AD292"/>
    <mergeCell ref="AF284:AH284"/>
    <mergeCell ref="AF285:AH285"/>
    <mergeCell ref="AF286:AH286"/>
    <mergeCell ref="AF287:AH287"/>
    <mergeCell ref="AF288:AH288"/>
    <mergeCell ref="AF289:AH289"/>
    <mergeCell ref="AA284:AB285"/>
    <mergeCell ref="AC284:AD284"/>
    <mergeCell ref="AC285:AD285"/>
    <mergeCell ref="AC286:AD286"/>
    <mergeCell ref="AC287:AD287"/>
    <mergeCell ref="AC288:AD288"/>
    <mergeCell ref="AA286:AB286"/>
    <mergeCell ref="M284:O285"/>
    <mergeCell ref="P284:Q285"/>
    <mergeCell ref="R284:S285"/>
    <mergeCell ref="T284:U285"/>
    <mergeCell ref="V284:W285"/>
    <mergeCell ref="X284:Z285"/>
    <mergeCell ref="T283:U283"/>
    <mergeCell ref="V283:W283"/>
    <mergeCell ref="X283:Z283"/>
    <mergeCell ref="AA283:AB283"/>
    <mergeCell ref="T288:U289"/>
    <mergeCell ref="V288:W289"/>
    <mergeCell ref="X288:Z289"/>
    <mergeCell ref="AA288:AB289"/>
    <mergeCell ref="AJ288:AL288"/>
    <mergeCell ref="AJ289:AL289"/>
    <mergeCell ref="E288:E289"/>
    <mergeCell ref="F288:H292"/>
    <mergeCell ref="I288:J292"/>
    <mergeCell ref="K288:L292"/>
    <mergeCell ref="M288:O289"/>
    <mergeCell ref="P288:Q289"/>
    <mergeCell ref="M290:O290"/>
    <mergeCell ref="P290:Q290"/>
    <mergeCell ref="E291:E292"/>
    <mergeCell ref="M291:O292"/>
    <mergeCell ref="AE286:AE292"/>
    <mergeCell ref="AI286:AI292"/>
    <mergeCell ref="M287:O287"/>
    <mergeCell ref="P287:Q287"/>
    <mergeCell ref="R287:S287"/>
    <mergeCell ref="T287:U287"/>
    <mergeCell ref="V287:W287"/>
    <mergeCell ref="X287:Z287"/>
    <mergeCell ref="AA287:AB287"/>
    <mergeCell ref="R288:S289"/>
    <mergeCell ref="M286:O286"/>
    <mergeCell ref="P286:Q286"/>
    <mergeCell ref="R286:S286"/>
    <mergeCell ref="T286:U286"/>
    <mergeCell ref="V286:W286"/>
    <mergeCell ref="X286:Z286"/>
    <mergeCell ref="AF290:AH290"/>
    <mergeCell ref="AF291:AH291"/>
    <mergeCell ref="AF292:AH292"/>
    <mergeCell ref="AJ311:AL311"/>
    <mergeCell ref="AJ312:AL312"/>
    <mergeCell ref="AJ313:AL313"/>
    <mergeCell ref="AJ314:AL314"/>
    <mergeCell ref="AJ315:AL315"/>
    <mergeCell ref="AJ316:AL316"/>
    <mergeCell ref="AJ305:AL305"/>
    <mergeCell ref="AJ306:AL306"/>
    <mergeCell ref="AJ307:AL307"/>
    <mergeCell ref="AJ308:AL308"/>
    <mergeCell ref="AJ309:AL309"/>
    <mergeCell ref="AJ310:AL310"/>
    <mergeCell ref="AJ299:AL299"/>
    <mergeCell ref="AJ300:AL300"/>
    <mergeCell ref="AJ301:AL301"/>
    <mergeCell ref="AJ302:AL302"/>
    <mergeCell ref="AJ303:AL303"/>
    <mergeCell ref="AJ304:AL304"/>
    <mergeCell ref="AJ293:AL293"/>
    <mergeCell ref="AJ294:AL294"/>
    <mergeCell ref="AJ295:AL295"/>
    <mergeCell ref="AJ296:AL296"/>
    <mergeCell ref="AJ297:AL297"/>
    <mergeCell ref="AJ298:AL298"/>
    <mergeCell ref="P291:Q292"/>
    <mergeCell ref="R291:S292"/>
    <mergeCell ref="T291:U292"/>
    <mergeCell ref="V291:W292"/>
    <mergeCell ref="X291:Z292"/>
    <mergeCell ref="AA291:AB292"/>
    <mergeCell ref="R290:S290"/>
    <mergeCell ref="T290:U290"/>
    <mergeCell ref="V290:W290"/>
    <mergeCell ref="X290:Z290"/>
    <mergeCell ref="AA290:AB290"/>
    <mergeCell ref="AJ290:AL290"/>
    <mergeCell ref="P295:Q295"/>
    <mergeCell ref="R295:S295"/>
    <mergeCell ref="T295:U295"/>
    <mergeCell ref="V295:W295"/>
    <mergeCell ref="X295:Z295"/>
    <mergeCell ref="AA295:AB295"/>
    <mergeCell ref="AF293:AH304"/>
    <mergeCell ref="AI293:AI395"/>
    <mergeCell ref="K294:L294"/>
    <mergeCell ref="M294:O294"/>
    <mergeCell ref="P294:Q294"/>
    <mergeCell ref="R294:S294"/>
    <mergeCell ref="T294:U294"/>
    <mergeCell ref="V294:W294"/>
    <mergeCell ref="X294:Z294"/>
    <mergeCell ref="AA294:AB294"/>
    <mergeCell ref="AC299:AD299"/>
    <mergeCell ref="AC300:AD300"/>
    <mergeCell ref="AC301:AD301"/>
    <mergeCell ref="AC302:AD302"/>
    <mergeCell ref="AC303:AD303"/>
    <mergeCell ref="AC304:AD304"/>
    <mergeCell ref="AC293:AD293"/>
    <mergeCell ref="AC294:AD294"/>
    <mergeCell ref="AC295:AD295"/>
    <mergeCell ref="AC296:AD296"/>
    <mergeCell ref="AC297:AD297"/>
    <mergeCell ref="AC298:AD298"/>
    <mergeCell ref="P293:Q293"/>
    <mergeCell ref="R293:S293"/>
    <mergeCell ref="T293:U293"/>
    <mergeCell ref="V293:W293"/>
    <mergeCell ref="X293:Z293"/>
    <mergeCell ref="AA293:AB293"/>
    <mergeCell ref="K293:L293"/>
    <mergeCell ref="M293:O293"/>
    <mergeCell ref="K295:L295"/>
    <mergeCell ref="M295:O295"/>
    <mergeCell ref="X299:Z299"/>
    <mergeCell ref="AA299:AB299"/>
    <mergeCell ref="K300:L300"/>
    <mergeCell ref="M300:O300"/>
    <mergeCell ref="P300:Q300"/>
    <mergeCell ref="R300:S300"/>
    <mergeCell ref="T300:U300"/>
    <mergeCell ref="V300:W300"/>
    <mergeCell ref="X300:Z300"/>
    <mergeCell ref="AA300:AB300"/>
    <mergeCell ref="X298:Z298"/>
    <mergeCell ref="AA298:AB298"/>
    <mergeCell ref="F299:H301"/>
    <mergeCell ref="I299:J301"/>
    <mergeCell ref="K299:L299"/>
    <mergeCell ref="M299:O299"/>
    <mergeCell ref="P299:Q299"/>
    <mergeCell ref="R299:S299"/>
    <mergeCell ref="T299:U299"/>
    <mergeCell ref="V299:W299"/>
    <mergeCell ref="K298:L298"/>
    <mergeCell ref="M298:O298"/>
    <mergeCell ref="P298:Q298"/>
    <mergeCell ref="R298:S298"/>
    <mergeCell ref="T298:U298"/>
    <mergeCell ref="V298:W298"/>
    <mergeCell ref="X296:Z296"/>
    <mergeCell ref="AA296:AB296"/>
    <mergeCell ref="K297:L297"/>
    <mergeCell ref="M297:O297"/>
    <mergeCell ref="P297:Q297"/>
    <mergeCell ref="R297:S297"/>
    <mergeCell ref="T297:U297"/>
    <mergeCell ref="V297:W297"/>
    <mergeCell ref="X297:Z297"/>
    <mergeCell ref="AA297:AB297"/>
    <mergeCell ref="K296:L296"/>
    <mergeCell ref="M296:O296"/>
    <mergeCell ref="P296:Q296"/>
    <mergeCell ref="R296:S296"/>
    <mergeCell ref="T296:U296"/>
    <mergeCell ref="V296:W296"/>
    <mergeCell ref="F296:H298"/>
    <mergeCell ref="I296:J298"/>
    <mergeCell ref="X304:Z304"/>
    <mergeCell ref="AA304:AB304"/>
    <mergeCell ref="A305:A312"/>
    <mergeCell ref="B305:D312"/>
    <mergeCell ref="F305:H305"/>
    <mergeCell ref="I305:J305"/>
    <mergeCell ref="K305:L305"/>
    <mergeCell ref="M305:O305"/>
    <mergeCell ref="P305:Q305"/>
    <mergeCell ref="R305:S305"/>
    <mergeCell ref="K304:L304"/>
    <mergeCell ref="M304:O304"/>
    <mergeCell ref="P304:Q304"/>
    <mergeCell ref="R304:S304"/>
    <mergeCell ref="T304:U304"/>
    <mergeCell ref="V304:W304"/>
    <mergeCell ref="X302:Z302"/>
    <mergeCell ref="AA302:AB302"/>
    <mergeCell ref="K303:L303"/>
    <mergeCell ref="M303:O303"/>
    <mergeCell ref="P303:Q303"/>
    <mergeCell ref="R303:S303"/>
    <mergeCell ref="T303:U303"/>
    <mergeCell ref="V303:W303"/>
    <mergeCell ref="X303:Z303"/>
    <mergeCell ref="AA303:AB303"/>
    <mergeCell ref="X301:Z301"/>
    <mergeCell ref="AA301:AB301"/>
    <mergeCell ref="F302:H304"/>
    <mergeCell ref="I302:J304"/>
    <mergeCell ref="K302:L302"/>
    <mergeCell ref="M302:O302"/>
    <mergeCell ref="P302:Q302"/>
    <mergeCell ref="R302:S302"/>
    <mergeCell ref="T302:U302"/>
    <mergeCell ref="V302:W302"/>
    <mergeCell ref="K301:L301"/>
    <mergeCell ref="M301:O301"/>
    <mergeCell ref="P301:Q301"/>
    <mergeCell ref="R301:S301"/>
    <mergeCell ref="T301:U301"/>
    <mergeCell ref="V301:W301"/>
    <mergeCell ref="A293:A304"/>
    <mergeCell ref="B293:D304"/>
    <mergeCell ref="F293:H295"/>
    <mergeCell ref="I293:J295"/>
    <mergeCell ref="T307:U307"/>
    <mergeCell ref="V307:W307"/>
    <mergeCell ref="X307:Z307"/>
    <mergeCell ref="AA307:AB307"/>
    <mergeCell ref="F308:H308"/>
    <mergeCell ref="I308:J308"/>
    <mergeCell ref="K308:L308"/>
    <mergeCell ref="M308:O308"/>
    <mergeCell ref="P308:Q308"/>
    <mergeCell ref="R308:S308"/>
    <mergeCell ref="F307:H307"/>
    <mergeCell ref="I307:J307"/>
    <mergeCell ref="K307:L307"/>
    <mergeCell ref="M307:O307"/>
    <mergeCell ref="P307:Q307"/>
    <mergeCell ref="R307:S307"/>
    <mergeCell ref="AF305:AH312"/>
    <mergeCell ref="F306:H306"/>
    <mergeCell ref="I306:J306"/>
    <mergeCell ref="K306:L306"/>
    <mergeCell ref="M306:O306"/>
    <mergeCell ref="P306:Q306"/>
    <mergeCell ref="R306:S306"/>
    <mergeCell ref="T306:U306"/>
    <mergeCell ref="V306:W306"/>
    <mergeCell ref="X306:Z306"/>
    <mergeCell ref="AC307:AD307"/>
    <mergeCell ref="AC308:AD308"/>
    <mergeCell ref="AC309:AD309"/>
    <mergeCell ref="AC310:AD310"/>
    <mergeCell ref="AC311:AD311"/>
    <mergeCell ref="AC312:AD312"/>
    <mergeCell ref="T305:U305"/>
    <mergeCell ref="V305:W305"/>
    <mergeCell ref="X305:Z305"/>
    <mergeCell ref="AA305:AB305"/>
    <mergeCell ref="AC305:AD305"/>
    <mergeCell ref="AC306:AD306"/>
    <mergeCell ref="AA306:AB306"/>
    <mergeCell ref="T311:U311"/>
    <mergeCell ref="V311:W311"/>
    <mergeCell ref="X311:Z311"/>
    <mergeCell ref="AA311:AB311"/>
    <mergeCell ref="F312:H312"/>
    <mergeCell ref="I312:J312"/>
    <mergeCell ref="K312:L312"/>
    <mergeCell ref="M312:O312"/>
    <mergeCell ref="P312:Q312"/>
    <mergeCell ref="R312:S312"/>
    <mergeCell ref="T310:U310"/>
    <mergeCell ref="V310:W310"/>
    <mergeCell ref="X310:Z310"/>
    <mergeCell ref="AA310:AB310"/>
    <mergeCell ref="F311:H311"/>
    <mergeCell ref="I311:J311"/>
    <mergeCell ref="K311:L311"/>
    <mergeCell ref="M311:O311"/>
    <mergeCell ref="P311:Q311"/>
    <mergeCell ref="R311:S311"/>
    <mergeCell ref="T309:U309"/>
    <mergeCell ref="V309:W309"/>
    <mergeCell ref="X309:Z309"/>
    <mergeCell ref="AA309:AB309"/>
    <mergeCell ref="F310:H310"/>
    <mergeCell ref="I310:J310"/>
    <mergeCell ref="K310:L310"/>
    <mergeCell ref="M310:O310"/>
    <mergeCell ref="P310:Q310"/>
    <mergeCell ref="R310:S310"/>
    <mergeCell ref="T308:U308"/>
    <mergeCell ref="V308:W308"/>
    <mergeCell ref="X308:Z308"/>
    <mergeCell ref="AA308:AB308"/>
    <mergeCell ref="F309:H309"/>
    <mergeCell ref="I309:J309"/>
    <mergeCell ref="K309:L309"/>
    <mergeCell ref="M309:O309"/>
    <mergeCell ref="P309:Q309"/>
    <mergeCell ref="R309:S309"/>
    <mergeCell ref="X314:Z314"/>
    <mergeCell ref="AA314:AB314"/>
    <mergeCell ref="F315:H315"/>
    <mergeCell ref="I315:J315"/>
    <mergeCell ref="K315:L315"/>
    <mergeCell ref="M315:O315"/>
    <mergeCell ref="P315:Q315"/>
    <mergeCell ref="R315:S315"/>
    <mergeCell ref="T315:U315"/>
    <mergeCell ref="V315:W315"/>
    <mergeCell ref="AC319:AD319"/>
    <mergeCell ref="AF313:AH319"/>
    <mergeCell ref="F314:H314"/>
    <mergeCell ref="I314:J314"/>
    <mergeCell ref="K314:L314"/>
    <mergeCell ref="M314:O314"/>
    <mergeCell ref="P314:Q314"/>
    <mergeCell ref="R314:S314"/>
    <mergeCell ref="T314:U314"/>
    <mergeCell ref="V314:W314"/>
    <mergeCell ref="AC313:AD313"/>
    <mergeCell ref="AC314:AD314"/>
    <mergeCell ref="AC315:AD315"/>
    <mergeCell ref="AC316:AD316"/>
    <mergeCell ref="AC317:AD317"/>
    <mergeCell ref="AC318:AD318"/>
    <mergeCell ref="P313:Q313"/>
    <mergeCell ref="R313:S313"/>
    <mergeCell ref="T313:U313"/>
    <mergeCell ref="V313:W313"/>
    <mergeCell ref="X313:Z313"/>
    <mergeCell ref="AA313:AB313"/>
    <mergeCell ref="T312:U312"/>
    <mergeCell ref="V312:W312"/>
    <mergeCell ref="X312:Z312"/>
    <mergeCell ref="AA312:AB312"/>
    <mergeCell ref="F313:H313"/>
    <mergeCell ref="I313:J313"/>
    <mergeCell ref="K313:L313"/>
    <mergeCell ref="M313:O313"/>
    <mergeCell ref="AJ322:AL322"/>
    <mergeCell ref="AJ323:AL323"/>
    <mergeCell ref="A320:A327"/>
    <mergeCell ref="B320:D327"/>
    <mergeCell ref="F320:H320"/>
    <mergeCell ref="I320:J320"/>
    <mergeCell ref="K320:L320"/>
    <mergeCell ref="M320:O320"/>
    <mergeCell ref="R318:S319"/>
    <mergeCell ref="T318:U319"/>
    <mergeCell ref="V318:W319"/>
    <mergeCell ref="X318:Z319"/>
    <mergeCell ref="AA318:AB319"/>
    <mergeCell ref="AJ318:AL318"/>
    <mergeCell ref="AJ319:AL319"/>
    <mergeCell ref="V316:W317"/>
    <mergeCell ref="X316:Z317"/>
    <mergeCell ref="AA316:AB317"/>
    <mergeCell ref="AJ317:AL317"/>
    <mergeCell ref="E318:E319"/>
    <mergeCell ref="F318:H319"/>
    <mergeCell ref="I318:J319"/>
    <mergeCell ref="K318:L319"/>
    <mergeCell ref="M318:O319"/>
    <mergeCell ref="P318:Q319"/>
    <mergeCell ref="X315:Z315"/>
    <mergeCell ref="AA315:AB315"/>
    <mergeCell ref="E316:E317"/>
    <mergeCell ref="F316:H317"/>
    <mergeCell ref="I316:J317"/>
    <mergeCell ref="K316:L317"/>
    <mergeCell ref="M316:O317"/>
    <mergeCell ref="P316:Q317"/>
    <mergeCell ref="R316:S317"/>
    <mergeCell ref="T316:U317"/>
    <mergeCell ref="A313:A319"/>
    <mergeCell ref="B313:D319"/>
    <mergeCell ref="R325:S327"/>
    <mergeCell ref="T325:U327"/>
    <mergeCell ref="V325:W327"/>
    <mergeCell ref="X325:Z327"/>
    <mergeCell ref="AA325:AB327"/>
    <mergeCell ref="AJ325:AL325"/>
    <mergeCell ref="AJ326:AL326"/>
    <mergeCell ref="AJ327:AL327"/>
    <mergeCell ref="E325:E327"/>
    <mergeCell ref="F325:H327"/>
    <mergeCell ref="I325:J327"/>
    <mergeCell ref="K325:L327"/>
    <mergeCell ref="M325:O327"/>
    <mergeCell ref="P325:Q327"/>
    <mergeCell ref="R323:S324"/>
    <mergeCell ref="T323:U324"/>
    <mergeCell ref="V323:W324"/>
    <mergeCell ref="X323:Z324"/>
    <mergeCell ref="AA323:AB324"/>
    <mergeCell ref="AJ324:AL324"/>
    <mergeCell ref="T322:U322"/>
    <mergeCell ref="V322:W322"/>
    <mergeCell ref="X322:Z322"/>
    <mergeCell ref="AA322:AB322"/>
    <mergeCell ref="E323:E324"/>
    <mergeCell ref="F323:H324"/>
    <mergeCell ref="I323:J324"/>
    <mergeCell ref="K323:L324"/>
    <mergeCell ref="M323:O324"/>
    <mergeCell ref="P323:Q324"/>
    <mergeCell ref="T321:U321"/>
    <mergeCell ref="V321:W321"/>
    <mergeCell ref="X321:Z321"/>
    <mergeCell ref="AA321:AB321"/>
    <mergeCell ref="F322:H322"/>
    <mergeCell ref="I322:J322"/>
    <mergeCell ref="K322:L322"/>
    <mergeCell ref="M322:O322"/>
    <mergeCell ref="P322:Q322"/>
    <mergeCell ref="R322:S322"/>
    <mergeCell ref="AC326:AD326"/>
    <mergeCell ref="AC327:AD327"/>
    <mergeCell ref="AE320:AE327"/>
    <mergeCell ref="AF320:AH327"/>
    <mergeCell ref="F321:H321"/>
    <mergeCell ref="I321:J321"/>
    <mergeCell ref="K321:L321"/>
    <mergeCell ref="M321:O321"/>
    <mergeCell ref="P321:Q321"/>
    <mergeCell ref="R321:S321"/>
    <mergeCell ref="AC320:AD320"/>
    <mergeCell ref="AC321:AD321"/>
    <mergeCell ref="AC322:AD322"/>
    <mergeCell ref="AC323:AD323"/>
    <mergeCell ref="AC324:AD324"/>
    <mergeCell ref="AC325:AD325"/>
    <mergeCell ref="P320:Q320"/>
    <mergeCell ref="R320:S320"/>
    <mergeCell ref="T320:U320"/>
    <mergeCell ref="V320:W320"/>
    <mergeCell ref="X320:Z320"/>
    <mergeCell ref="AA320:AB320"/>
    <mergeCell ref="AJ320:AL320"/>
    <mergeCell ref="AJ321:AL321"/>
    <mergeCell ref="M330:O330"/>
    <mergeCell ref="P330:Q330"/>
    <mergeCell ref="R330:S330"/>
    <mergeCell ref="T330:U330"/>
    <mergeCell ref="V330:W330"/>
    <mergeCell ref="X330:Z330"/>
    <mergeCell ref="AC333:AD333"/>
    <mergeCell ref="AC334:AD334"/>
    <mergeCell ref="AC335:AD335"/>
    <mergeCell ref="AF328:AH335"/>
    <mergeCell ref="AJ328:AL328"/>
    <mergeCell ref="AJ329:AL329"/>
    <mergeCell ref="AJ330:AL330"/>
    <mergeCell ref="AJ331:AL331"/>
    <mergeCell ref="AJ332:AL332"/>
    <mergeCell ref="AJ334:AL334"/>
    <mergeCell ref="AA328:AB329"/>
    <mergeCell ref="AC328:AD328"/>
    <mergeCell ref="AC329:AD329"/>
    <mergeCell ref="AC330:AD330"/>
    <mergeCell ref="AC331:AD331"/>
    <mergeCell ref="AC332:AD332"/>
    <mergeCell ref="AA330:AB330"/>
    <mergeCell ref="M328:O329"/>
    <mergeCell ref="P328:Q329"/>
    <mergeCell ref="R328:S329"/>
    <mergeCell ref="T328:U329"/>
    <mergeCell ref="V328:W329"/>
    <mergeCell ref="X328:Z329"/>
    <mergeCell ref="A328:A335"/>
    <mergeCell ref="B328:D335"/>
    <mergeCell ref="E328:E329"/>
    <mergeCell ref="F328:H329"/>
    <mergeCell ref="I328:J329"/>
    <mergeCell ref="K328:L329"/>
    <mergeCell ref="F330:H330"/>
    <mergeCell ref="I330:J330"/>
    <mergeCell ref="K330:L330"/>
    <mergeCell ref="F331:H331"/>
    <mergeCell ref="AJ335:AL335"/>
    <mergeCell ref="AJ336:AL336"/>
    <mergeCell ref="AJ337:AL337"/>
    <mergeCell ref="AJ338:AL338"/>
    <mergeCell ref="AJ339:AL339"/>
    <mergeCell ref="A336:A351"/>
    <mergeCell ref="B336:D351"/>
    <mergeCell ref="F336:H336"/>
    <mergeCell ref="I336:J336"/>
    <mergeCell ref="K336:L336"/>
    <mergeCell ref="P334:Q335"/>
    <mergeCell ref="R334:S335"/>
    <mergeCell ref="T334:U335"/>
    <mergeCell ref="V334:W335"/>
    <mergeCell ref="X334:Z335"/>
    <mergeCell ref="AA334:AB335"/>
    <mergeCell ref="T332:U333"/>
    <mergeCell ref="V332:W333"/>
    <mergeCell ref="X332:Z333"/>
    <mergeCell ref="AA332:AB333"/>
    <mergeCell ref="AJ333:AL333"/>
    <mergeCell ref="E334:E335"/>
    <mergeCell ref="F334:H335"/>
    <mergeCell ref="I334:J335"/>
    <mergeCell ref="K334:L335"/>
    <mergeCell ref="M334:O335"/>
    <mergeCell ref="V331:W331"/>
    <mergeCell ref="X331:Z331"/>
    <mergeCell ref="AA331:AB331"/>
    <mergeCell ref="E332:E333"/>
    <mergeCell ref="F332:H333"/>
    <mergeCell ref="I332:J333"/>
    <mergeCell ref="K332:L333"/>
    <mergeCell ref="M332:O333"/>
    <mergeCell ref="P332:Q333"/>
    <mergeCell ref="R332:S333"/>
    <mergeCell ref="I331:J331"/>
    <mergeCell ref="K331:L331"/>
    <mergeCell ref="M331:O331"/>
    <mergeCell ref="P331:Q331"/>
    <mergeCell ref="R331:S331"/>
    <mergeCell ref="T331:U331"/>
    <mergeCell ref="R339:S340"/>
    <mergeCell ref="T339:U340"/>
    <mergeCell ref="V339:W340"/>
    <mergeCell ref="X339:Z340"/>
    <mergeCell ref="AA339:AB340"/>
    <mergeCell ref="AJ340:AL340"/>
    <mergeCell ref="T338:U338"/>
    <mergeCell ref="V338:W338"/>
    <mergeCell ref="X338:Z338"/>
    <mergeCell ref="AA338:AB338"/>
    <mergeCell ref="E339:E340"/>
    <mergeCell ref="F339:H340"/>
    <mergeCell ref="I339:J340"/>
    <mergeCell ref="K339:L340"/>
    <mergeCell ref="M339:O340"/>
    <mergeCell ref="P339:Q340"/>
    <mergeCell ref="T337:U337"/>
    <mergeCell ref="V337:W337"/>
    <mergeCell ref="X337:Z337"/>
    <mergeCell ref="AA337:AB337"/>
    <mergeCell ref="F338:H338"/>
    <mergeCell ref="I338:J338"/>
    <mergeCell ref="K338:L338"/>
    <mergeCell ref="M338:O338"/>
    <mergeCell ref="P338:Q338"/>
    <mergeCell ref="R338:S338"/>
    <mergeCell ref="F337:H337"/>
    <mergeCell ref="I337:J337"/>
    <mergeCell ref="K337:L337"/>
    <mergeCell ref="M337:O337"/>
    <mergeCell ref="P337:Q337"/>
    <mergeCell ref="R337:S337"/>
    <mergeCell ref="AC347:AD347"/>
    <mergeCell ref="AF336:AH351"/>
    <mergeCell ref="AC341:AD341"/>
    <mergeCell ref="AC342:AD342"/>
    <mergeCell ref="AC343:AD343"/>
    <mergeCell ref="AC344:AD344"/>
    <mergeCell ref="AC345:AD345"/>
    <mergeCell ref="AC346:AD346"/>
    <mergeCell ref="AA336:AB336"/>
    <mergeCell ref="AC336:AD336"/>
    <mergeCell ref="AC337:AD337"/>
    <mergeCell ref="AC338:AD338"/>
    <mergeCell ref="AC339:AD339"/>
    <mergeCell ref="AC340:AD340"/>
    <mergeCell ref="M336:O336"/>
    <mergeCell ref="P336:Q336"/>
    <mergeCell ref="R336:S336"/>
    <mergeCell ref="T336:U336"/>
    <mergeCell ref="V336:W336"/>
    <mergeCell ref="X336:Z336"/>
    <mergeCell ref="AJ358:AL358"/>
    <mergeCell ref="AJ359:AL359"/>
    <mergeCell ref="AJ360:AL360"/>
    <mergeCell ref="AJ361:AL361"/>
    <mergeCell ref="AJ362:AL362"/>
    <mergeCell ref="AJ363:AL363"/>
    <mergeCell ref="AJ352:AL352"/>
    <mergeCell ref="AJ353:AL353"/>
    <mergeCell ref="AJ354:AL354"/>
    <mergeCell ref="AJ355:AL355"/>
    <mergeCell ref="AJ356:AL356"/>
    <mergeCell ref="AJ357:AL357"/>
    <mergeCell ref="AJ346:AL346"/>
    <mergeCell ref="AJ347:AL347"/>
    <mergeCell ref="AJ348:AL348"/>
    <mergeCell ref="AJ349:AL349"/>
    <mergeCell ref="AJ350:AL350"/>
    <mergeCell ref="AJ351:AL351"/>
    <mergeCell ref="R341:S351"/>
    <mergeCell ref="T341:U351"/>
    <mergeCell ref="V341:W351"/>
    <mergeCell ref="X341:Z351"/>
    <mergeCell ref="AA341:AB351"/>
    <mergeCell ref="AJ341:AL341"/>
    <mergeCell ref="AJ342:AL342"/>
    <mergeCell ref="AJ343:AL343"/>
    <mergeCell ref="AJ344:AL344"/>
    <mergeCell ref="AJ345:AL345"/>
    <mergeCell ref="E341:E351"/>
    <mergeCell ref="F341:H351"/>
    <mergeCell ref="I341:J351"/>
    <mergeCell ref="K341:L351"/>
    <mergeCell ref="M341:O351"/>
    <mergeCell ref="P341:Q351"/>
    <mergeCell ref="AC348:AD348"/>
    <mergeCell ref="AC349:AD349"/>
    <mergeCell ref="AC350:AD350"/>
    <mergeCell ref="AC351:AD351"/>
    <mergeCell ref="AC360:AD360"/>
    <mergeCell ref="AC361:AD361"/>
    <mergeCell ref="AF352:AH361"/>
    <mergeCell ref="I353:J353"/>
    <mergeCell ref="K353:L353"/>
    <mergeCell ref="M353:O353"/>
    <mergeCell ref="P353:Q353"/>
    <mergeCell ref="R353:S353"/>
    <mergeCell ref="T353:U353"/>
    <mergeCell ref="V353:W353"/>
    <mergeCell ref="AC354:AD354"/>
    <mergeCell ref="AC355:AD355"/>
    <mergeCell ref="AC356:AD356"/>
    <mergeCell ref="AC357:AD357"/>
    <mergeCell ref="AC358:AD358"/>
    <mergeCell ref="AC359:AD359"/>
    <mergeCell ref="T352:U352"/>
    <mergeCell ref="V352:W352"/>
    <mergeCell ref="X352:Z352"/>
    <mergeCell ref="AA352:AB352"/>
    <mergeCell ref="AC352:AD352"/>
    <mergeCell ref="AC353:AD353"/>
    <mergeCell ref="X353:Z353"/>
    <mergeCell ref="AA353:AB353"/>
    <mergeCell ref="AJ394:AL394"/>
    <mergeCell ref="AJ395:AL395"/>
    <mergeCell ref="A352:A361"/>
    <mergeCell ref="B352:D361"/>
    <mergeCell ref="F352:H353"/>
    <mergeCell ref="I352:J352"/>
    <mergeCell ref="K352:L352"/>
    <mergeCell ref="M352:O352"/>
    <mergeCell ref="P352:Q352"/>
    <mergeCell ref="R352:S352"/>
    <mergeCell ref="AJ388:AL388"/>
    <mergeCell ref="AJ389:AL389"/>
    <mergeCell ref="AJ390:AL390"/>
    <mergeCell ref="AJ391:AL391"/>
    <mergeCell ref="AJ392:AL392"/>
    <mergeCell ref="AJ393:AL393"/>
    <mergeCell ref="AJ382:AL382"/>
    <mergeCell ref="AJ383:AL383"/>
    <mergeCell ref="AJ384:AL384"/>
    <mergeCell ref="AJ385:AL385"/>
    <mergeCell ref="AJ386:AL386"/>
    <mergeCell ref="AJ387:AL387"/>
    <mergeCell ref="AJ376:AL376"/>
    <mergeCell ref="AJ377:AL377"/>
    <mergeCell ref="AJ378:AL378"/>
    <mergeCell ref="AJ379:AL379"/>
    <mergeCell ref="AJ380:AL380"/>
    <mergeCell ref="AJ381:AL381"/>
    <mergeCell ref="AJ370:AL370"/>
    <mergeCell ref="AJ371:AL371"/>
    <mergeCell ref="AJ372:AL372"/>
    <mergeCell ref="AJ373:AL373"/>
    <mergeCell ref="AJ374:AL374"/>
    <mergeCell ref="AJ375:AL375"/>
    <mergeCell ref="AJ364:AL364"/>
    <mergeCell ref="AJ365:AL365"/>
    <mergeCell ref="AJ366:AL366"/>
    <mergeCell ref="AJ367:AL367"/>
    <mergeCell ref="AJ368:AL368"/>
    <mergeCell ref="AJ369:AL369"/>
    <mergeCell ref="V356:W356"/>
    <mergeCell ref="X356:Z356"/>
    <mergeCell ref="AA356:AB356"/>
    <mergeCell ref="I357:J357"/>
    <mergeCell ref="K357:L357"/>
    <mergeCell ref="M357:O357"/>
    <mergeCell ref="P357:Q357"/>
    <mergeCell ref="R357:S357"/>
    <mergeCell ref="T357:U357"/>
    <mergeCell ref="V357:W357"/>
    <mergeCell ref="V355:W355"/>
    <mergeCell ref="X355:Z355"/>
    <mergeCell ref="AA355:AB355"/>
    <mergeCell ref="F356:H357"/>
    <mergeCell ref="I356:J356"/>
    <mergeCell ref="K356:L356"/>
    <mergeCell ref="M356:O356"/>
    <mergeCell ref="P356:Q356"/>
    <mergeCell ref="R356:S356"/>
    <mergeCell ref="T356:U356"/>
    <mergeCell ref="T354:U354"/>
    <mergeCell ref="V354:W354"/>
    <mergeCell ref="X354:Z354"/>
    <mergeCell ref="AA354:AB354"/>
    <mergeCell ref="I355:J355"/>
    <mergeCell ref="K355:L355"/>
    <mergeCell ref="M355:O355"/>
    <mergeCell ref="P355:Q355"/>
    <mergeCell ref="R355:S355"/>
    <mergeCell ref="T355:U355"/>
    <mergeCell ref="F354:H355"/>
    <mergeCell ref="I354:J354"/>
    <mergeCell ref="K354:L354"/>
    <mergeCell ref="M354:O354"/>
    <mergeCell ref="P354:Q354"/>
    <mergeCell ref="R354:S354"/>
    <mergeCell ref="AA360:AB360"/>
    <mergeCell ref="I361:J361"/>
    <mergeCell ref="K361:L361"/>
    <mergeCell ref="M361:O361"/>
    <mergeCell ref="P361:Q361"/>
    <mergeCell ref="R361:S361"/>
    <mergeCell ref="T361:U361"/>
    <mergeCell ref="V361:W361"/>
    <mergeCell ref="X361:Z361"/>
    <mergeCell ref="AA361:AB361"/>
    <mergeCell ref="AA359:AB359"/>
    <mergeCell ref="F360:H361"/>
    <mergeCell ref="I360:J360"/>
    <mergeCell ref="K360:L360"/>
    <mergeCell ref="M360:O360"/>
    <mergeCell ref="P360:Q360"/>
    <mergeCell ref="R360:S360"/>
    <mergeCell ref="T360:U360"/>
    <mergeCell ref="V360:W360"/>
    <mergeCell ref="X360:Z360"/>
    <mergeCell ref="X358:Z358"/>
    <mergeCell ref="AA358:AB358"/>
    <mergeCell ref="I359:J359"/>
    <mergeCell ref="K359:L359"/>
    <mergeCell ref="M359:O359"/>
    <mergeCell ref="P359:Q359"/>
    <mergeCell ref="R359:S359"/>
    <mergeCell ref="T359:U359"/>
    <mergeCell ref="V359:W359"/>
    <mergeCell ref="X359:Z359"/>
    <mergeCell ref="X357:Z357"/>
    <mergeCell ref="AA357:AB357"/>
    <mergeCell ref="F358:H359"/>
    <mergeCell ref="I358:J358"/>
    <mergeCell ref="K358:L358"/>
    <mergeCell ref="M358:O358"/>
    <mergeCell ref="P358:Q358"/>
    <mergeCell ref="R358:S358"/>
    <mergeCell ref="T358:U358"/>
    <mergeCell ref="V358:W358"/>
    <mergeCell ref="V366:W366"/>
    <mergeCell ref="X366:Z366"/>
    <mergeCell ref="AA366:AB366"/>
    <mergeCell ref="I367:J367"/>
    <mergeCell ref="K367:L367"/>
    <mergeCell ref="M367:O367"/>
    <mergeCell ref="P367:Q367"/>
    <mergeCell ref="R367:S367"/>
    <mergeCell ref="T367:U367"/>
    <mergeCell ref="V367:W367"/>
    <mergeCell ref="V365:W365"/>
    <mergeCell ref="X365:Z365"/>
    <mergeCell ref="AA365:AB365"/>
    <mergeCell ref="F366:H367"/>
    <mergeCell ref="I366:J366"/>
    <mergeCell ref="K366:L366"/>
    <mergeCell ref="M366:O366"/>
    <mergeCell ref="P366:Q366"/>
    <mergeCell ref="R366:S366"/>
    <mergeCell ref="T366:U366"/>
    <mergeCell ref="I365:J365"/>
    <mergeCell ref="K365:L365"/>
    <mergeCell ref="M365:O365"/>
    <mergeCell ref="P365:Q365"/>
    <mergeCell ref="R365:S365"/>
    <mergeCell ref="T365:U365"/>
    <mergeCell ref="P364:Q364"/>
    <mergeCell ref="R364:S364"/>
    <mergeCell ref="T364:U364"/>
    <mergeCell ref="V364:W364"/>
    <mergeCell ref="X364:Z364"/>
    <mergeCell ref="AA364:AB364"/>
    <mergeCell ref="AF362:AH367"/>
    <mergeCell ref="I363:J363"/>
    <mergeCell ref="K363:L363"/>
    <mergeCell ref="M363:O363"/>
    <mergeCell ref="P363:Q363"/>
    <mergeCell ref="R363:S363"/>
    <mergeCell ref="T363:U363"/>
    <mergeCell ref="V363:W363"/>
    <mergeCell ref="X363:Z363"/>
    <mergeCell ref="AA363:AB363"/>
    <mergeCell ref="AC362:AD362"/>
    <mergeCell ref="AC363:AD363"/>
    <mergeCell ref="AC364:AD364"/>
    <mergeCell ref="AC365:AD365"/>
    <mergeCell ref="AC366:AD366"/>
    <mergeCell ref="AC367:AD367"/>
    <mergeCell ref="P362:Q362"/>
    <mergeCell ref="R362:S362"/>
    <mergeCell ref="T362:U362"/>
    <mergeCell ref="V362:W362"/>
    <mergeCell ref="X362:Z362"/>
    <mergeCell ref="AA362:AB362"/>
    <mergeCell ref="F362:H363"/>
    <mergeCell ref="I362:J362"/>
    <mergeCell ref="K362:L362"/>
    <mergeCell ref="M362:O362"/>
    <mergeCell ref="F364:H365"/>
    <mergeCell ref="I364:J364"/>
    <mergeCell ref="K364:L364"/>
    <mergeCell ref="M364:O364"/>
    <mergeCell ref="V369:W369"/>
    <mergeCell ref="X369:Z369"/>
    <mergeCell ref="AA369:AB369"/>
    <mergeCell ref="F370:H370"/>
    <mergeCell ref="F371:H371"/>
    <mergeCell ref="I370:J370"/>
    <mergeCell ref="K370:L370"/>
    <mergeCell ref="M370:O370"/>
    <mergeCell ref="P370:Q370"/>
    <mergeCell ref="R370:S370"/>
    <mergeCell ref="I369:J369"/>
    <mergeCell ref="K369:L369"/>
    <mergeCell ref="M369:O369"/>
    <mergeCell ref="P369:Q369"/>
    <mergeCell ref="R369:S369"/>
    <mergeCell ref="T369:U369"/>
    <mergeCell ref="AC369:AD369"/>
    <mergeCell ref="AC370:AD370"/>
    <mergeCell ref="AC371:AD371"/>
    <mergeCell ref="AC372:AD372"/>
    <mergeCell ref="AC373:AD373"/>
    <mergeCell ref="AF368:AH373"/>
    <mergeCell ref="R368:S368"/>
    <mergeCell ref="T368:U368"/>
    <mergeCell ref="V368:W368"/>
    <mergeCell ref="X368:Z368"/>
    <mergeCell ref="AA368:AB368"/>
    <mergeCell ref="AC368:AD368"/>
    <mergeCell ref="X367:Z367"/>
    <mergeCell ref="AA367:AB367"/>
    <mergeCell ref="A368:A373"/>
    <mergeCell ref="B368:D373"/>
    <mergeCell ref="F368:H368"/>
    <mergeCell ref="F369:H369"/>
    <mergeCell ref="I368:J368"/>
    <mergeCell ref="K368:L368"/>
    <mergeCell ref="M368:O368"/>
    <mergeCell ref="P368:Q368"/>
    <mergeCell ref="A362:A367"/>
    <mergeCell ref="B362:D367"/>
    <mergeCell ref="V373:W373"/>
    <mergeCell ref="X373:Z373"/>
    <mergeCell ref="AA373:AB373"/>
    <mergeCell ref="A374:A382"/>
    <mergeCell ref="B374:D374"/>
    <mergeCell ref="B375:D375"/>
    <mergeCell ref="B376:D376"/>
    <mergeCell ref="B377:D377"/>
    <mergeCell ref="B378:D378"/>
    <mergeCell ref="B379:D379"/>
    <mergeCell ref="T372:U372"/>
    <mergeCell ref="V372:W372"/>
    <mergeCell ref="X372:Z372"/>
    <mergeCell ref="AA372:AB372"/>
    <mergeCell ref="I373:J373"/>
    <mergeCell ref="K373:L373"/>
    <mergeCell ref="M373:O373"/>
    <mergeCell ref="P373:Q373"/>
    <mergeCell ref="R373:S373"/>
    <mergeCell ref="T373:U373"/>
    <mergeCell ref="V371:W371"/>
    <mergeCell ref="X371:Z371"/>
    <mergeCell ref="AA371:AB371"/>
    <mergeCell ref="F372:H372"/>
    <mergeCell ref="F373:H373"/>
    <mergeCell ref="I372:J372"/>
    <mergeCell ref="K372:L372"/>
    <mergeCell ref="M372:O372"/>
    <mergeCell ref="P372:Q372"/>
    <mergeCell ref="R372:S372"/>
    <mergeCell ref="T370:U370"/>
    <mergeCell ref="V370:W370"/>
    <mergeCell ref="X370:Z370"/>
    <mergeCell ref="AA370:AB370"/>
    <mergeCell ref="I371:J371"/>
    <mergeCell ref="K371:L371"/>
    <mergeCell ref="M371:O371"/>
    <mergeCell ref="P371:Q371"/>
    <mergeCell ref="R371:S371"/>
    <mergeCell ref="T371:U371"/>
    <mergeCell ref="R375:S375"/>
    <mergeCell ref="T375:U375"/>
    <mergeCell ref="V375:W375"/>
    <mergeCell ref="X375:Z375"/>
    <mergeCell ref="AA375:AB375"/>
    <mergeCell ref="I376:J376"/>
    <mergeCell ref="K376:L376"/>
    <mergeCell ref="M376:O376"/>
    <mergeCell ref="P376:Q376"/>
    <mergeCell ref="R376:S376"/>
    <mergeCell ref="AC379:AD379"/>
    <mergeCell ref="AC380:AD380"/>
    <mergeCell ref="AC381:AD381"/>
    <mergeCell ref="AC382:AD382"/>
    <mergeCell ref="AF374:AH382"/>
    <mergeCell ref="F375:H376"/>
    <mergeCell ref="I375:J375"/>
    <mergeCell ref="K375:L375"/>
    <mergeCell ref="M375:O375"/>
    <mergeCell ref="P375:Q375"/>
    <mergeCell ref="AA374:AB374"/>
    <mergeCell ref="AC374:AD374"/>
    <mergeCell ref="AC375:AD375"/>
    <mergeCell ref="AC376:AD376"/>
    <mergeCell ref="AC377:AD377"/>
    <mergeCell ref="AC378:AD378"/>
    <mergeCell ref="M374:O374"/>
    <mergeCell ref="P374:Q374"/>
    <mergeCell ref="R374:S374"/>
    <mergeCell ref="T374:U374"/>
    <mergeCell ref="V374:W374"/>
    <mergeCell ref="X374:Z374"/>
    <mergeCell ref="B380:D380"/>
    <mergeCell ref="B381:D381"/>
    <mergeCell ref="B382:D382"/>
    <mergeCell ref="F374:H374"/>
    <mergeCell ref="I374:J374"/>
    <mergeCell ref="K374:L374"/>
    <mergeCell ref="T379:U379"/>
    <mergeCell ref="V379:W379"/>
    <mergeCell ref="X379:Z379"/>
    <mergeCell ref="AA379:AB379"/>
    <mergeCell ref="I380:J380"/>
    <mergeCell ref="K380:L380"/>
    <mergeCell ref="M380:O380"/>
    <mergeCell ref="P380:Q380"/>
    <mergeCell ref="R380:S380"/>
    <mergeCell ref="T380:U380"/>
    <mergeCell ref="T378:U378"/>
    <mergeCell ref="V378:W378"/>
    <mergeCell ref="X378:Z378"/>
    <mergeCell ref="AA378:AB378"/>
    <mergeCell ref="F379:H380"/>
    <mergeCell ref="I379:J379"/>
    <mergeCell ref="K379:L379"/>
    <mergeCell ref="M379:O379"/>
    <mergeCell ref="P379:Q379"/>
    <mergeCell ref="R379:S379"/>
    <mergeCell ref="R377:S377"/>
    <mergeCell ref="T377:U377"/>
    <mergeCell ref="V377:W377"/>
    <mergeCell ref="X377:Z377"/>
    <mergeCell ref="AA377:AB377"/>
    <mergeCell ref="I378:J378"/>
    <mergeCell ref="K378:L378"/>
    <mergeCell ref="M378:O378"/>
    <mergeCell ref="P378:Q378"/>
    <mergeCell ref="R378:S378"/>
    <mergeCell ref="T376:U376"/>
    <mergeCell ref="V376:W376"/>
    <mergeCell ref="X376:Z376"/>
    <mergeCell ref="AA376:AB376"/>
    <mergeCell ref="F377:H377"/>
    <mergeCell ref="F378:H378"/>
    <mergeCell ref="I377:J377"/>
    <mergeCell ref="K377:L377"/>
    <mergeCell ref="M377:O377"/>
    <mergeCell ref="P377:Q377"/>
    <mergeCell ref="B389:D389"/>
    <mergeCell ref="B390:D390"/>
    <mergeCell ref="B391:D391"/>
    <mergeCell ref="B392:D392"/>
    <mergeCell ref="B393:D393"/>
    <mergeCell ref="B394:D394"/>
    <mergeCell ref="V382:W382"/>
    <mergeCell ref="X382:Z382"/>
    <mergeCell ref="AA382:AB382"/>
    <mergeCell ref="A383:A395"/>
    <mergeCell ref="B383:D383"/>
    <mergeCell ref="B384:D384"/>
    <mergeCell ref="B385:D385"/>
    <mergeCell ref="B386:D386"/>
    <mergeCell ref="B387:D387"/>
    <mergeCell ref="B388:D388"/>
    <mergeCell ref="T381:U381"/>
    <mergeCell ref="V381:W381"/>
    <mergeCell ref="X381:Z381"/>
    <mergeCell ref="AA381:AB381"/>
    <mergeCell ref="I382:J382"/>
    <mergeCell ref="K382:L382"/>
    <mergeCell ref="M382:O382"/>
    <mergeCell ref="P382:Q382"/>
    <mergeCell ref="R382:S382"/>
    <mergeCell ref="T382:U382"/>
    <mergeCell ref="V380:W380"/>
    <mergeCell ref="X380:Z380"/>
    <mergeCell ref="AA380:AB380"/>
    <mergeCell ref="F381:H381"/>
    <mergeCell ref="F382:H382"/>
    <mergeCell ref="I381:J381"/>
    <mergeCell ref="K381:L381"/>
    <mergeCell ref="M381:O381"/>
    <mergeCell ref="P381:Q381"/>
    <mergeCell ref="R381:S381"/>
    <mergeCell ref="R386:S386"/>
    <mergeCell ref="T386:U386"/>
    <mergeCell ref="V386:W386"/>
    <mergeCell ref="X386:Z386"/>
    <mergeCell ref="AA386:AB386"/>
    <mergeCell ref="F387:H387"/>
    <mergeCell ref="R387:S387"/>
    <mergeCell ref="T387:U387"/>
    <mergeCell ref="V387:W387"/>
    <mergeCell ref="X387:Z387"/>
    <mergeCell ref="AA384:AB384"/>
    <mergeCell ref="I385:J385"/>
    <mergeCell ref="K385:L385"/>
    <mergeCell ref="M385:O385"/>
    <mergeCell ref="P385:Q385"/>
    <mergeCell ref="R385:S385"/>
    <mergeCell ref="T385:U385"/>
    <mergeCell ref="V385:W385"/>
    <mergeCell ref="X385:Z385"/>
    <mergeCell ref="AA385:AB385"/>
    <mergeCell ref="AF383:AH395"/>
    <mergeCell ref="F384:H386"/>
    <mergeCell ref="I384:J384"/>
    <mergeCell ref="K384:L384"/>
    <mergeCell ref="M384:O384"/>
    <mergeCell ref="P384:Q384"/>
    <mergeCell ref="R384:S384"/>
    <mergeCell ref="T384:U384"/>
    <mergeCell ref="V384:W384"/>
    <mergeCell ref="X384:Z384"/>
    <mergeCell ref="AC390:AD390"/>
    <mergeCell ref="AC391:AD391"/>
    <mergeCell ref="AC392:AD392"/>
    <mergeCell ref="AC393:AD393"/>
    <mergeCell ref="AC394:AD394"/>
    <mergeCell ref="AC395:AD395"/>
    <mergeCell ref="AC384:AD384"/>
    <mergeCell ref="AC385:AD385"/>
    <mergeCell ref="AC386:AD386"/>
    <mergeCell ref="AC387:AD387"/>
    <mergeCell ref="AC388:AD388"/>
    <mergeCell ref="AC389:AD389"/>
    <mergeCell ref="R383:S383"/>
    <mergeCell ref="T383:U383"/>
    <mergeCell ref="V383:W383"/>
    <mergeCell ref="X383:Z383"/>
    <mergeCell ref="AA383:AB383"/>
    <mergeCell ref="AC383:AD383"/>
    <mergeCell ref="F383:H383"/>
    <mergeCell ref="I383:J383"/>
    <mergeCell ref="K383:L383"/>
    <mergeCell ref="M383:O383"/>
    <mergeCell ref="P383:Q383"/>
    <mergeCell ref="I386:J386"/>
    <mergeCell ref="K386:L386"/>
    <mergeCell ref="M386:O386"/>
    <mergeCell ref="P386:Q386"/>
    <mergeCell ref="R390:S390"/>
    <mergeCell ref="T390:U390"/>
    <mergeCell ref="V390:W390"/>
    <mergeCell ref="X390:Z390"/>
    <mergeCell ref="AA390:AB390"/>
    <mergeCell ref="I391:J391"/>
    <mergeCell ref="K391:L391"/>
    <mergeCell ref="M391:O391"/>
    <mergeCell ref="P391:Q391"/>
    <mergeCell ref="R391:S391"/>
    <mergeCell ref="R389:S389"/>
    <mergeCell ref="T389:U389"/>
    <mergeCell ref="V389:W389"/>
    <mergeCell ref="X389:Z389"/>
    <mergeCell ref="AA389:AB389"/>
    <mergeCell ref="F390:H392"/>
    <mergeCell ref="I390:J390"/>
    <mergeCell ref="K390:L390"/>
    <mergeCell ref="M390:O390"/>
    <mergeCell ref="P390:Q390"/>
    <mergeCell ref="AA387:AB387"/>
    <mergeCell ref="I388:J388"/>
    <mergeCell ref="K388:L388"/>
    <mergeCell ref="M388:O388"/>
    <mergeCell ref="P388:Q388"/>
    <mergeCell ref="R388:S388"/>
    <mergeCell ref="T388:U388"/>
    <mergeCell ref="V388:W388"/>
    <mergeCell ref="X388:Z388"/>
    <mergeCell ref="AA388:AB388"/>
    <mergeCell ref="F388:H388"/>
    <mergeCell ref="F389:H389"/>
    <mergeCell ref="I387:J387"/>
    <mergeCell ref="K387:L387"/>
    <mergeCell ref="M387:O387"/>
    <mergeCell ref="P387:Q387"/>
    <mergeCell ref="I389:J389"/>
    <mergeCell ref="K389:L389"/>
    <mergeCell ref="M389:O389"/>
    <mergeCell ref="P389:Q389"/>
    <mergeCell ref="T394:U394"/>
    <mergeCell ref="V394:W394"/>
    <mergeCell ref="X394:Z394"/>
    <mergeCell ref="AA394:AB394"/>
    <mergeCell ref="I395:J395"/>
    <mergeCell ref="K395:L395"/>
    <mergeCell ref="M395:O395"/>
    <mergeCell ref="P395:Q395"/>
    <mergeCell ref="R395:S395"/>
    <mergeCell ref="T395:U395"/>
    <mergeCell ref="R393:S393"/>
    <mergeCell ref="T393:U393"/>
    <mergeCell ref="V393:W393"/>
    <mergeCell ref="X393:Z393"/>
    <mergeCell ref="AA393:AB393"/>
    <mergeCell ref="I394:J394"/>
    <mergeCell ref="K394:L394"/>
    <mergeCell ref="M394:O394"/>
    <mergeCell ref="P394:Q394"/>
    <mergeCell ref="R394:S394"/>
    <mergeCell ref="V392:W392"/>
    <mergeCell ref="X392:Z392"/>
    <mergeCell ref="AA392:AB392"/>
    <mergeCell ref="F393:H393"/>
    <mergeCell ref="F394:H394"/>
    <mergeCell ref="F395:H395"/>
    <mergeCell ref="I393:J393"/>
    <mergeCell ref="K393:L393"/>
    <mergeCell ref="M393:O393"/>
    <mergeCell ref="P393:Q393"/>
    <mergeCell ref="T391:U391"/>
    <mergeCell ref="V391:W391"/>
    <mergeCell ref="X391:Z391"/>
    <mergeCell ref="AA391:AB391"/>
    <mergeCell ref="I392:J392"/>
    <mergeCell ref="K392:L392"/>
    <mergeCell ref="M392:O392"/>
    <mergeCell ref="P392:Q392"/>
    <mergeCell ref="R392:S392"/>
    <mergeCell ref="T392:U392"/>
    <mergeCell ref="T399:U399"/>
    <mergeCell ref="V399:W399"/>
    <mergeCell ref="X399:Z399"/>
    <mergeCell ref="AA399:AB399"/>
    <mergeCell ref="AJ399:AL399"/>
    <mergeCell ref="A400:A406"/>
    <mergeCell ref="B400:D406"/>
    <mergeCell ref="E400:E403"/>
    <mergeCell ref="F400:H403"/>
    <mergeCell ref="I400:J403"/>
    <mergeCell ref="F399:H399"/>
    <mergeCell ref="I399:J399"/>
    <mergeCell ref="K399:L399"/>
    <mergeCell ref="M399:O399"/>
    <mergeCell ref="P399:Q399"/>
    <mergeCell ref="R399:S399"/>
    <mergeCell ref="AC396:AD396"/>
    <mergeCell ref="AC397:AD397"/>
    <mergeCell ref="AC398:AD398"/>
    <mergeCell ref="AC399:AD399"/>
    <mergeCell ref="AF396:AH399"/>
    <mergeCell ref="AJ396:AL396"/>
    <mergeCell ref="AJ397:AL397"/>
    <mergeCell ref="AJ398:AL398"/>
    <mergeCell ref="P396:Q398"/>
    <mergeCell ref="R396:S398"/>
    <mergeCell ref="T396:U398"/>
    <mergeCell ref="V396:W398"/>
    <mergeCell ref="X396:Z398"/>
    <mergeCell ref="AA396:AB398"/>
    <mergeCell ref="V395:W395"/>
    <mergeCell ref="X395:Z395"/>
    <mergeCell ref="AA395:AB395"/>
    <mergeCell ref="A396:A399"/>
    <mergeCell ref="B396:D399"/>
    <mergeCell ref="E396:E398"/>
    <mergeCell ref="F396:H398"/>
    <mergeCell ref="I396:J398"/>
    <mergeCell ref="K396:L398"/>
    <mergeCell ref="M396:O398"/>
    <mergeCell ref="B395:D395"/>
    <mergeCell ref="A407:A414"/>
    <mergeCell ref="B407:D414"/>
    <mergeCell ref="E407:E410"/>
    <mergeCell ref="F407:H410"/>
    <mergeCell ref="I407:J410"/>
    <mergeCell ref="K407:L410"/>
    <mergeCell ref="R404:S406"/>
    <mergeCell ref="T404:U406"/>
    <mergeCell ref="V404:W406"/>
    <mergeCell ref="X404:Z406"/>
    <mergeCell ref="AA404:AB406"/>
    <mergeCell ref="AJ404:AL404"/>
    <mergeCell ref="AJ405:AL405"/>
    <mergeCell ref="AJ406:AL406"/>
    <mergeCell ref="E404:E406"/>
    <mergeCell ref="F404:H406"/>
    <mergeCell ref="I404:J406"/>
    <mergeCell ref="K404:L406"/>
    <mergeCell ref="M404:O406"/>
    <mergeCell ref="P404:Q406"/>
    <mergeCell ref="AC404:AD404"/>
    <mergeCell ref="AC405:AD405"/>
    <mergeCell ref="AC406:AD406"/>
    <mergeCell ref="AF400:AH406"/>
    <mergeCell ref="AJ400:AL400"/>
    <mergeCell ref="AJ401:AL401"/>
    <mergeCell ref="AJ402:AL402"/>
    <mergeCell ref="AJ403:AL403"/>
    <mergeCell ref="X400:Z403"/>
    <mergeCell ref="AA400:AB403"/>
    <mergeCell ref="AC400:AD400"/>
    <mergeCell ref="AC401:AD401"/>
    <mergeCell ref="AC402:AD402"/>
    <mergeCell ref="AC403:AD403"/>
    <mergeCell ref="K400:L403"/>
    <mergeCell ref="M400:O403"/>
    <mergeCell ref="P400:Q403"/>
    <mergeCell ref="R400:S403"/>
    <mergeCell ref="T400:U403"/>
    <mergeCell ref="V400:W403"/>
    <mergeCell ref="R411:S414"/>
    <mergeCell ref="T411:U414"/>
    <mergeCell ref="V411:W414"/>
    <mergeCell ref="X411:Z414"/>
    <mergeCell ref="AA411:AB414"/>
    <mergeCell ref="AJ411:AL411"/>
    <mergeCell ref="AJ412:AL412"/>
    <mergeCell ref="AJ413:AL413"/>
    <mergeCell ref="AJ414:AL414"/>
    <mergeCell ref="AJ407:AL407"/>
    <mergeCell ref="AJ408:AL408"/>
    <mergeCell ref="AJ409:AL409"/>
    <mergeCell ref="AJ410:AL410"/>
    <mergeCell ref="E411:E414"/>
    <mergeCell ref="F411:H414"/>
    <mergeCell ref="I411:J414"/>
    <mergeCell ref="K411:L414"/>
    <mergeCell ref="M411:O414"/>
    <mergeCell ref="P411:Q414"/>
    <mergeCell ref="AC412:AD412"/>
    <mergeCell ref="AC413:AD413"/>
    <mergeCell ref="AC414:AD414"/>
    <mergeCell ref="AE407:AE414"/>
    <mergeCell ref="AF407:AH414"/>
    <mergeCell ref="AI407:AI414"/>
    <mergeCell ref="AA407:AB410"/>
    <mergeCell ref="AC407:AD407"/>
    <mergeCell ref="AC408:AD408"/>
    <mergeCell ref="AC409:AD409"/>
    <mergeCell ref="AC410:AD410"/>
    <mergeCell ref="AC411:AD411"/>
    <mergeCell ref="M407:O410"/>
    <mergeCell ref="P407:Q410"/>
    <mergeCell ref="R407:S410"/>
    <mergeCell ref="T407:U410"/>
    <mergeCell ref="V407:W410"/>
    <mergeCell ref="X407:Z410"/>
    <mergeCell ref="B429:D429"/>
    <mergeCell ref="B430:D430"/>
    <mergeCell ref="B431:D431"/>
    <mergeCell ref="B432:D432"/>
    <mergeCell ref="B433:D433"/>
    <mergeCell ref="B434:D434"/>
    <mergeCell ref="AA421:AB423"/>
    <mergeCell ref="AJ421:AL421"/>
    <mergeCell ref="AJ422:AL422"/>
    <mergeCell ref="AJ423:AL423"/>
    <mergeCell ref="A424:A436"/>
    <mergeCell ref="B424:D424"/>
    <mergeCell ref="B425:D425"/>
    <mergeCell ref="B426:D426"/>
    <mergeCell ref="B427:D427"/>
    <mergeCell ref="B428:D428"/>
    <mergeCell ref="AJ420:AL420"/>
    <mergeCell ref="E421:E423"/>
    <mergeCell ref="I421:J423"/>
    <mergeCell ref="K421:L423"/>
    <mergeCell ref="M421:O423"/>
    <mergeCell ref="P421:Q423"/>
    <mergeCell ref="R421:S423"/>
    <mergeCell ref="T421:U423"/>
    <mergeCell ref="V421:W423"/>
    <mergeCell ref="X421:Z423"/>
    <mergeCell ref="M418:O420"/>
    <mergeCell ref="P418:Q420"/>
    <mergeCell ref="R418:S420"/>
    <mergeCell ref="T418:U420"/>
    <mergeCell ref="V418:W420"/>
    <mergeCell ref="X418:Z420"/>
    <mergeCell ref="AC420:AD420"/>
    <mergeCell ref="AC421:AD421"/>
    <mergeCell ref="AC422:AD422"/>
    <mergeCell ref="AC423:AD423"/>
    <mergeCell ref="AF415:AH423"/>
    <mergeCell ref="AJ415:AL415"/>
    <mergeCell ref="AJ416:AL416"/>
    <mergeCell ref="AJ417:AL417"/>
    <mergeCell ref="AJ418:AL418"/>
    <mergeCell ref="AJ419:AL419"/>
    <mergeCell ref="AA415:AB417"/>
    <mergeCell ref="AC415:AD415"/>
    <mergeCell ref="AC416:AD416"/>
    <mergeCell ref="AC417:AD417"/>
    <mergeCell ref="AC418:AD418"/>
    <mergeCell ref="AC419:AD419"/>
    <mergeCell ref="AA418:AB420"/>
    <mergeCell ref="M415:O417"/>
    <mergeCell ref="P415:Q417"/>
    <mergeCell ref="R415:S417"/>
    <mergeCell ref="T415:U417"/>
    <mergeCell ref="V415:W417"/>
    <mergeCell ref="X415:Z417"/>
    <mergeCell ref="A415:A423"/>
    <mergeCell ref="B415:D423"/>
    <mergeCell ref="E415:E417"/>
    <mergeCell ref="F415:H423"/>
    <mergeCell ref="I415:J417"/>
    <mergeCell ref="K415:L417"/>
    <mergeCell ref="E418:E420"/>
    <mergeCell ref="I418:J420"/>
    <mergeCell ref="K418:L420"/>
    <mergeCell ref="R428:S430"/>
    <mergeCell ref="T428:U430"/>
    <mergeCell ref="V428:W430"/>
    <mergeCell ref="X428:Z430"/>
    <mergeCell ref="AA428:AB430"/>
    <mergeCell ref="AJ428:AL428"/>
    <mergeCell ref="AJ429:AL429"/>
    <mergeCell ref="AJ430:AL430"/>
    <mergeCell ref="AJ424:AL424"/>
    <mergeCell ref="AJ425:AL425"/>
    <mergeCell ref="AJ426:AL426"/>
    <mergeCell ref="AJ427:AL427"/>
    <mergeCell ref="E428:E430"/>
    <mergeCell ref="F428:H430"/>
    <mergeCell ref="I428:J430"/>
    <mergeCell ref="K428:L430"/>
    <mergeCell ref="M428:O430"/>
    <mergeCell ref="P428:Q430"/>
    <mergeCell ref="AF432:AH432"/>
    <mergeCell ref="AF433:AH433"/>
    <mergeCell ref="AF434:AH434"/>
    <mergeCell ref="AF435:AH435"/>
    <mergeCell ref="AF436:AH436"/>
    <mergeCell ref="AI424:AI636"/>
    <mergeCell ref="AF542:AH558"/>
    <mergeCell ref="AC435:AD435"/>
    <mergeCell ref="AC436:AD436"/>
    <mergeCell ref="AF424:AH424"/>
    <mergeCell ref="AF425:AH425"/>
    <mergeCell ref="AF426:AH426"/>
    <mergeCell ref="AF427:AH427"/>
    <mergeCell ref="AF428:AH428"/>
    <mergeCell ref="AF429:AH429"/>
    <mergeCell ref="AF430:AH430"/>
    <mergeCell ref="AF431:AH431"/>
    <mergeCell ref="AC429:AD429"/>
    <mergeCell ref="AC430:AD430"/>
    <mergeCell ref="AC431:AD431"/>
    <mergeCell ref="AC432:AD432"/>
    <mergeCell ref="AC433:AD433"/>
    <mergeCell ref="AC434:AD434"/>
    <mergeCell ref="AA424:AB427"/>
    <mergeCell ref="AC424:AD424"/>
    <mergeCell ref="AC425:AD425"/>
    <mergeCell ref="AC426:AD426"/>
    <mergeCell ref="AC427:AD427"/>
    <mergeCell ref="AC428:AD428"/>
    <mergeCell ref="M424:O427"/>
    <mergeCell ref="P424:Q427"/>
    <mergeCell ref="R424:S427"/>
    <mergeCell ref="T424:U427"/>
    <mergeCell ref="V424:W427"/>
    <mergeCell ref="X424:Z427"/>
    <mergeCell ref="E424:E427"/>
    <mergeCell ref="F424:H427"/>
    <mergeCell ref="I424:J427"/>
    <mergeCell ref="K424:L427"/>
    <mergeCell ref="AC443:AD443"/>
    <mergeCell ref="AC444:AD444"/>
    <mergeCell ref="AC445:AD445"/>
    <mergeCell ref="M437:O459"/>
    <mergeCell ref="P437:Q459"/>
    <mergeCell ref="R437:S459"/>
    <mergeCell ref="T437:U459"/>
    <mergeCell ref="V437:W459"/>
    <mergeCell ref="X437:Z459"/>
    <mergeCell ref="A437:A459"/>
    <mergeCell ref="B437:D459"/>
    <mergeCell ref="E437:E439"/>
    <mergeCell ref="F437:H459"/>
    <mergeCell ref="I437:J459"/>
    <mergeCell ref="K437:L459"/>
    <mergeCell ref="E440:E442"/>
    <mergeCell ref="E443:E444"/>
    <mergeCell ref="E454:E456"/>
    <mergeCell ref="T433:U436"/>
    <mergeCell ref="V433:W436"/>
    <mergeCell ref="X433:Z436"/>
    <mergeCell ref="AA433:AB436"/>
    <mergeCell ref="AJ433:AL433"/>
    <mergeCell ref="AJ434:AL434"/>
    <mergeCell ref="AJ435:AL435"/>
    <mergeCell ref="AJ436:AL436"/>
    <mergeCell ref="X431:Z432"/>
    <mergeCell ref="AA431:AB432"/>
    <mergeCell ref="AJ432:AL432"/>
    <mergeCell ref="E433:E436"/>
    <mergeCell ref="F433:H436"/>
    <mergeCell ref="I433:J436"/>
    <mergeCell ref="K433:L436"/>
    <mergeCell ref="M433:O436"/>
    <mergeCell ref="P433:Q436"/>
    <mergeCell ref="R433:S436"/>
    <mergeCell ref="AJ431:AL431"/>
    <mergeCell ref="E431:E432"/>
    <mergeCell ref="F431:H432"/>
    <mergeCell ref="I431:J432"/>
    <mergeCell ref="K431:L432"/>
    <mergeCell ref="M431:O432"/>
    <mergeCell ref="P431:Q432"/>
    <mergeCell ref="R431:S432"/>
    <mergeCell ref="T431:U432"/>
    <mergeCell ref="V431:W432"/>
    <mergeCell ref="B435:D435"/>
    <mergeCell ref="B436:D436"/>
    <mergeCell ref="P460:Q462"/>
    <mergeCell ref="R460:S462"/>
    <mergeCell ref="T460:U462"/>
    <mergeCell ref="V460:W462"/>
    <mergeCell ref="X460:Z462"/>
    <mergeCell ref="A460:A483"/>
    <mergeCell ref="B460:D483"/>
    <mergeCell ref="E460:E462"/>
    <mergeCell ref="F460:H483"/>
    <mergeCell ref="I460:J483"/>
    <mergeCell ref="K460:L462"/>
    <mergeCell ref="E466:E468"/>
    <mergeCell ref="K466:L468"/>
    <mergeCell ref="K472:L472"/>
    <mergeCell ref="AJ454:AL454"/>
    <mergeCell ref="AJ455:AL455"/>
    <mergeCell ref="AJ456:AL456"/>
    <mergeCell ref="E457:E459"/>
    <mergeCell ref="AJ457:AL457"/>
    <mergeCell ref="AJ458:AL458"/>
    <mergeCell ref="AJ459:AL459"/>
    <mergeCell ref="AJ449:AL449"/>
    <mergeCell ref="E449:E450"/>
    <mergeCell ref="AJ450:AL450"/>
    <mergeCell ref="E451:E453"/>
    <mergeCell ref="AJ451:AL451"/>
    <mergeCell ref="AJ452:AL452"/>
    <mergeCell ref="AJ453:AL453"/>
    <mergeCell ref="AJ444:AL444"/>
    <mergeCell ref="AJ445:AL445"/>
    <mergeCell ref="E445:E446"/>
    <mergeCell ref="AJ446:AL446"/>
    <mergeCell ref="E447:E448"/>
    <mergeCell ref="AJ447:AL447"/>
    <mergeCell ref="AJ448:AL448"/>
    <mergeCell ref="AC458:AD458"/>
    <mergeCell ref="AC459:AD459"/>
    <mergeCell ref="AF437:AH459"/>
    <mergeCell ref="AJ437:AL437"/>
    <mergeCell ref="AJ438:AL438"/>
    <mergeCell ref="AJ439:AL439"/>
    <mergeCell ref="AJ440:AL440"/>
    <mergeCell ref="AJ441:AL441"/>
    <mergeCell ref="AJ442:AL442"/>
    <mergeCell ref="AJ443:AL443"/>
    <mergeCell ref="AC452:AD452"/>
    <mergeCell ref="AC453:AD453"/>
    <mergeCell ref="AC454:AD454"/>
    <mergeCell ref="AC455:AD455"/>
    <mergeCell ref="AC456:AD456"/>
    <mergeCell ref="AC457:AD457"/>
    <mergeCell ref="AC446:AD446"/>
    <mergeCell ref="AC447:AD447"/>
    <mergeCell ref="AC448:AD448"/>
    <mergeCell ref="AC449:AD449"/>
    <mergeCell ref="AC450:AD450"/>
    <mergeCell ref="AC451:AD451"/>
    <mergeCell ref="AA437:AB459"/>
    <mergeCell ref="AC437:AD437"/>
    <mergeCell ref="AC438:AD438"/>
    <mergeCell ref="AC439:AD439"/>
    <mergeCell ref="AC440:AD440"/>
    <mergeCell ref="AC441:AD441"/>
    <mergeCell ref="AC442:AD442"/>
    <mergeCell ref="V469:W470"/>
    <mergeCell ref="X469:Z470"/>
    <mergeCell ref="AA469:AB470"/>
    <mergeCell ref="AJ469:AL469"/>
    <mergeCell ref="AJ470:AL470"/>
    <mergeCell ref="AJ471:AL471"/>
    <mergeCell ref="AA466:AB468"/>
    <mergeCell ref="AJ466:AL466"/>
    <mergeCell ref="AJ467:AL467"/>
    <mergeCell ref="AJ468:AL468"/>
    <mergeCell ref="E469:E470"/>
    <mergeCell ref="K469:L470"/>
    <mergeCell ref="M469:O470"/>
    <mergeCell ref="P469:Q470"/>
    <mergeCell ref="R469:S470"/>
    <mergeCell ref="T469:U470"/>
    <mergeCell ref="M466:O468"/>
    <mergeCell ref="P466:Q468"/>
    <mergeCell ref="R466:S468"/>
    <mergeCell ref="T466:U468"/>
    <mergeCell ref="V466:W468"/>
    <mergeCell ref="X466:Z468"/>
    <mergeCell ref="T463:U465"/>
    <mergeCell ref="V463:W465"/>
    <mergeCell ref="X463:Z465"/>
    <mergeCell ref="AA463:AB465"/>
    <mergeCell ref="AJ463:AL463"/>
    <mergeCell ref="AJ464:AL464"/>
    <mergeCell ref="AJ465:AL465"/>
    <mergeCell ref="AC483:AD483"/>
    <mergeCell ref="AF460:AH483"/>
    <mergeCell ref="AJ460:AL460"/>
    <mergeCell ref="AJ461:AL461"/>
    <mergeCell ref="AJ462:AL462"/>
    <mergeCell ref="E463:E465"/>
    <mergeCell ref="K463:L465"/>
    <mergeCell ref="M463:O465"/>
    <mergeCell ref="P463:Q465"/>
    <mergeCell ref="R463:S465"/>
    <mergeCell ref="AC477:AD477"/>
    <mergeCell ref="AC478:AD478"/>
    <mergeCell ref="AC479:AD479"/>
    <mergeCell ref="AC480:AD480"/>
    <mergeCell ref="AC481:AD481"/>
    <mergeCell ref="AC482:AD482"/>
    <mergeCell ref="AC471:AD471"/>
    <mergeCell ref="AC472:AD472"/>
    <mergeCell ref="AC473:AD473"/>
    <mergeCell ref="AC474:AD474"/>
    <mergeCell ref="AC475:AD475"/>
    <mergeCell ref="AC476:AD476"/>
    <mergeCell ref="AC465:AD465"/>
    <mergeCell ref="AC466:AD466"/>
    <mergeCell ref="AC467:AD467"/>
    <mergeCell ref="AC468:AD468"/>
    <mergeCell ref="AC469:AD469"/>
    <mergeCell ref="AC470:AD470"/>
    <mergeCell ref="AA460:AB462"/>
    <mergeCell ref="AC460:AD460"/>
    <mergeCell ref="AC461:AD461"/>
    <mergeCell ref="AC462:AD462"/>
    <mergeCell ref="AC463:AD463"/>
    <mergeCell ref="AC464:AD464"/>
    <mergeCell ref="M460:O462"/>
    <mergeCell ref="AJ474:AL474"/>
    <mergeCell ref="E475:E477"/>
    <mergeCell ref="K475:L477"/>
    <mergeCell ref="M475:O477"/>
    <mergeCell ref="P475:Q477"/>
    <mergeCell ref="R475:S477"/>
    <mergeCell ref="T475:U477"/>
    <mergeCell ref="V475:W477"/>
    <mergeCell ref="X475:Z477"/>
    <mergeCell ref="AA475:AB477"/>
    <mergeCell ref="AA472:AB472"/>
    <mergeCell ref="E473:E474"/>
    <mergeCell ref="K473:L474"/>
    <mergeCell ref="M473:O474"/>
    <mergeCell ref="P473:Q474"/>
    <mergeCell ref="R473:S474"/>
    <mergeCell ref="T473:U474"/>
    <mergeCell ref="V473:W474"/>
    <mergeCell ref="X473:Z474"/>
    <mergeCell ref="AA473:AB474"/>
    <mergeCell ref="M472:O472"/>
    <mergeCell ref="P472:Q472"/>
    <mergeCell ref="R472:S472"/>
    <mergeCell ref="T472:U472"/>
    <mergeCell ref="V472:W472"/>
    <mergeCell ref="X472:Z472"/>
    <mergeCell ref="AJ472:AL472"/>
    <mergeCell ref="AJ473:AL473"/>
    <mergeCell ref="K471:L471"/>
    <mergeCell ref="M471:O471"/>
    <mergeCell ref="P471:Q471"/>
    <mergeCell ref="R471:S471"/>
    <mergeCell ref="T471:U471"/>
    <mergeCell ref="V471:W471"/>
    <mergeCell ref="X471:Z471"/>
    <mergeCell ref="AA471:AB471"/>
    <mergeCell ref="T484:U486"/>
    <mergeCell ref="V484:W486"/>
    <mergeCell ref="X484:Z486"/>
    <mergeCell ref="A484:A495"/>
    <mergeCell ref="B484:D495"/>
    <mergeCell ref="E484:E486"/>
    <mergeCell ref="F484:H486"/>
    <mergeCell ref="I484:J486"/>
    <mergeCell ref="K484:L486"/>
    <mergeCell ref="E493:E495"/>
    <mergeCell ref="F493:H495"/>
    <mergeCell ref="I493:J495"/>
    <mergeCell ref="K493:L495"/>
    <mergeCell ref="T481:U483"/>
    <mergeCell ref="V481:W483"/>
    <mergeCell ref="X481:Z483"/>
    <mergeCell ref="AA481:AB483"/>
    <mergeCell ref="AJ481:AL481"/>
    <mergeCell ref="AJ482:AL482"/>
    <mergeCell ref="AJ483:AL483"/>
    <mergeCell ref="X478:Z480"/>
    <mergeCell ref="AA478:AB480"/>
    <mergeCell ref="AJ478:AL478"/>
    <mergeCell ref="AJ479:AL479"/>
    <mergeCell ref="AJ480:AL480"/>
    <mergeCell ref="E481:E483"/>
    <mergeCell ref="K481:L483"/>
    <mergeCell ref="M481:O483"/>
    <mergeCell ref="P481:Q483"/>
    <mergeCell ref="R481:S483"/>
    <mergeCell ref="AJ475:AL475"/>
    <mergeCell ref="AJ476:AL476"/>
    <mergeCell ref="AJ477:AL477"/>
    <mergeCell ref="E478:E480"/>
    <mergeCell ref="K478:L480"/>
    <mergeCell ref="M478:O480"/>
    <mergeCell ref="P478:Q480"/>
    <mergeCell ref="R478:S480"/>
    <mergeCell ref="T478:U480"/>
    <mergeCell ref="V478:W480"/>
    <mergeCell ref="AA493:AB495"/>
    <mergeCell ref="AJ493:AL493"/>
    <mergeCell ref="AJ494:AL494"/>
    <mergeCell ref="AJ495:AL495"/>
    <mergeCell ref="A496:A522"/>
    <mergeCell ref="B496:D522"/>
    <mergeCell ref="E496:E498"/>
    <mergeCell ref="F496:H522"/>
    <mergeCell ref="I496:J522"/>
    <mergeCell ref="K496:L522"/>
    <mergeCell ref="M493:O495"/>
    <mergeCell ref="P493:Q495"/>
    <mergeCell ref="R493:S495"/>
    <mergeCell ref="T493:U495"/>
    <mergeCell ref="V493:W495"/>
    <mergeCell ref="X493:Z495"/>
    <mergeCell ref="T490:U492"/>
    <mergeCell ref="V490:W492"/>
    <mergeCell ref="X490:Z492"/>
    <mergeCell ref="AA490:AB492"/>
    <mergeCell ref="AJ490:AL490"/>
    <mergeCell ref="AJ491:AL491"/>
    <mergeCell ref="AJ492:AL492"/>
    <mergeCell ref="AJ487:AL487"/>
    <mergeCell ref="AJ488:AL488"/>
    <mergeCell ref="AJ489:AL489"/>
    <mergeCell ref="E490:E492"/>
    <mergeCell ref="F490:H492"/>
    <mergeCell ref="I490:J492"/>
    <mergeCell ref="K490:L492"/>
    <mergeCell ref="M490:O492"/>
    <mergeCell ref="P490:Q492"/>
    <mergeCell ref="R490:S492"/>
    <mergeCell ref="P487:Q489"/>
    <mergeCell ref="R487:S489"/>
    <mergeCell ref="T487:U489"/>
    <mergeCell ref="V487:W489"/>
    <mergeCell ref="X487:Z489"/>
    <mergeCell ref="AA487:AB489"/>
    <mergeCell ref="AC495:AD495"/>
    <mergeCell ref="AF484:AH495"/>
    <mergeCell ref="AJ484:AL484"/>
    <mergeCell ref="AJ485:AL485"/>
    <mergeCell ref="AJ486:AL486"/>
    <mergeCell ref="E487:E489"/>
    <mergeCell ref="F487:H489"/>
    <mergeCell ref="I487:J489"/>
    <mergeCell ref="K487:L489"/>
    <mergeCell ref="M487:O489"/>
    <mergeCell ref="AC489:AD489"/>
    <mergeCell ref="AC490:AD490"/>
    <mergeCell ref="AC491:AD491"/>
    <mergeCell ref="AC492:AD492"/>
    <mergeCell ref="AC493:AD493"/>
    <mergeCell ref="AC494:AD494"/>
    <mergeCell ref="AA484:AB486"/>
    <mergeCell ref="AC484:AD484"/>
    <mergeCell ref="AC485:AD485"/>
    <mergeCell ref="AC486:AD486"/>
    <mergeCell ref="AC487:AD487"/>
    <mergeCell ref="AC488:AD488"/>
    <mergeCell ref="M484:O486"/>
    <mergeCell ref="P484:Q486"/>
    <mergeCell ref="R484:S486"/>
    <mergeCell ref="V502:W504"/>
    <mergeCell ref="X502:Z504"/>
    <mergeCell ref="AA502:AB504"/>
    <mergeCell ref="AJ502:AL502"/>
    <mergeCell ref="AJ503:AL503"/>
    <mergeCell ref="AJ504:AL504"/>
    <mergeCell ref="X499:Z501"/>
    <mergeCell ref="AA499:AB501"/>
    <mergeCell ref="AJ499:AL499"/>
    <mergeCell ref="AJ500:AL500"/>
    <mergeCell ref="AJ501:AL501"/>
    <mergeCell ref="E502:E504"/>
    <mergeCell ref="M502:O504"/>
    <mergeCell ref="P502:Q504"/>
    <mergeCell ref="R502:S504"/>
    <mergeCell ref="T502:U504"/>
    <mergeCell ref="E499:E501"/>
    <mergeCell ref="M499:O501"/>
    <mergeCell ref="P499:Q501"/>
    <mergeCell ref="R499:S501"/>
    <mergeCell ref="T499:U501"/>
    <mergeCell ref="V499:W501"/>
    <mergeCell ref="AC519:AD519"/>
    <mergeCell ref="AC520:AD520"/>
    <mergeCell ref="AC521:AD521"/>
    <mergeCell ref="AC522:AD522"/>
    <mergeCell ref="AF496:AH522"/>
    <mergeCell ref="AJ496:AL496"/>
    <mergeCell ref="AJ497:AL497"/>
    <mergeCell ref="AJ498:AL498"/>
    <mergeCell ref="AC513:AD513"/>
    <mergeCell ref="AC514:AD514"/>
    <mergeCell ref="AC515:AD515"/>
    <mergeCell ref="AC516:AD516"/>
    <mergeCell ref="AC517:AD517"/>
    <mergeCell ref="AC518:AD518"/>
    <mergeCell ref="AC507:AD507"/>
    <mergeCell ref="AC508:AD508"/>
    <mergeCell ref="AC509:AD509"/>
    <mergeCell ref="AC510:AD510"/>
    <mergeCell ref="AC511:AD511"/>
    <mergeCell ref="AC512:AD512"/>
    <mergeCell ref="AC501:AD501"/>
    <mergeCell ref="AC502:AD502"/>
    <mergeCell ref="AC503:AD503"/>
    <mergeCell ref="AC504:AD504"/>
    <mergeCell ref="AC505:AD505"/>
    <mergeCell ref="AC506:AD506"/>
    <mergeCell ref="AA496:AB498"/>
    <mergeCell ref="AC496:AD496"/>
    <mergeCell ref="AC497:AD497"/>
    <mergeCell ref="AC498:AD498"/>
    <mergeCell ref="AC499:AD499"/>
    <mergeCell ref="AC500:AD500"/>
    <mergeCell ref="M496:O498"/>
    <mergeCell ref="P496:Q498"/>
    <mergeCell ref="R496:S498"/>
    <mergeCell ref="T496:U498"/>
    <mergeCell ref="V496:W498"/>
    <mergeCell ref="X496:Z498"/>
    <mergeCell ref="X511:Z513"/>
    <mergeCell ref="AA511:AB513"/>
    <mergeCell ref="AJ511:AL511"/>
    <mergeCell ref="AJ512:AL512"/>
    <mergeCell ref="AJ513:AL513"/>
    <mergeCell ref="E514:E516"/>
    <mergeCell ref="M514:O516"/>
    <mergeCell ref="P514:Q516"/>
    <mergeCell ref="R514:S516"/>
    <mergeCell ref="T514:U516"/>
    <mergeCell ref="E511:E513"/>
    <mergeCell ref="M511:O513"/>
    <mergeCell ref="P511:Q513"/>
    <mergeCell ref="R511:S513"/>
    <mergeCell ref="T511:U513"/>
    <mergeCell ref="V511:W513"/>
    <mergeCell ref="V508:W510"/>
    <mergeCell ref="X508:Z510"/>
    <mergeCell ref="AA508:AB510"/>
    <mergeCell ref="AJ508:AL508"/>
    <mergeCell ref="AJ509:AL509"/>
    <mergeCell ref="AJ510:AL510"/>
    <mergeCell ref="X505:Z507"/>
    <mergeCell ref="AA505:AB507"/>
    <mergeCell ref="AJ505:AL505"/>
    <mergeCell ref="AJ506:AL506"/>
    <mergeCell ref="AJ507:AL507"/>
    <mergeCell ref="E508:E510"/>
    <mergeCell ref="M508:O510"/>
    <mergeCell ref="P508:Q510"/>
    <mergeCell ref="R508:S510"/>
    <mergeCell ref="T508:U510"/>
    <mergeCell ref="E505:E507"/>
    <mergeCell ref="M505:O507"/>
    <mergeCell ref="P505:Q507"/>
    <mergeCell ref="R505:S507"/>
    <mergeCell ref="T505:U507"/>
    <mergeCell ref="V505:W507"/>
    <mergeCell ref="A523:A541"/>
    <mergeCell ref="B523:D541"/>
    <mergeCell ref="E523:E525"/>
    <mergeCell ref="F523:H541"/>
    <mergeCell ref="I523:J541"/>
    <mergeCell ref="K523:L525"/>
    <mergeCell ref="E526:E528"/>
    <mergeCell ref="K526:L528"/>
    <mergeCell ref="E529:E530"/>
    <mergeCell ref="K529:L530"/>
    <mergeCell ref="V520:W522"/>
    <mergeCell ref="X520:Z522"/>
    <mergeCell ref="AA520:AB522"/>
    <mergeCell ref="AJ520:AL520"/>
    <mergeCell ref="AJ521:AL521"/>
    <mergeCell ref="AJ522:AL522"/>
    <mergeCell ref="X517:Z519"/>
    <mergeCell ref="AA517:AB519"/>
    <mergeCell ref="AJ517:AL517"/>
    <mergeCell ref="AJ518:AL518"/>
    <mergeCell ref="AJ519:AL519"/>
    <mergeCell ref="E520:E522"/>
    <mergeCell ref="M520:O522"/>
    <mergeCell ref="P520:Q522"/>
    <mergeCell ref="R520:S522"/>
    <mergeCell ref="T520:U522"/>
    <mergeCell ref="E517:E519"/>
    <mergeCell ref="M517:O519"/>
    <mergeCell ref="P517:Q519"/>
    <mergeCell ref="R517:S519"/>
    <mergeCell ref="T517:U519"/>
    <mergeCell ref="V517:W519"/>
    <mergeCell ref="V514:W516"/>
    <mergeCell ref="X514:Z516"/>
    <mergeCell ref="AA514:AB516"/>
    <mergeCell ref="AJ514:AL514"/>
    <mergeCell ref="AJ515:AL515"/>
    <mergeCell ref="AJ516:AL516"/>
    <mergeCell ref="AA529:AB530"/>
    <mergeCell ref="AJ529:AL529"/>
    <mergeCell ref="AJ530:AL530"/>
    <mergeCell ref="AJ531:AL531"/>
    <mergeCell ref="E531:E532"/>
    <mergeCell ref="K531:L532"/>
    <mergeCell ref="M531:O532"/>
    <mergeCell ref="P531:Q532"/>
    <mergeCell ref="R531:S532"/>
    <mergeCell ref="T531:U532"/>
    <mergeCell ref="M529:O530"/>
    <mergeCell ref="P529:Q530"/>
    <mergeCell ref="R529:S530"/>
    <mergeCell ref="T529:U530"/>
    <mergeCell ref="V529:W530"/>
    <mergeCell ref="X529:Z530"/>
    <mergeCell ref="M526:O528"/>
    <mergeCell ref="P526:Q528"/>
    <mergeCell ref="R526:S528"/>
    <mergeCell ref="T526:U528"/>
    <mergeCell ref="V526:W528"/>
    <mergeCell ref="X526:Z528"/>
    <mergeCell ref="AC540:AD540"/>
    <mergeCell ref="AC541:AD541"/>
    <mergeCell ref="AF523:AH541"/>
    <mergeCell ref="AJ523:AL523"/>
    <mergeCell ref="AJ524:AL524"/>
    <mergeCell ref="AJ525:AL525"/>
    <mergeCell ref="AJ526:AL526"/>
    <mergeCell ref="AJ527:AL527"/>
    <mergeCell ref="AJ528:AL528"/>
    <mergeCell ref="AC534:AD534"/>
    <mergeCell ref="AC535:AD535"/>
    <mergeCell ref="AC536:AD536"/>
    <mergeCell ref="AC537:AD537"/>
    <mergeCell ref="AC538:AD538"/>
    <mergeCell ref="AC539:AD539"/>
    <mergeCell ref="AC528:AD528"/>
    <mergeCell ref="AC529:AD529"/>
    <mergeCell ref="AC530:AD530"/>
    <mergeCell ref="AC531:AD531"/>
    <mergeCell ref="AC532:AD532"/>
    <mergeCell ref="AC533:AD533"/>
    <mergeCell ref="AA523:AB525"/>
    <mergeCell ref="AC523:AD523"/>
    <mergeCell ref="AC524:AD524"/>
    <mergeCell ref="AC525:AD525"/>
    <mergeCell ref="AC526:AD526"/>
    <mergeCell ref="AC527:AD527"/>
    <mergeCell ref="AA526:AB528"/>
    <mergeCell ref="M523:O525"/>
    <mergeCell ref="P523:Q525"/>
    <mergeCell ref="R523:S525"/>
    <mergeCell ref="T523:U525"/>
    <mergeCell ref="V523:W525"/>
    <mergeCell ref="X523:Z525"/>
    <mergeCell ref="V539:W541"/>
    <mergeCell ref="X539:Z541"/>
    <mergeCell ref="AA539:AB541"/>
    <mergeCell ref="AJ539:AL539"/>
    <mergeCell ref="AJ540:AL540"/>
    <mergeCell ref="AJ541:AL541"/>
    <mergeCell ref="E539:E541"/>
    <mergeCell ref="K539:L541"/>
    <mergeCell ref="M539:O541"/>
    <mergeCell ref="P539:Q541"/>
    <mergeCell ref="R539:S541"/>
    <mergeCell ref="T539:U541"/>
    <mergeCell ref="V536:W538"/>
    <mergeCell ref="X536:Z538"/>
    <mergeCell ref="AA536:AB538"/>
    <mergeCell ref="AJ536:AL536"/>
    <mergeCell ref="AJ537:AL537"/>
    <mergeCell ref="AJ538:AL538"/>
    <mergeCell ref="E536:E538"/>
    <mergeCell ref="K536:L538"/>
    <mergeCell ref="M536:O538"/>
    <mergeCell ref="P536:Q538"/>
    <mergeCell ref="R536:S538"/>
    <mergeCell ref="T536:U538"/>
    <mergeCell ref="V533:W535"/>
    <mergeCell ref="X533:Z535"/>
    <mergeCell ref="AA533:AB535"/>
    <mergeCell ref="AJ533:AL533"/>
    <mergeCell ref="AJ534:AL534"/>
    <mergeCell ref="AJ535:AL535"/>
    <mergeCell ref="V531:W532"/>
    <mergeCell ref="X531:Z532"/>
    <mergeCell ref="AA531:AB532"/>
    <mergeCell ref="AJ532:AL532"/>
    <mergeCell ref="E533:E535"/>
    <mergeCell ref="K533:L535"/>
    <mergeCell ref="M533:O535"/>
    <mergeCell ref="P533:Q535"/>
    <mergeCell ref="R533:S535"/>
    <mergeCell ref="T533:U535"/>
    <mergeCell ref="T549:U550"/>
    <mergeCell ref="V549:W550"/>
    <mergeCell ref="X549:Z550"/>
    <mergeCell ref="AA549:AB550"/>
    <mergeCell ref="AJ549:AL549"/>
    <mergeCell ref="AJ550:AL550"/>
    <mergeCell ref="T547:U548"/>
    <mergeCell ref="V547:W548"/>
    <mergeCell ref="X547:Z548"/>
    <mergeCell ref="AA547:AB548"/>
    <mergeCell ref="AJ548:AL548"/>
    <mergeCell ref="E549:E550"/>
    <mergeCell ref="K549:L550"/>
    <mergeCell ref="M549:O550"/>
    <mergeCell ref="P549:Q550"/>
    <mergeCell ref="R549:S550"/>
    <mergeCell ref="X545:Z546"/>
    <mergeCell ref="AA545:AB546"/>
    <mergeCell ref="AJ545:AL545"/>
    <mergeCell ref="AJ546:AL546"/>
    <mergeCell ref="AJ547:AL547"/>
    <mergeCell ref="E547:E548"/>
    <mergeCell ref="K547:L548"/>
    <mergeCell ref="M547:O548"/>
    <mergeCell ref="P547:Q548"/>
    <mergeCell ref="R547:S548"/>
    <mergeCell ref="AJ542:AL542"/>
    <mergeCell ref="AJ543:AL543"/>
    <mergeCell ref="AJ544:AL544"/>
    <mergeCell ref="E545:E546"/>
    <mergeCell ref="K545:L546"/>
    <mergeCell ref="M545:O546"/>
    <mergeCell ref="P545:Q546"/>
    <mergeCell ref="R545:S546"/>
    <mergeCell ref="T545:U546"/>
    <mergeCell ref="V545:W546"/>
    <mergeCell ref="AC547:AD547"/>
    <mergeCell ref="AC548:AD548"/>
    <mergeCell ref="AC549:AD549"/>
    <mergeCell ref="AC550:AD550"/>
    <mergeCell ref="AA542:AB544"/>
    <mergeCell ref="AC542:AD542"/>
    <mergeCell ref="AC543:AD543"/>
    <mergeCell ref="AC544:AD544"/>
    <mergeCell ref="AC545:AD545"/>
    <mergeCell ref="AC546:AD546"/>
    <mergeCell ref="M542:O544"/>
    <mergeCell ref="P542:Q544"/>
    <mergeCell ref="R542:S544"/>
    <mergeCell ref="T542:U544"/>
    <mergeCell ref="V542:W544"/>
    <mergeCell ref="X542:Z544"/>
    <mergeCell ref="E542:E544"/>
    <mergeCell ref="F542:H558"/>
    <mergeCell ref="I542:J558"/>
    <mergeCell ref="K542:L544"/>
    <mergeCell ref="A559:A564"/>
    <mergeCell ref="B559:D564"/>
    <mergeCell ref="E559:E561"/>
    <mergeCell ref="F559:H564"/>
    <mergeCell ref="I559:J564"/>
    <mergeCell ref="AJ553:AL553"/>
    <mergeCell ref="AJ554:AL554"/>
    <mergeCell ref="AJ555:AL555"/>
    <mergeCell ref="E556:E558"/>
    <mergeCell ref="K556:L558"/>
    <mergeCell ref="M556:O558"/>
    <mergeCell ref="P556:Q558"/>
    <mergeCell ref="R556:S558"/>
    <mergeCell ref="T556:U558"/>
    <mergeCell ref="V556:W558"/>
    <mergeCell ref="AJ552:AL552"/>
    <mergeCell ref="E553:E555"/>
    <mergeCell ref="K553:L555"/>
    <mergeCell ref="M553:O555"/>
    <mergeCell ref="P553:Q555"/>
    <mergeCell ref="R553:S555"/>
    <mergeCell ref="T553:U555"/>
    <mergeCell ref="V553:W555"/>
    <mergeCell ref="X553:Z555"/>
    <mergeCell ref="AA553:AB555"/>
    <mergeCell ref="AJ551:AL551"/>
    <mergeCell ref="E551:E552"/>
    <mergeCell ref="K551:L552"/>
    <mergeCell ref="M551:O552"/>
    <mergeCell ref="P551:Q552"/>
    <mergeCell ref="R551:S552"/>
    <mergeCell ref="T551:U552"/>
    <mergeCell ref="V551:W552"/>
    <mergeCell ref="X551:Z552"/>
    <mergeCell ref="AA551:AB552"/>
    <mergeCell ref="AC553:AD553"/>
    <mergeCell ref="AC554:AD554"/>
    <mergeCell ref="AC555:AD555"/>
    <mergeCell ref="AC556:AD556"/>
    <mergeCell ref="AC557:AD557"/>
    <mergeCell ref="AC558:AD558"/>
    <mergeCell ref="AC551:AD551"/>
    <mergeCell ref="AC552:AD552"/>
    <mergeCell ref="A542:A558"/>
    <mergeCell ref="B542:D558"/>
    <mergeCell ref="V562:W564"/>
    <mergeCell ref="X562:Z564"/>
    <mergeCell ref="AA562:AB564"/>
    <mergeCell ref="AJ562:AL562"/>
    <mergeCell ref="AJ563:AL563"/>
    <mergeCell ref="AJ564:AL564"/>
    <mergeCell ref="E562:E564"/>
    <mergeCell ref="K562:L564"/>
    <mergeCell ref="M562:O564"/>
    <mergeCell ref="P562:Q564"/>
    <mergeCell ref="R562:S564"/>
    <mergeCell ref="T562:U564"/>
    <mergeCell ref="AC563:AD563"/>
    <mergeCell ref="AC564:AD564"/>
    <mergeCell ref="AF559:AH564"/>
    <mergeCell ref="AJ559:AL559"/>
    <mergeCell ref="AJ560:AL560"/>
    <mergeCell ref="AJ561:AL561"/>
    <mergeCell ref="X559:Z561"/>
    <mergeCell ref="AA559:AB561"/>
    <mergeCell ref="AC559:AD559"/>
    <mergeCell ref="AC560:AD560"/>
    <mergeCell ref="AC561:AD561"/>
    <mergeCell ref="AC562:AD562"/>
    <mergeCell ref="K559:L561"/>
    <mergeCell ref="M559:O561"/>
    <mergeCell ref="P559:Q561"/>
    <mergeCell ref="R559:S561"/>
    <mergeCell ref="T559:U561"/>
    <mergeCell ref="V559:W561"/>
    <mergeCell ref="X556:Z558"/>
    <mergeCell ref="AA556:AB558"/>
    <mergeCell ref="AJ556:AL556"/>
    <mergeCell ref="AJ557:AL557"/>
    <mergeCell ref="AJ558:AL558"/>
    <mergeCell ref="T577:U579"/>
    <mergeCell ref="V577:W579"/>
    <mergeCell ref="A577:A606"/>
    <mergeCell ref="B577:D606"/>
    <mergeCell ref="E577:E579"/>
    <mergeCell ref="F577:H579"/>
    <mergeCell ref="I577:J577"/>
    <mergeCell ref="I578:J578"/>
    <mergeCell ref="I579:J579"/>
    <mergeCell ref="E580:E582"/>
    <mergeCell ref="F580:H606"/>
    <mergeCell ref="I580:J606"/>
    <mergeCell ref="AJ571:AL571"/>
    <mergeCell ref="AJ572:AL572"/>
    <mergeCell ref="AJ573:AL573"/>
    <mergeCell ref="E574:E576"/>
    <mergeCell ref="AJ574:AL574"/>
    <mergeCell ref="AJ575:AL575"/>
    <mergeCell ref="AJ576:AL576"/>
    <mergeCell ref="AC574:AD574"/>
    <mergeCell ref="AC575:AD575"/>
    <mergeCell ref="AC576:AD576"/>
    <mergeCell ref="AF565:AH576"/>
    <mergeCell ref="AJ565:AL565"/>
    <mergeCell ref="AJ566:AL566"/>
    <mergeCell ref="AJ567:AL567"/>
    <mergeCell ref="AJ568:AL568"/>
    <mergeCell ref="AJ569:AL569"/>
    <mergeCell ref="AJ570:AL570"/>
    <mergeCell ref="AA565:AB576"/>
    <mergeCell ref="AC565:AD565"/>
    <mergeCell ref="AC566:AD566"/>
    <mergeCell ref="AC567:AD567"/>
    <mergeCell ref="AC568:AD568"/>
    <mergeCell ref="AC569:AD569"/>
    <mergeCell ref="AC570:AD570"/>
    <mergeCell ref="AC571:AD571"/>
    <mergeCell ref="AC572:AD572"/>
    <mergeCell ref="AC573:AD573"/>
    <mergeCell ref="M565:O576"/>
    <mergeCell ref="P565:Q576"/>
    <mergeCell ref="R565:S576"/>
    <mergeCell ref="T565:U576"/>
    <mergeCell ref="V565:W576"/>
    <mergeCell ref="X565:Z576"/>
    <mergeCell ref="A565:A576"/>
    <mergeCell ref="B565:D576"/>
    <mergeCell ref="E565:E567"/>
    <mergeCell ref="F565:H576"/>
    <mergeCell ref="I565:J576"/>
    <mergeCell ref="K565:L576"/>
    <mergeCell ref="E568:E570"/>
    <mergeCell ref="E571:E573"/>
    <mergeCell ref="V583:W585"/>
    <mergeCell ref="X583:Z585"/>
    <mergeCell ref="AA583:AB585"/>
    <mergeCell ref="AJ583:AL583"/>
    <mergeCell ref="AJ584:AL584"/>
    <mergeCell ref="AJ585:AL585"/>
    <mergeCell ref="E583:E585"/>
    <mergeCell ref="K583:L585"/>
    <mergeCell ref="M583:O585"/>
    <mergeCell ref="P583:Q585"/>
    <mergeCell ref="R583:S585"/>
    <mergeCell ref="T583:U585"/>
    <mergeCell ref="K580:L582"/>
    <mergeCell ref="M580:O582"/>
    <mergeCell ref="P580:Q582"/>
    <mergeCell ref="R580:S582"/>
    <mergeCell ref="T580:U582"/>
    <mergeCell ref="V580:W582"/>
    <mergeCell ref="AC605:AD605"/>
    <mergeCell ref="AC606:AD606"/>
    <mergeCell ref="AF577:AH606"/>
    <mergeCell ref="AJ577:AL577"/>
    <mergeCell ref="AJ578:AL578"/>
    <mergeCell ref="AJ579:AL579"/>
    <mergeCell ref="AJ580:AL580"/>
    <mergeCell ref="AJ581:AL581"/>
    <mergeCell ref="AJ582:AL582"/>
    <mergeCell ref="AJ589:AL589"/>
    <mergeCell ref="AC599:AD599"/>
    <mergeCell ref="AC600:AD600"/>
    <mergeCell ref="AC601:AD601"/>
    <mergeCell ref="AC602:AD602"/>
    <mergeCell ref="AC603:AD603"/>
    <mergeCell ref="AC604:AD604"/>
    <mergeCell ref="AC593:AD593"/>
    <mergeCell ref="AC594:AD594"/>
    <mergeCell ref="AC595:AD595"/>
    <mergeCell ref="AC596:AD596"/>
    <mergeCell ref="AC597:AD597"/>
    <mergeCell ref="AC598:AD598"/>
    <mergeCell ref="AC587:AD587"/>
    <mergeCell ref="AC588:AD588"/>
    <mergeCell ref="AC589:AD589"/>
    <mergeCell ref="AC590:AD590"/>
    <mergeCell ref="AC591:AD591"/>
    <mergeCell ref="AC592:AD592"/>
    <mergeCell ref="AC581:AD581"/>
    <mergeCell ref="AC582:AD582"/>
    <mergeCell ref="AC583:AD583"/>
    <mergeCell ref="AC584:AD584"/>
    <mergeCell ref="AC585:AD585"/>
    <mergeCell ref="AC586:AD586"/>
    <mergeCell ref="X577:Z579"/>
    <mergeCell ref="AA577:AB579"/>
    <mergeCell ref="AC577:AD577"/>
    <mergeCell ref="AC578:AD578"/>
    <mergeCell ref="AC579:AD579"/>
    <mergeCell ref="AC580:AD580"/>
    <mergeCell ref="X580:Z582"/>
    <mergeCell ref="AA580:AB582"/>
    <mergeCell ref="K577:L579"/>
    <mergeCell ref="M577:O579"/>
    <mergeCell ref="P577:Q579"/>
    <mergeCell ref="R577:S579"/>
    <mergeCell ref="AA589:AB589"/>
    <mergeCell ref="E590:E591"/>
    <mergeCell ref="K590:L591"/>
    <mergeCell ref="M590:O591"/>
    <mergeCell ref="P590:Q591"/>
    <mergeCell ref="R590:S591"/>
    <mergeCell ref="T590:U591"/>
    <mergeCell ref="V590:W591"/>
    <mergeCell ref="X590:Z591"/>
    <mergeCell ref="AA590:AB591"/>
    <mergeCell ref="M589:O589"/>
    <mergeCell ref="P589:Q589"/>
    <mergeCell ref="R589:S589"/>
    <mergeCell ref="T589:U589"/>
    <mergeCell ref="V589:W589"/>
    <mergeCell ref="X589:Z589"/>
    <mergeCell ref="AJ590:AL590"/>
    <mergeCell ref="K588:L588"/>
    <mergeCell ref="M588:O588"/>
    <mergeCell ref="P588:Q588"/>
    <mergeCell ref="R588:S588"/>
    <mergeCell ref="T588:U588"/>
    <mergeCell ref="V588:W588"/>
    <mergeCell ref="X588:Z588"/>
    <mergeCell ref="AA588:AB588"/>
    <mergeCell ref="K589:L589"/>
    <mergeCell ref="V586:W587"/>
    <mergeCell ref="X586:Z587"/>
    <mergeCell ref="AA586:AB587"/>
    <mergeCell ref="AJ586:AL586"/>
    <mergeCell ref="AJ587:AL587"/>
    <mergeCell ref="AJ588:AL588"/>
    <mergeCell ref="E586:E587"/>
    <mergeCell ref="K586:L587"/>
    <mergeCell ref="M586:O587"/>
    <mergeCell ref="P586:Q587"/>
    <mergeCell ref="R586:S587"/>
    <mergeCell ref="T586:U587"/>
    <mergeCell ref="T598:U600"/>
    <mergeCell ref="V598:W600"/>
    <mergeCell ref="X598:Z600"/>
    <mergeCell ref="AA598:AB600"/>
    <mergeCell ref="AJ598:AL598"/>
    <mergeCell ref="AJ599:AL599"/>
    <mergeCell ref="AJ600:AL600"/>
    <mergeCell ref="X595:Z597"/>
    <mergeCell ref="AA595:AB597"/>
    <mergeCell ref="AJ595:AL595"/>
    <mergeCell ref="AJ596:AL596"/>
    <mergeCell ref="AJ597:AL597"/>
    <mergeCell ref="E598:E600"/>
    <mergeCell ref="K598:L600"/>
    <mergeCell ref="M598:O600"/>
    <mergeCell ref="P598:Q600"/>
    <mergeCell ref="R598:S600"/>
    <mergeCell ref="AJ592:AL592"/>
    <mergeCell ref="AJ593:AL593"/>
    <mergeCell ref="AJ594:AL594"/>
    <mergeCell ref="E595:E597"/>
    <mergeCell ref="K595:L597"/>
    <mergeCell ref="M595:O597"/>
    <mergeCell ref="P595:Q597"/>
    <mergeCell ref="R595:S597"/>
    <mergeCell ref="T595:U597"/>
    <mergeCell ref="V595:W597"/>
    <mergeCell ref="AJ591:AL591"/>
    <mergeCell ref="E592:E594"/>
    <mergeCell ref="K592:L594"/>
    <mergeCell ref="M592:O594"/>
    <mergeCell ref="P592:Q594"/>
    <mergeCell ref="R592:S594"/>
    <mergeCell ref="T592:U594"/>
    <mergeCell ref="V592:W594"/>
    <mergeCell ref="X592:Z594"/>
    <mergeCell ref="AA592:AB594"/>
    <mergeCell ref="B616:D616"/>
    <mergeCell ref="B617:D617"/>
    <mergeCell ref="B618:D618"/>
    <mergeCell ref="B619:D619"/>
    <mergeCell ref="B620:D620"/>
    <mergeCell ref="B621:D621"/>
    <mergeCell ref="A607:A621"/>
    <mergeCell ref="B607:D607"/>
    <mergeCell ref="B608:D608"/>
    <mergeCell ref="B609:D609"/>
    <mergeCell ref="B610:D610"/>
    <mergeCell ref="B611:D611"/>
    <mergeCell ref="B612:D612"/>
    <mergeCell ref="B613:D613"/>
    <mergeCell ref="B614:D614"/>
    <mergeCell ref="B615:D615"/>
    <mergeCell ref="V604:W606"/>
    <mergeCell ref="X604:Z606"/>
    <mergeCell ref="AA604:AB606"/>
    <mergeCell ref="AJ604:AL604"/>
    <mergeCell ref="AJ605:AL605"/>
    <mergeCell ref="AJ606:AL606"/>
    <mergeCell ref="E604:E606"/>
    <mergeCell ref="K604:L606"/>
    <mergeCell ref="M604:O606"/>
    <mergeCell ref="P604:Q606"/>
    <mergeCell ref="R604:S606"/>
    <mergeCell ref="T604:U606"/>
    <mergeCell ref="V601:W603"/>
    <mergeCell ref="X601:Z603"/>
    <mergeCell ref="AA601:AB603"/>
    <mergeCell ref="AJ601:AL601"/>
    <mergeCell ref="AJ602:AL602"/>
    <mergeCell ref="AJ603:AL603"/>
    <mergeCell ref="E601:E603"/>
    <mergeCell ref="K601:L603"/>
    <mergeCell ref="M601:O603"/>
    <mergeCell ref="P601:Q603"/>
    <mergeCell ref="R601:S603"/>
    <mergeCell ref="T601:U603"/>
    <mergeCell ref="AJ607:AL607"/>
    <mergeCell ref="AJ608:AL608"/>
    <mergeCell ref="AJ609:AL609"/>
    <mergeCell ref="AJ610:AL610"/>
    <mergeCell ref="E611:E614"/>
    <mergeCell ref="F611:H614"/>
    <mergeCell ref="I611:J614"/>
    <mergeCell ref="K611:L614"/>
    <mergeCell ref="M611:O614"/>
    <mergeCell ref="P611:Q614"/>
    <mergeCell ref="AC617:AD617"/>
    <mergeCell ref="AC618:AD618"/>
    <mergeCell ref="AC619:AD619"/>
    <mergeCell ref="AC620:AD620"/>
    <mergeCell ref="AC621:AD621"/>
    <mergeCell ref="AF607:AH621"/>
    <mergeCell ref="AC611:AD611"/>
    <mergeCell ref="AC612:AD612"/>
    <mergeCell ref="AC613:AD613"/>
    <mergeCell ref="AC614:AD614"/>
    <mergeCell ref="AC615:AD615"/>
    <mergeCell ref="AC616:AD616"/>
    <mergeCell ref="R607:S610"/>
    <mergeCell ref="T607:U610"/>
    <mergeCell ref="V607:W610"/>
    <mergeCell ref="X607:Z610"/>
    <mergeCell ref="AA607:AB610"/>
    <mergeCell ref="AC607:AD607"/>
    <mergeCell ref="AC608:AD608"/>
    <mergeCell ref="AC609:AD609"/>
    <mergeCell ref="AC610:AD610"/>
    <mergeCell ref="E607:E610"/>
    <mergeCell ref="F607:H610"/>
    <mergeCell ref="I607:J610"/>
    <mergeCell ref="K607:L610"/>
    <mergeCell ref="M607:O610"/>
    <mergeCell ref="P607:Q610"/>
    <mergeCell ref="R619:S621"/>
    <mergeCell ref="T619:U621"/>
    <mergeCell ref="V619:W621"/>
    <mergeCell ref="X619:Z621"/>
    <mergeCell ref="AA619:AB621"/>
    <mergeCell ref="AJ619:AL619"/>
    <mergeCell ref="AJ620:AL620"/>
    <mergeCell ref="AJ621:AL621"/>
    <mergeCell ref="E619:E621"/>
    <mergeCell ref="F619:H621"/>
    <mergeCell ref="I619:J621"/>
    <mergeCell ref="K619:L621"/>
    <mergeCell ref="M619:O621"/>
    <mergeCell ref="P619:Q621"/>
    <mergeCell ref="R615:S618"/>
    <mergeCell ref="T615:U618"/>
    <mergeCell ref="V615:W618"/>
    <mergeCell ref="X615:Z618"/>
    <mergeCell ref="AA615:AB618"/>
    <mergeCell ref="AJ615:AL615"/>
    <mergeCell ref="AJ616:AL616"/>
    <mergeCell ref="AJ617:AL617"/>
    <mergeCell ref="AJ618:AL618"/>
    <mergeCell ref="E615:E618"/>
    <mergeCell ref="F615:H618"/>
    <mergeCell ref="I615:J618"/>
    <mergeCell ref="K615:L618"/>
    <mergeCell ref="M615:O618"/>
    <mergeCell ref="P615:Q618"/>
    <mergeCell ref="R611:S614"/>
    <mergeCell ref="T611:U614"/>
    <mergeCell ref="V611:W614"/>
    <mergeCell ref="X611:Z614"/>
    <mergeCell ref="AA611:AB614"/>
    <mergeCell ref="AJ611:AL611"/>
    <mergeCell ref="AJ612:AL612"/>
    <mergeCell ref="AJ613:AL613"/>
    <mergeCell ref="AJ614:AL614"/>
    <mergeCell ref="AJ622:AL622"/>
    <mergeCell ref="F623:H623"/>
    <mergeCell ref="I623:J623"/>
    <mergeCell ref="K623:L623"/>
    <mergeCell ref="M623:O623"/>
    <mergeCell ref="P623:Q623"/>
    <mergeCell ref="R623:S623"/>
    <mergeCell ref="T623:U623"/>
    <mergeCell ref="V623:W623"/>
    <mergeCell ref="X623:Z623"/>
    <mergeCell ref="AC628:AD628"/>
    <mergeCell ref="AC629:AD629"/>
    <mergeCell ref="AC630:AD630"/>
    <mergeCell ref="AC631:AD631"/>
    <mergeCell ref="AC632:AD632"/>
    <mergeCell ref="AF622:AH632"/>
    <mergeCell ref="AC622:AD622"/>
    <mergeCell ref="AC623:AD623"/>
    <mergeCell ref="AC624:AD624"/>
    <mergeCell ref="AC625:AD625"/>
    <mergeCell ref="AC626:AD626"/>
    <mergeCell ref="AC627:AD627"/>
    <mergeCell ref="P622:Q622"/>
    <mergeCell ref="R622:S622"/>
    <mergeCell ref="T622:U622"/>
    <mergeCell ref="V622:W622"/>
    <mergeCell ref="X622:Z622"/>
    <mergeCell ref="AA622:AB622"/>
    <mergeCell ref="B631:D631"/>
    <mergeCell ref="B632:D632"/>
    <mergeCell ref="F622:H622"/>
    <mergeCell ref="I622:J622"/>
    <mergeCell ref="K622:L622"/>
    <mergeCell ref="M622:O622"/>
    <mergeCell ref="B622:D622"/>
    <mergeCell ref="B623:D623"/>
    <mergeCell ref="B624:D624"/>
    <mergeCell ref="B625:D625"/>
    <mergeCell ref="B626:D626"/>
    <mergeCell ref="B627:D627"/>
    <mergeCell ref="B628:D628"/>
    <mergeCell ref="B629:D629"/>
    <mergeCell ref="B630:D630"/>
    <mergeCell ref="R626:S627"/>
    <mergeCell ref="T626:U627"/>
    <mergeCell ref="V626:W627"/>
    <mergeCell ref="X626:Z627"/>
    <mergeCell ref="AA626:AB627"/>
    <mergeCell ref="AJ626:AL626"/>
    <mergeCell ref="AJ627:AL627"/>
    <mergeCell ref="V625:W625"/>
    <mergeCell ref="X625:Z625"/>
    <mergeCell ref="AA625:AB625"/>
    <mergeCell ref="AJ625:AL625"/>
    <mergeCell ref="E626:E627"/>
    <mergeCell ref="F626:H627"/>
    <mergeCell ref="I626:J627"/>
    <mergeCell ref="K626:L627"/>
    <mergeCell ref="M626:O627"/>
    <mergeCell ref="P626:Q627"/>
    <mergeCell ref="X624:Z624"/>
    <mergeCell ref="AA624:AB624"/>
    <mergeCell ref="AJ624:AL624"/>
    <mergeCell ref="F625:H625"/>
    <mergeCell ref="I625:J625"/>
    <mergeCell ref="K625:L625"/>
    <mergeCell ref="M625:O625"/>
    <mergeCell ref="P625:Q625"/>
    <mergeCell ref="R625:S625"/>
    <mergeCell ref="T625:U625"/>
    <mergeCell ref="AA623:AB623"/>
    <mergeCell ref="AJ623:AL623"/>
    <mergeCell ref="F624:H624"/>
    <mergeCell ref="I624:J624"/>
    <mergeCell ref="K624:L624"/>
    <mergeCell ref="M624:O624"/>
    <mergeCell ref="P624:Q624"/>
    <mergeCell ref="R624:S624"/>
    <mergeCell ref="T624:U624"/>
    <mergeCell ref="V624:W624"/>
    <mergeCell ref="X630:Z630"/>
    <mergeCell ref="AA630:AB630"/>
    <mergeCell ref="AJ630:AL630"/>
    <mergeCell ref="F631:H631"/>
    <mergeCell ref="I631:J631"/>
    <mergeCell ref="K631:L631"/>
    <mergeCell ref="M631:O631"/>
    <mergeCell ref="P631:Q631"/>
    <mergeCell ref="R631:S631"/>
    <mergeCell ref="T631:U631"/>
    <mergeCell ref="AA629:AB629"/>
    <mergeCell ref="AJ629:AL629"/>
    <mergeCell ref="F630:H630"/>
    <mergeCell ref="I630:J630"/>
    <mergeCell ref="K630:L630"/>
    <mergeCell ref="M630:O630"/>
    <mergeCell ref="P630:Q630"/>
    <mergeCell ref="R630:S630"/>
    <mergeCell ref="T630:U630"/>
    <mergeCell ref="V630:W630"/>
    <mergeCell ref="AA628:AB628"/>
    <mergeCell ref="F629:H629"/>
    <mergeCell ref="I629:J629"/>
    <mergeCell ref="K629:L629"/>
    <mergeCell ref="M629:O629"/>
    <mergeCell ref="P629:Q629"/>
    <mergeCell ref="R629:S629"/>
    <mergeCell ref="T629:U629"/>
    <mergeCell ref="V629:W629"/>
    <mergeCell ref="X629:Z629"/>
    <mergeCell ref="AJ628:AL628"/>
    <mergeCell ref="F628:H628"/>
    <mergeCell ref="I628:J628"/>
    <mergeCell ref="K628:L628"/>
    <mergeCell ref="M628:O628"/>
    <mergeCell ref="P628:Q628"/>
    <mergeCell ref="R628:S628"/>
    <mergeCell ref="T628:U628"/>
    <mergeCell ref="V628:W628"/>
    <mergeCell ref="X628:Z628"/>
    <mergeCell ref="R634:S634"/>
    <mergeCell ref="T634:U634"/>
    <mergeCell ref="V634:W634"/>
    <mergeCell ref="X634:Z634"/>
    <mergeCell ref="AA634:AB634"/>
    <mergeCell ref="AJ634:AL634"/>
    <mergeCell ref="AA633:AB633"/>
    <mergeCell ref="AC633:AD636"/>
    <mergeCell ref="AE633:AE636"/>
    <mergeCell ref="AF633:AH636"/>
    <mergeCell ref="AJ633:AL633"/>
    <mergeCell ref="F634:H634"/>
    <mergeCell ref="I634:J634"/>
    <mergeCell ref="K634:L634"/>
    <mergeCell ref="M634:O634"/>
    <mergeCell ref="P634:Q634"/>
    <mergeCell ref="M633:O633"/>
    <mergeCell ref="P633:Q633"/>
    <mergeCell ref="R633:S633"/>
    <mergeCell ref="T633:U633"/>
    <mergeCell ref="V633:W633"/>
    <mergeCell ref="X633:Z633"/>
    <mergeCell ref="T632:U632"/>
    <mergeCell ref="V632:W632"/>
    <mergeCell ref="X632:Z632"/>
    <mergeCell ref="AA632:AB632"/>
    <mergeCell ref="AJ632:AL632"/>
    <mergeCell ref="A633:A636"/>
    <mergeCell ref="B633:D636"/>
    <mergeCell ref="F633:H633"/>
    <mergeCell ref="I633:J633"/>
    <mergeCell ref="K633:L633"/>
    <mergeCell ref="V631:W631"/>
    <mergeCell ref="X631:Z631"/>
    <mergeCell ref="AA631:AB631"/>
    <mergeCell ref="AJ631:AL631"/>
    <mergeCell ref="F632:H632"/>
    <mergeCell ref="I632:J632"/>
    <mergeCell ref="K632:L632"/>
    <mergeCell ref="M632:O632"/>
    <mergeCell ref="P632:Q632"/>
    <mergeCell ref="R632:S632"/>
    <mergeCell ref="A622:A632"/>
    <mergeCell ref="V638:W638"/>
    <mergeCell ref="X638:Z638"/>
    <mergeCell ref="AA638:AB638"/>
    <mergeCell ref="F637:H637"/>
    <mergeCell ref="I637:J637"/>
    <mergeCell ref="K637:L637"/>
    <mergeCell ref="M637:O637"/>
    <mergeCell ref="P637:Q637"/>
    <mergeCell ref="R637:S637"/>
    <mergeCell ref="B646:D646"/>
    <mergeCell ref="B647:D647"/>
    <mergeCell ref="B648:D648"/>
    <mergeCell ref="B649:D649"/>
    <mergeCell ref="B650:D650"/>
    <mergeCell ref="B651:D651"/>
    <mergeCell ref="A637:A651"/>
    <mergeCell ref="B637:D637"/>
    <mergeCell ref="B638:D638"/>
    <mergeCell ref="B639:D639"/>
    <mergeCell ref="B640:D640"/>
    <mergeCell ref="B641:D641"/>
    <mergeCell ref="B642:D642"/>
    <mergeCell ref="B643:D643"/>
    <mergeCell ref="B644:D644"/>
    <mergeCell ref="B645:D645"/>
    <mergeCell ref="R636:S636"/>
    <mergeCell ref="T636:U636"/>
    <mergeCell ref="V636:W636"/>
    <mergeCell ref="X636:Z636"/>
    <mergeCell ref="AA636:AB636"/>
    <mergeCell ref="AJ636:AL636"/>
    <mergeCell ref="T635:U635"/>
    <mergeCell ref="V635:W635"/>
    <mergeCell ref="X635:Z635"/>
    <mergeCell ref="AA635:AB635"/>
    <mergeCell ref="AJ635:AL635"/>
    <mergeCell ref="F636:H636"/>
    <mergeCell ref="I636:J636"/>
    <mergeCell ref="K636:L636"/>
    <mergeCell ref="M636:O636"/>
    <mergeCell ref="P636:Q636"/>
    <mergeCell ref="F635:H635"/>
    <mergeCell ref="I635:J635"/>
    <mergeCell ref="K635:L635"/>
    <mergeCell ref="M635:O635"/>
    <mergeCell ref="P635:Q635"/>
    <mergeCell ref="R635:S635"/>
    <mergeCell ref="T641:U642"/>
    <mergeCell ref="V641:W642"/>
    <mergeCell ref="X641:Z642"/>
    <mergeCell ref="AA641:AB642"/>
    <mergeCell ref="AI641:AI642"/>
    <mergeCell ref="AJ641:AL641"/>
    <mergeCell ref="AJ642:AL642"/>
    <mergeCell ref="X640:Z640"/>
    <mergeCell ref="AA640:AB640"/>
    <mergeCell ref="AJ640:AL640"/>
    <mergeCell ref="E641:E642"/>
    <mergeCell ref="F641:H642"/>
    <mergeCell ref="I641:J642"/>
    <mergeCell ref="K641:L642"/>
    <mergeCell ref="M641:O642"/>
    <mergeCell ref="P641:Q642"/>
    <mergeCell ref="R641:S642"/>
    <mergeCell ref="AA639:AB639"/>
    <mergeCell ref="AJ639:AL639"/>
    <mergeCell ref="F640:H640"/>
    <mergeCell ref="I640:J640"/>
    <mergeCell ref="K640:L640"/>
    <mergeCell ref="M640:O640"/>
    <mergeCell ref="P640:Q640"/>
    <mergeCell ref="R640:S640"/>
    <mergeCell ref="T640:U640"/>
    <mergeCell ref="V640:W640"/>
    <mergeCell ref="AJ638:AL638"/>
    <mergeCell ref="F639:H639"/>
    <mergeCell ref="I639:J639"/>
    <mergeCell ref="K639:L639"/>
    <mergeCell ref="M639:O639"/>
    <mergeCell ref="P639:Q639"/>
    <mergeCell ref="R639:S639"/>
    <mergeCell ref="T639:U639"/>
    <mergeCell ref="V639:W639"/>
    <mergeCell ref="X639:Z639"/>
    <mergeCell ref="AF637:AH651"/>
    <mergeCell ref="AJ637:AL637"/>
    <mergeCell ref="F638:H638"/>
    <mergeCell ref="I638:J638"/>
    <mergeCell ref="K638:L638"/>
    <mergeCell ref="M638:O638"/>
    <mergeCell ref="P638:Q638"/>
    <mergeCell ref="R638:S638"/>
    <mergeCell ref="T638:U638"/>
    <mergeCell ref="AC645:AD645"/>
    <mergeCell ref="AC646:AD646"/>
    <mergeCell ref="AC647:AD647"/>
    <mergeCell ref="AC648:AD648"/>
    <mergeCell ref="AC649:AD649"/>
    <mergeCell ref="AC650:AD650"/>
    <mergeCell ref="AC639:AD639"/>
    <mergeCell ref="AC640:AD640"/>
    <mergeCell ref="AC641:AD641"/>
    <mergeCell ref="AC642:AD642"/>
    <mergeCell ref="AC643:AD643"/>
    <mergeCell ref="AC644:AD644"/>
    <mergeCell ref="T637:U637"/>
    <mergeCell ref="V637:W637"/>
    <mergeCell ref="X637:Z637"/>
    <mergeCell ref="AA637:AB637"/>
    <mergeCell ref="AC637:AD637"/>
    <mergeCell ref="AC638:AD638"/>
    <mergeCell ref="V646:W646"/>
    <mergeCell ref="X646:Z646"/>
    <mergeCell ref="AA646:AB646"/>
    <mergeCell ref="AJ646:AL646"/>
    <mergeCell ref="F647:H647"/>
    <mergeCell ref="I647:J647"/>
    <mergeCell ref="K647:L647"/>
    <mergeCell ref="M647:O647"/>
    <mergeCell ref="P647:Q647"/>
    <mergeCell ref="R647:S647"/>
    <mergeCell ref="X645:Z645"/>
    <mergeCell ref="AA645:AB645"/>
    <mergeCell ref="AJ645:AL645"/>
    <mergeCell ref="F646:H646"/>
    <mergeCell ref="I646:J646"/>
    <mergeCell ref="K646:L646"/>
    <mergeCell ref="M646:O646"/>
    <mergeCell ref="P646:Q646"/>
    <mergeCell ref="R646:S646"/>
    <mergeCell ref="T646:U646"/>
    <mergeCell ref="AA644:AB644"/>
    <mergeCell ref="AJ644:AL644"/>
    <mergeCell ref="F645:H645"/>
    <mergeCell ref="I645:J645"/>
    <mergeCell ref="K645:L645"/>
    <mergeCell ref="M645:O645"/>
    <mergeCell ref="P645:Q645"/>
    <mergeCell ref="R645:S645"/>
    <mergeCell ref="T645:U645"/>
    <mergeCell ref="V645:W645"/>
    <mergeCell ref="AA643:AB643"/>
    <mergeCell ref="F644:H644"/>
    <mergeCell ref="I644:J644"/>
    <mergeCell ref="K644:L644"/>
    <mergeCell ref="M644:O644"/>
    <mergeCell ref="P644:Q644"/>
    <mergeCell ref="R644:S644"/>
    <mergeCell ref="T644:U644"/>
    <mergeCell ref="V644:W644"/>
    <mergeCell ref="X644:Z644"/>
    <mergeCell ref="AJ643:AL643"/>
    <mergeCell ref="F643:H643"/>
    <mergeCell ref="I643:J643"/>
    <mergeCell ref="K643:L643"/>
    <mergeCell ref="M643:O643"/>
    <mergeCell ref="P643:Q643"/>
    <mergeCell ref="R643:S643"/>
    <mergeCell ref="T643:U643"/>
    <mergeCell ref="V643:W643"/>
    <mergeCell ref="X643:Z643"/>
    <mergeCell ref="R650:S650"/>
    <mergeCell ref="T650:U650"/>
    <mergeCell ref="V650:W650"/>
    <mergeCell ref="X650:Z650"/>
    <mergeCell ref="AA650:AB650"/>
    <mergeCell ref="AJ650:AL650"/>
    <mergeCell ref="T649:U649"/>
    <mergeCell ref="V649:W649"/>
    <mergeCell ref="X649:Z649"/>
    <mergeCell ref="AA649:AB649"/>
    <mergeCell ref="AJ649:AL649"/>
    <mergeCell ref="F650:H650"/>
    <mergeCell ref="I650:J650"/>
    <mergeCell ref="K650:L650"/>
    <mergeCell ref="M650:O650"/>
    <mergeCell ref="P650:Q650"/>
    <mergeCell ref="F649:H649"/>
    <mergeCell ref="I649:J649"/>
    <mergeCell ref="K649:L649"/>
    <mergeCell ref="M649:O649"/>
    <mergeCell ref="P649:Q649"/>
    <mergeCell ref="R649:S649"/>
    <mergeCell ref="R648:S648"/>
    <mergeCell ref="T648:U648"/>
    <mergeCell ref="V648:W648"/>
    <mergeCell ref="X648:Z648"/>
    <mergeCell ref="AA648:AB648"/>
    <mergeCell ref="AJ648:AL648"/>
    <mergeCell ref="T647:U647"/>
    <mergeCell ref="V647:W647"/>
    <mergeCell ref="X647:Z647"/>
    <mergeCell ref="AA647:AB647"/>
    <mergeCell ref="AJ647:AL647"/>
    <mergeCell ref="F648:H648"/>
    <mergeCell ref="I648:J648"/>
    <mergeCell ref="K648:L648"/>
    <mergeCell ref="M648:O648"/>
    <mergeCell ref="P648:Q648"/>
    <mergeCell ref="B668:D668"/>
    <mergeCell ref="B669:D669"/>
    <mergeCell ref="B670:D670"/>
    <mergeCell ref="F652:H652"/>
    <mergeCell ref="I652:J652"/>
    <mergeCell ref="K652:L652"/>
    <mergeCell ref="F655:H655"/>
    <mergeCell ref="I655:J655"/>
    <mergeCell ref="K655:L655"/>
    <mergeCell ref="F666:H666"/>
    <mergeCell ref="B662:D662"/>
    <mergeCell ref="B663:D663"/>
    <mergeCell ref="B664:D664"/>
    <mergeCell ref="B665:D665"/>
    <mergeCell ref="B666:D666"/>
    <mergeCell ref="B667:D667"/>
    <mergeCell ref="B656:D656"/>
    <mergeCell ref="B657:D657"/>
    <mergeCell ref="B658:D658"/>
    <mergeCell ref="B659:D659"/>
    <mergeCell ref="B660:D660"/>
    <mergeCell ref="B661:D661"/>
    <mergeCell ref="T651:U651"/>
    <mergeCell ref="V651:W651"/>
    <mergeCell ref="X651:Z651"/>
    <mergeCell ref="AA651:AB651"/>
    <mergeCell ref="AJ651:AL651"/>
    <mergeCell ref="A652:A670"/>
    <mergeCell ref="B652:D652"/>
    <mergeCell ref="B653:D653"/>
    <mergeCell ref="B654:D654"/>
    <mergeCell ref="B655:D655"/>
    <mergeCell ref="F651:H651"/>
    <mergeCell ref="I651:J651"/>
    <mergeCell ref="K651:L651"/>
    <mergeCell ref="M651:O651"/>
    <mergeCell ref="P651:Q651"/>
    <mergeCell ref="R651:S651"/>
    <mergeCell ref="AC651:AD651"/>
    <mergeCell ref="R654:S654"/>
    <mergeCell ref="T654:U654"/>
    <mergeCell ref="V654:W654"/>
    <mergeCell ref="X654:Z654"/>
    <mergeCell ref="AA654:AB654"/>
    <mergeCell ref="AJ654:AL654"/>
    <mergeCell ref="T653:U653"/>
    <mergeCell ref="V653:W653"/>
    <mergeCell ref="X653:Z653"/>
    <mergeCell ref="AA653:AB653"/>
    <mergeCell ref="AJ653:AL653"/>
    <mergeCell ref="F654:H654"/>
    <mergeCell ref="I654:J654"/>
    <mergeCell ref="K654:L654"/>
    <mergeCell ref="M654:O654"/>
    <mergeCell ref="P654:Q654"/>
    <mergeCell ref="AC669:AD669"/>
    <mergeCell ref="AC670:AD670"/>
    <mergeCell ref="AF652:AH670"/>
    <mergeCell ref="AJ652:AL652"/>
    <mergeCell ref="F653:H653"/>
    <mergeCell ref="I653:J653"/>
    <mergeCell ref="K653:L653"/>
    <mergeCell ref="M653:O653"/>
    <mergeCell ref="P653:Q653"/>
    <mergeCell ref="R653:S653"/>
    <mergeCell ref="AC663:AD663"/>
    <mergeCell ref="AC664:AD664"/>
    <mergeCell ref="AC665:AD665"/>
    <mergeCell ref="AC666:AD666"/>
    <mergeCell ref="AC667:AD667"/>
    <mergeCell ref="AC668:AD668"/>
    <mergeCell ref="AC657:AD657"/>
    <mergeCell ref="AC658:AD658"/>
    <mergeCell ref="AC659:AD659"/>
    <mergeCell ref="AC660:AD660"/>
    <mergeCell ref="AC661:AD661"/>
    <mergeCell ref="AC662:AD662"/>
    <mergeCell ref="AA652:AB652"/>
    <mergeCell ref="AC652:AD652"/>
    <mergeCell ref="AC653:AD653"/>
    <mergeCell ref="AC654:AD654"/>
    <mergeCell ref="AC655:AD655"/>
    <mergeCell ref="AC656:AD656"/>
    <mergeCell ref="AA655:AB655"/>
    <mergeCell ref="AA656:AB656"/>
    <mergeCell ref="M652:O652"/>
    <mergeCell ref="P652:Q652"/>
    <mergeCell ref="R652:S652"/>
    <mergeCell ref="T652:U652"/>
    <mergeCell ref="V652:W652"/>
    <mergeCell ref="X652:Z652"/>
    <mergeCell ref="X658:Z658"/>
    <mergeCell ref="AA658:AB658"/>
    <mergeCell ref="AJ658:AL658"/>
    <mergeCell ref="F659:H659"/>
    <mergeCell ref="I659:J659"/>
    <mergeCell ref="K659:L659"/>
    <mergeCell ref="M659:O659"/>
    <mergeCell ref="P659:Q659"/>
    <mergeCell ref="R659:S659"/>
    <mergeCell ref="T659:U659"/>
    <mergeCell ref="AA657:AB657"/>
    <mergeCell ref="AJ657:AL657"/>
    <mergeCell ref="F658:H658"/>
    <mergeCell ref="I658:J658"/>
    <mergeCell ref="K658:L658"/>
    <mergeCell ref="M658:O658"/>
    <mergeCell ref="P658:Q658"/>
    <mergeCell ref="R658:S658"/>
    <mergeCell ref="T658:U658"/>
    <mergeCell ref="V658:W658"/>
    <mergeCell ref="AJ656:AL656"/>
    <mergeCell ref="F657:H657"/>
    <mergeCell ref="I657:J657"/>
    <mergeCell ref="K657:L657"/>
    <mergeCell ref="M657:O657"/>
    <mergeCell ref="P657:Q657"/>
    <mergeCell ref="R657:S657"/>
    <mergeCell ref="T657:U657"/>
    <mergeCell ref="V657:W657"/>
    <mergeCell ref="X657:Z657"/>
    <mergeCell ref="AJ655:AL655"/>
    <mergeCell ref="F656:H656"/>
    <mergeCell ref="I656:J656"/>
    <mergeCell ref="K656:L656"/>
    <mergeCell ref="M656:O656"/>
    <mergeCell ref="P656:Q656"/>
    <mergeCell ref="R656:S656"/>
    <mergeCell ref="T656:U656"/>
    <mergeCell ref="V656:W656"/>
    <mergeCell ref="X656:Z656"/>
    <mergeCell ref="M655:O655"/>
    <mergeCell ref="P655:Q655"/>
    <mergeCell ref="R655:S655"/>
    <mergeCell ref="T655:U655"/>
    <mergeCell ref="V655:W655"/>
    <mergeCell ref="X655:Z655"/>
    <mergeCell ref="V662:W662"/>
    <mergeCell ref="X662:Z662"/>
    <mergeCell ref="AA662:AB662"/>
    <mergeCell ref="F663:H663"/>
    <mergeCell ref="I663:J663"/>
    <mergeCell ref="K663:L663"/>
    <mergeCell ref="M663:O663"/>
    <mergeCell ref="P663:Q663"/>
    <mergeCell ref="R663:S663"/>
    <mergeCell ref="T663:U663"/>
    <mergeCell ref="AJ660:AL660"/>
    <mergeCell ref="AJ661:AL661"/>
    <mergeCell ref="AJ662:AL662"/>
    <mergeCell ref="F662:H662"/>
    <mergeCell ref="I662:J662"/>
    <mergeCell ref="K662:L662"/>
    <mergeCell ref="M662:O662"/>
    <mergeCell ref="P662:Q662"/>
    <mergeCell ref="R662:S662"/>
    <mergeCell ref="T662:U662"/>
    <mergeCell ref="R660:S661"/>
    <mergeCell ref="T660:U661"/>
    <mergeCell ref="V660:W661"/>
    <mergeCell ref="X660:Z661"/>
    <mergeCell ref="AA660:AB661"/>
    <mergeCell ref="AI660:AI661"/>
    <mergeCell ref="V659:W659"/>
    <mergeCell ref="X659:Z659"/>
    <mergeCell ref="AA659:AB659"/>
    <mergeCell ref="AJ659:AL659"/>
    <mergeCell ref="E660:E661"/>
    <mergeCell ref="F660:H661"/>
    <mergeCell ref="I660:J661"/>
    <mergeCell ref="K660:L661"/>
    <mergeCell ref="M660:O661"/>
    <mergeCell ref="P660:Q661"/>
    <mergeCell ref="V666:W666"/>
    <mergeCell ref="X666:Z666"/>
    <mergeCell ref="AA666:AB666"/>
    <mergeCell ref="AJ666:AL666"/>
    <mergeCell ref="F667:H667"/>
    <mergeCell ref="I667:J667"/>
    <mergeCell ref="K667:L667"/>
    <mergeCell ref="M667:O667"/>
    <mergeCell ref="P667:Q667"/>
    <mergeCell ref="R667:S667"/>
    <mergeCell ref="I666:J666"/>
    <mergeCell ref="K666:L666"/>
    <mergeCell ref="M666:O666"/>
    <mergeCell ref="P666:Q666"/>
    <mergeCell ref="R666:S666"/>
    <mergeCell ref="T666:U666"/>
    <mergeCell ref="R665:S665"/>
    <mergeCell ref="T665:U665"/>
    <mergeCell ref="V665:W665"/>
    <mergeCell ref="X665:Z665"/>
    <mergeCell ref="AA665:AB665"/>
    <mergeCell ref="AJ665:AL665"/>
    <mergeCell ref="T664:U664"/>
    <mergeCell ref="V664:W664"/>
    <mergeCell ref="X664:Z664"/>
    <mergeCell ref="AA664:AB664"/>
    <mergeCell ref="AJ664:AL664"/>
    <mergeCell ref="F665:H665"/>
    <mergeCell ref="I665:J665"/>
    <mergeCell ref="K665:L665"/>
    <mergeCell ref="M665:O665"/>
    <mergeCell ref="P665:Q665"/>
    <mergeCell ref="V663:W663"/>
    <mergeCell ref="X663:Z663"/>
    <mergeCell ref="AA663:AB663"/>
    <mergeCell ref="AJ663:AL663"/>
    <mergeCell ref="F664:H664"/>
    <mergeCell ref="I664:J664"/>
    <mergeCell ref="K664:L664"/>
    <mergeCell ref="M664:O664"/>
    <mergeCell ref="P664:Q664"/>
    <mergeCell ref="R664:S664"/>
    <mergeCell ref="R670:S670"/>
    <mergeCell ref="T670:U670"/>
    <mergeCell ref="V670:W670"/>
    <mergeCell ref="X670:Z670"/>
    <mergeCell ref="AA670:AB670"/>
    <mergeCell ref="AJ670:AL670"/>
    <mergeCell ref="T669:U669"/>
    <mergeCell ref="V669:W669"/>
    <mergeCell ref="X669:Z669"/>
    <mergeCell ref="AA669:AB669"/>
    <mergeCell ref="AJ669:AL669"/>
    <mergeCell ref="F670:H670"/>
    <mergeCell ref="I670:J670"/>
    <mergeCell ref="K670:L670"/>
    <mergeCell ref="M670:O670"/>
    <mergeCell ref="P670:Q670"/>
    <mergeCell ref="F669:H669"/>
    <mergeCell ref="I669:J669"/>
    <mergeCell ref="K669:L669"/>
    <mergeCell ref="M669:O669"/>
    <mergeCell ref="P669:Q669"/>
    <mergeCell ref="R669:S669"/>
    <mergeCell ref="R668:S668"/>
    <mergeCell ref="T668:U668"/>
    <mergeCell ref="V668:W668"/>
    <mergeCell ref="X668:Z668"/>
    <mergeCell ref="AA668:AB668"/>
    <mergeCell ref="AJ668:AL668"/>
    <mergeCell ref="T667:U667"/>
    <mergeCell ref="V667:W667"/>
    <mergeCell ref="X667:Z667"/>
    <mergeCell ref="AA667:AB667"/>
    <mergeCell ref="AJ667:AL667"/>
    <mergeCell ref="F668:H668"/>
    <mergeCell ref="I668:J668"/>
    <mergeCell ref="K668:L668"/>
    <mergeCell ref="M668:O668"/>
    <mergeCell ref="P668:Q668"/>
    <mergeCell ref="R673:S673"/>
    <mergeCell ref="T673:U673"/>
    <mergeCell ref="V673:W673"/>
    <mergeCell ref="X673:Z673"/>
    <mergeCell ref="AA673:AB673"/>
    <mergeCell ref="AJ673:AL673"/>
    <mergeCell ref="T672:U672"/>
    <mergeCell ref="V672:W672"/>
    <mergeCell ref="X672:Z672"/>
    <mergeCell ref="AA672:AB672"/>
    <mergeCell ref="AJ672:AL672"/>
    <mergeCell ref="F673:H673"/>
    <mergeCell ref="I673:J673"/>
    <mergeCell ref="K673:L673"/>
    <mergeCell ref="M673:O673"/>
    <mergeCell ref="P673:Q673"/>
    <mergeCell ref="AF678:AH678"/>
    <mergeCell ref="AF679:AH679"/>
    <mergeCell ref="AF680:AH680"/>
    <mergeCell ref="AJ671:AL671"/>
    <mergeCell ref="F672:H672"/>
    <mergeCell ref="I672:J672"/>
    <mergeCell ref="K672:L672"/>
    <mergeCell ref="M672:O672"/>
    <mergeCell ref="P672:Q672"/>
    <mergeCell ref="R672:S672"/>
    <mergeCell ref="AC678:AD678"/>
    <mergeCell ref="AC679:AD679"/>
    <mergeCell ref="AC680:AD680"/>
    <mergeCell ref="AF671:AH671"/>
    <mergeCell ref="AF672:AH672"/>
    <mergeCell ref="AF673:AH673"/>
    <mergeCell ref="AF674:AH674"/>
    <mergeCell ref="AF675:AH675"/>
    <mergeCell ref="AF676:AH676"/>
    <mergeCell ref="AF677:AH677"/>
    <mergeCell ref="AC672:AD672"/>
    <mergeCell ref="AC673:AD673"/>
    <mergeCell ref="AC674:AD674"/>
    <mergeCell ref="AC675:AD675"/>
    <mergeCell ref="AC676:AD676"/>
    <mergeCell ref="AC677:AD677"/>
    <mergeCell ref="R671:S671"/>
    <mergeCell ref="T671:U671"/>
    <mergeCell ref="V671:W671"/>
    <mergeCell ref="X671:Z671"/>
    <mergeCell ref="AA671:AB671"/>
    <mergeCell ref="AC671:AD671"/>
    <mergeCell ref="F671:H671"/>
    <mergeCell ref="I671:J671"/>
    <mergeCell ref="K671:L671"/>
    <mergeCell ref="M671:O671"/>
    <mergeCell ref="P671:Q671"/>
    <mergeCell ref="F674:H674"/>
    <mergeCell ref="I674:J674"/>
    <mergeCell ref="K674:L674"/>
    <mergeCell ref="M674:O674"/>
    <mergeCell ref="V676:W676"/>
    <mergeCell ref="X676:Z676"/>
    <mergeCell ref="AA676:AB676"/>
    <mergeCell ref="F677:H677"/>
    <mergeCell ref="I677:J677"/>
    <mergeCell ref="K677:L677"/>
    <mergeCell ref="M677:O677"/>
    <mergeCell ref="P677:Q677"/>
    <mergeCell ref="R677:S677"/>
    <mergeCell ref="T677:U677"/>
    <mergeCell ref="AA675:AB675"/>
    <mergeCell ref="AJ675:AL675"/>
    <mergeCell ref="AJ676:AL676"/>
    <mergeCell ref="F676:H676"/>
    <mergeCell ref="I676:J676"/>
    <mergeCell ref="K676:L676"/>
    <mergeCell ref="M676:O676"/>
    <mergeCell ref="P676:Q676"/>
    <mergeCell ref="R676:S676"/>
    <mergeCell ref="T676:U676"/>
    <mergeCell ref="AJ674:AL674"/>
    <mergeCell ref="F675:H675"/>
    <mergeCell ref="I675:J675"/>
    <mergeCell ref="K675:L675"/>
    <mergeCell ref="M675:O675"/>
    <mergeCell ref="P675:Q675"/>
    <mergeCell ref="R675:S675"/>
    <mergeCell ref="T675:U675"/>
    <mergeCell ref="V675:W675"/>
    <mergeCell ref="X675:Z675"/>
    <mergeCell ref="P674:Q674"/>
    <mergeCell ref="R674:S674"/>
    <mergeCell ref="T674:U674"/>
    <mergeCell ref="V674:W674"/>
    <mergeCell ref="X674:Z674"/>
    <mergeCell ref="AA674:AB674"/>
    <mergeCell ref="T680:U680"/>
    <mergeCell ref="V680:W680"/>
    <mergeCell ref="X680:Z680"/>
    <mergeCell ref="AA680:AB680"/>
    <mergeCell ref="AJ680:AL680"/>
    <mergeCell ref="A681:A692"/>
    <mergeCell ref="B681:D692"/>
    <mergeCell ref="E681:E682"/>
    <mergeCell ref="F681:H681"/>
    <mergeCell ref="F682:H682"/>
    <mergeCell ref="F680:H680"/>
    <mergeCell ref="I680:J680"/>
    <mergeCell ref="K680:L680"/>
    <mergeCell ref="M680:O680"/>
    <mergeCell ref="P680:Q680"/>
    <mergeCell ref="R680:S680"/>
    <mergeCell ref="R679:S679"/>
    <mergeCell ref="T679:U679"/>
    <mergeCell ref="V679:W679"/>
    <mergeCell ref="X679:Z679"/>
    <mergeCell ref="AA679:AB679"/>
    <mergeCell ref="AJ679:AL679"/>
    <mergeCell ref="T678:U678"/>
    <mergeCell ref="V678:W678"/>
    <mergeCell ref="X678:Z678"/>
    <mergeCell ref="AA678:AB678"/>
    <mergeCell ref="AJ678:AL678"/>
    <mergeCell ref="F679:H679"/>
    <mergeCell ref="I679:J679"/>
    <mergeCell ref="K679:L679"/>
    <mergeCell ref="M679:O679"/>
    <mergeCell ref="P679:Q679"/>
    <mergeCell ref="V677:W677"/>
    <mergeCell ref="X677:Z677"/>
    <mergeCell ref="AA677:AB677"/>
    <mergeCell ref="AJ677:AL677"/>
    <mergeCell ref="F678:H678"/>
    <mergeCell ref="I678:J678"/>
    <mergeCell ref="K678:L678"/>
    <mergeCell ref="M678:O678"/>
    <mergeCell ref="P678:Q678"/>
    <mergeCell ref="R678:S678"/>
    <mergeCell ref="B680:D680"/>
    <mergeCell ref="A671:A680"/>
    <mergeCell ref="B671:D671"/>
    <mergeCell ref="B672:D672"/>
    <mergeCell ref="B673:D673"/>
    <mergeCell ref="B674:D674"/>
    <mergeCell ref="B675:D675"/>
    <mergeCell ref="B676:D676"/>
    <mergeCell ref="B677:D677"/>
    <mergeCell ref="B678:D678"/>
    <mergeCell ref="B679:D679"/>
    <mergeCell ref="P685:Q686"/>
    <mergeCell ref="R685:S686"/>
    <mergeCell ref="T685:U686"/>
    <mergeCell ref="V685:W686"/>
    <mergeCell ref="X685:Z686"/>
    <mergeCell ref="AA685:AB686"/>
    <mergeCell ref="E685:E686"/>
    <mergeCell ref="F685:H685"/>
    <mergeCell ref="F686:H686"/>
    <mergeCell ref="I685:J686"/>
    <mergeCell ref="K685:L686"/>
    <mergeCell ref="M685:O686"/>
    <mergeCell ref="P683:Q684"/>
    <mergeCell ref="R683:S684"/>
    <mergeCell ref="T683:U684"/>
    <mergeCell ref="V683:W684"/>
    <mergeCell ref="X683:Z684"/>
    <mergeCell ref="AA683:AB684"/>
    <mergeCell ref="E683:E684"/>
    <mergeCell ref="F683:H683"/>
    <mergeCell ref="F684:H684"/>
    <mergeCell ref="I683:J684"/>
    <mergeCell ref="K683:L684"/>
    <mergeCell ref="M683:O684"/>
    <mergeCell ref="AC690:AD690"/>
    <mergeCell ref="AC691:AD691"/>
    <mergeCell ref="AC692:AD692"/>
    <mergeCell ref="AF681:AH692"/>
    <mergeCell ref="AI681:AI682"/>
    <mergeCell ref="AJ681:AL682"/>
    <mergeCell ref="AI683:AI684"/>
    <mergeCell ref="AJ683:AL684"/>
    <mergeCell ref="AJ685:AL685"/>
    <mergeCell ref="AJ686:AL686"/>
    <mergeCell ref="AC684:AD684"/>
    <mergeCell ref="AC685:AD685"/>
    <mergeCell ref="AC686:AD686"/>
    <mergeCell ref="AC687:AD687"/>
    <mergeCell ref="AC688:AD688"/>
    <mergeCell ref="AC689:AD689"/>
    <mergeCell ref="V681:W682"/>
    <mergeCell ref="X681:Z682"/>
    <mergeCell ref="AA681:AB682"/>
    <mergeCell ref="AC681:AD681"/>
    <mergeCell ref="AC682:AD682"/>
    <mergeCell ref="AC683:AD683"/>
    <mergeCell ref="I681:J682"/>
    <mergeCell ref="K681:L682"/>
    <mergeCell ref="M681:O682"/>
    <mergeCell ref="P681:Q682"/>
    <mergeCell ref="R681:S682"/>
    <mergeCell ref="T681:U682"/>
    <mergeCell ref="T691:U692"/>
    <mergeCell ref="V691:W692"/>
    <mergeCell ref="X691:Z692"/>
    <mergeCell ref="AA691:AB692"/>
    <mergeCell ref="AI691:AI692"/>
    <mergeCell ref="AJ691:AL692"/>
    <mergeCell ref="AI689:AI690"/>
    <mergeCell ref="AJ689:AL690"/>
    <mergeCell ref="E691:E692"/>
    <mergeCell ref="F691:H691"/>
    <mergeCell ref="F692:H692"/>
    <mergeCell ref="I691:J692"/>
    <mergeCell ref="K691:L692"/>
    <mergeCell ref="M691:O692"/>
    <mergeCell ref="P691:Q692"/>
    <mergeCell ref="R691:S692"/>
    <mergeCell ref="P689:Q690"/>
    <mergeCell ref="R689:S690"/>
    <mergeCell ref="T689:U690"/>
    <mergeCell ref="V689:W690"/>
    <mergeCell ref="X689:Z690"/>
    <mergeCell ref="AA689:AB690"/>
    <mergeCell ref="V687:W688"/>
    <mergeCell ref="X687:Z688"/>
    <mergeCell ref="AA687:AB688"/>
    <mergeCell ref="AJ688:AL688"/>
    <mergeCell ref="E689:E690"/>
    <mergeCell ref="F689:H689"/>
    <mergeCell ref="F690:H690"/>
    <mergeCell ref="I689:J690"/>
    <mergeCell ref="K689:L690"/>
    <mergeCell ref="M689:O690"/>
    <mergeCell ref="AJ687:AL687"/>
    <mergeCell ref="E687:E688"/>
    <mergeCell ref="F687:H687"/>
    <mergeCell ref="F688:H688"/>
    <mergeCell ref="I687:J688"/>
    <mergeCell ref="K687:L688"/>
    <mergeCell ref="M687:O688"/>
    <mergeCell ref="P687:Q688"/>
    <mergeCell ref="R687:S688"/>
    <mergeCell ref="T687:U688"/>
    <mergeCell ref="AJ704:AL704"/>
    <mergeCell ref="AJ705:AL705"/>
    <mergeCell ref="AJ706:AL706"/>
    <mergeCell ref="T699:U699"/>
    <mergeCell ref="V699:W699"/>
    <mergeCell ref="X699:Z699"/>
    <mergeCell ref="AA699:AB699"/>
    <mergeCell ref="AJ699:AL699"/>
    <mergeCell ref="AJ700:AL700"/>
    <mergeCell ref="T700:U700"/>
    <mergeCell ref="V700:W700"/>
    <mergeCell ref="X700:Z700"/>
    <mergeCell ref="AA700:AB700"/>
    <mergeCell ref="F699:H699"/>
    <mergeCell ref="I699:J699"/>
    <mergeCell ref="K699:L699"/>
    <mergeCell ref="M699:O699"/>
    <mergeCell ref="P699:Q699"/>
    <mergeCell ref="R699:S699"/>
    <mergeCell ref="M696:O698"/>
    <mergeCell ref="P696:Q698"/>
    <mergeCell ref="R696:S698"/>
    <mergeCell ref="T696:U698"/>
    <mergeCell ref="V696:W698"/>
    <mergeCell ref="X696:Z698"/>
    <mergeCell ref="AC704:AD704"/>
    <mergeCell ref="AC705:AD705"/>
    <mergeCell ref="AC706:AD706"/>
    <mergeCell ref="AF693:AH706"/>
    <mergeCell ref="AJ693:AL693"/>
    <mergeCell ref="AJ694:AL694"/>
    <mergeCell ref="AJ695:AL695"/>
    <mergeCell ref="AJ696:AL696"/>
    <mergeCell ref="AJ697:AL697"/>
    <mergeCell ref="AJ698:AL698"/>
    <mergeCell ref="AC698:AD698"/>
    <mergeCell ref="AC699:AD699"/>
    <mergeCell ref="AC700:AD700"/>
    <mergeCell ref="AC701:AD701"/>
    <mergeCell ref="AC702:AD702"/>
    <mergeCell ref="AC703:AD703"/>
    <mergeCell ref="AA693:AB695"/>
    <mergeCell ref="AC693:AD693"/>
    <mergeCell ref="AC694:AD694"/>
    <mergeCell ref="AC695:AD695"/>
    <mergeCell ref="AC696:AD696"/>
    <mergeCell ref="AC697:AD697"/>
    <mergeCell ref="AA696:AB698"/>
    <mergeCell ref="M693:O695"/>
    <mergeCell ref="P693:Q695"/>
    <mergeCell ref="R693:S695"/>
    <mergeCell ref="T693:U695"/>
    <mergeCell ref="V693:W695"/>
    <mergeCell ref="X693:Z695"/>
    <mergeCell ref="F693:H695"/>
    <mergeCell ref="I693:J695"/>
    <mergeCell ref="K693:L695"/>
    <mergeCell ref="F696:H698"/>
    <mergeCell ref="I696:J698"/>
    <mergeCell ref="K696:L698"/>
    <mergeCell ref="T702:U702"/>
    <mergeCell ref="V702:W702"/>
    <mergeCell ref="X702:Z702"/>
    <mergeCell ref="AA702:AB702"/>
    <mergeCell ref="F703:H703"/>
    <mergeCell ref="I703:J703"/>
    <mergeCell ref="K703:L703"/>
    <mergeCell ref="M703:O703"/>
    <mergeCell ref="P703:Q703"/>
    <mergeCell ref="R703:S703"/>
    <mergeCell ref="T701:U701"/>
    <mergeCell ref="V701:W701"/>
    <mergeCell ref="X701:Z701"/>
    <mergeCell ref="AA701:AB701"/>
    <mergeCell ref="F702:H702"/>
    <mergeCell ref="I702:J702"/>
    <mergeCell ref="K702:L702"/>
    <mergeCell ref="M702:O702"/>
    <mergeCell ref="P702:Q702"/>
    <mergeCell ref="R702:S702"/>
    <mergeCell ref="F701:H701"/>
    <mergeCell ref="I701:J701"/>
    <mergeCell ref="K701:L701"/>
    <mergeCell ref="M701:O701"/>
    <mergeCell ref="P701:Q701"/>
    <mergeCell ref="R701:S701"/>
    <mergeCell ref="F700:H700"/>
    <mergeCell ref="I700:J700"/>
    <mergeCell ref="K700:L700"/>
    <mergeCell ref="M700:O700"/>
    <mergeCell ref="P700:Q700"/>
    <mergeCell ref="R700:S700"/>
    <mergeCell ref="AJ701:AL701"/>
    <mergeCell ref="AJ702:AL702"/>
    <mergeCell ref="AJ703:AL703"/>
    <mergeCell ref="T706:U706"/>
    <mergeCell ref="V706:W706"/>
    <mergeCell ref="X706:Z706"/>
    <mergeCell ref="AA706:AB706"/>
    <mergeCell ref="A707:A717"/>
    <mergeCell ref="B707:D717"/>
    <mergeCell ref="F707:H707"/>
    <mergeCell ref="I707:J707"/>
    <mergeCell ref="K707:L707"/>
    <mergeCell ref="M707:O707"/>
    <mergeCell ref="T705:U705"/>
    <mergeCell ref="V705:W705"/>
    <mergeCell ref="X705:Z705"/>
    <mergeCell ref="AA705:AB705"/>
    <mergeCell ref="F706:H706"/>
    <mergeCell ref="I706:J706"/>
    <mergeCell ref="K706:L706"/>
    <mergeCell ref="M706:O706"/>
    <mergeCell ref="P706:Q706"/>
    <mergeCell ref="R706:S706"/>
    <mergeCell ref="T704:U704"/>
    <mergeCell ref="V704:W704"/>
    <mergeCell ref="X704:Z704"/>
    <mergeCell ref="AA704:AB704"/>
    <mergeCell ref="F705:H705"/>
    <mergeCell ref="I705:J705"/>
    <mergeCell ref="K705:L705"/>
    <mergeCell ref="M705:O705"/>
    <mergeCell ref="P705:Q705"/>
    <mergeCell ref="R705:S705"/>
    <mergeCell ref="T703:U703"/>
    <mergeCell ref="V703:W703"/>
    <mergeCell ref="X703:Z703"/>
    <mergeCell ref="AA703:AB703"/>
    <mergeCell ref="F704:H704"/>
    <mergeCell ref="I704:J704"/>
    <mergeCell ref="K704:L704"/>
    <mergeCell ref="M704:O704"/>
    <mergeCell ref="P704:Q704"/>
    <mergeCell ref="R704:S704"/>
    <mergeCell ref="A693:A706"/>
    <mergeCell ref="B693:D706"/>
    <mergeCell ref="E693:E695"/>
    <mergeCell ref="E696:E698"/>
    <mergeCell ref="AJ707:AL707"/>
    <mergeCell ref="F708:H708"/>
    <mergeCell ref="I708:J708"/>
    <mergeCell ref="K708:L708"/>
    <mergeCell ref="M708:O708"/>
    <mergeCell ref="P708:Q708"/>
    <mergeCell ref="R708:S708"/>
    <mergeCell ref="T708:U708"/>
    <mergeCell ref="V708:W708"/>
    <mergeCell ref="X708:Z708"/>
    <mergeCell ref="AF712:AH712"/>
    <mergeCell ref="AF713:AH713"/>
    <mergeCell ref="AF714:AH714"/>
    <mergeCell ref="AF715:AH715"/>
    <mergeCell ref="AF716:AH716"/>
    <mergeCell ref="AF717:AH717"/>
    <mergeCell ref="AC713:AD713"/>
    <mergeCell ref="AC714:AD714"/>
    <mergeCell ref="AC715:AD715"/>
    <mergeCell ref="AC716:AD716"/>
    <mergeCell ref="AC717:AD717"/>
    <mergeCell ref="AF707:AH707"/>
    <mergeCell ref="AF708:AH708"/>
    <mergeCell ref="AF709:AH709"/>
    <mergeCell ref="AF710:AH710"/>
    <mergeCell ref="AF711:AH711"/>
    <mergeCell ref="AC707:AD707"/>
    <mergeCell ref="AC708:AD708"/>
    <mergeCell ref="AC709:AD709"/>
    <mergeCell ref="AC710:AD710"/>
    <mergeCell ref="AC711:AD711"/>
    <mergeCell ref="AC712:AD712"/>
    <mergeCell ref="P707:Q707"/>
    <mergeCell ref="R707:S707"/>
    <mergeCell ref="T707:U707"/>
    <mergeCell ref="V707:W707"/>
    <mergeCell ref="X707:Z707"/>
    <mergeCell ref="AA707:AB707"/>
    <mergeCell ref="E713:E714"/>
    <mergeCell ref="F713:H714"/>
    <mergeCell ref="I713:J714"/>
    <mergeCell ref="K713:L714"/>
    <mergeCell ref="M713:O714"/>
    <mergeCell ref="P713:Q714"/>
    <mergeCell ref="R713:S714"/>
    <mergeCell ref="T713:U714"/>
    <mergeCell ref="V713:W714"/>
    <mergeCell ref="T710:U712"/>
    <mergeCell ref="V710:W712"/>
    <mergeCell ref="X710:Z712"/>
    <mergeCell ref="AA710:AB712"/>
    <mergeCell ref="AJ710:AL710"/>
    <mergeCell ref="AI711:AI712"/>
    <mergeCell ref="AJ711:AL711"/>
    <mergeCell ref="AJ712:AL712"/>
    <mergeCell ref="X709:Z709"/>
    <mergeCell ref="AA709:AB709"/>
    <mergeCell ref="AJ709:AL709"/>
    <mergeCell ref="E710:E712"/>
    <mergeCell ref="F710:H712"/>
    <mergeCell ref="I710:J712"/>
    <mergeCell ref="K710:L712"/>
    <mergeCell ref="M710:O712"/>
    <mergeCell ref="P710:Q712"/>
    <mergeCell ref="R710:S712"/>
    <mergeCell ref="AA708:AB708"/>
    <mergeCell ref="AJ708:AL708"/>
    <mergeCell ref="F709:H709"/>
    <mergeCell ref="I709:J709"/>
    <mergeCell ref="K709:L709"/>
    <mergeCell ref="M709:O709"/>
    <mergeCell ref="P709:Q709"/>
    <mergeCell ref="R709:S709"/>
    <mergeCell ref="T709:U709"/>
    <mergeCell ref="V709:W709"/>
    <mergeCell ref="R717:S717"/>
    <mergeCell ref="T717:U717"/>
    <mergeCell ref="V717:W717"/>
    <mergeCell ref="X717:Z717"/>
    <mergeCell ref="AA717:AB717"/>
    <mergeCell ref="AJ717:AL717"/>
    <mergeCell ref="T716:U716"/>
    <mergeCell ref="V716:W716"/>
    <mergeCell ref="X716:Z716"/>
    <mergeCell ref="AA716:AB716"/>
    <mergeCell ref="AJ716:AL716"/>
    <mergeCell ref="F717:H717"/>
    <mergeCell ref="I717:J717"/>
    <mergeCell ref="K717:L717"/>
    <mergeCell ref="M717:O717"/>
    <mergeCell ref="P717:Q717"/>
    <mergeCell ref="V715:W715"/>
    <mergeCell ref="X715:Z715"/>
    <mergeCell ref="AA715:AB715"/>
    <mergeCell ref="AJ715:AL715"/>
    <mergeCell ref="F716:H716"/>
    <mergeCell ref="I716:J716"/>
    <mergeCell ref="K716:L716"/>
    <mergeCell ref="M716:O716"/>
    <mergeCell ref="P716:Q716"/>
    <mergeCell ref="R716:S716"/>
    <mergeCell ref="X713:Z714"/>
    <mergeCell ref="AA713:AB714"/>
    <mergeCell ref="AJ714:AL714"/>
    <mergeCell ref="F715:H715"/>
    <mergeCell ref="I715:J715"/>
    <mergeCell ref="K715:L715"/>
    <mergeCell ref="M715:O715"/>
    <mergeCell ref="P715:Q715"/>
    <mergeCell ref="R715:S715"/>
    <mergeCell ref="T715:U715"/>
    <mergeCell ref="AJ713:AL713"/>
    <mergeCell ref="T720:U721"/>
    <mergeCell ref="V720:W721"/>
    <mergeCell ref="X720:Z721"/>
    <mergeCell ref="AA720:AB721"/>
    <mergeCell ref="AJ721:AL721"/>
    <mergeCell ref="A722:A727"/>
    <mergeCell ref="B722:D727"/>
    <mergeCell ref="F722:H722"/>
    <mergeCell ref="I722:J722"/>
    <mergeCell ref="K722:L722"/>
    <mergeCell ref="AJ718:AL718"/>
    <mergeCell ref="AJ719:AL719"/>
    <mergeCell ref="AJ720:AL720"/>
    <mergeCell ref="E720:E721"/>
    <mergeCell ref="F720:H721"/>
    <mergeCell ref="I720:J721"/>
    <mergeCell ref="K720:L721"/>
    <mergeCell ref="M720:O721"/>
    <mergeCell ref="P720:Q721"/>
    <mergeCell ref="R720:S721"/>
    <mergeCell ref="AA718:AB719"/>
    <mergeCell ref="AC718:AD718"/>
    <mergeCell ref="AC719:AD719"/>
    <mergeCell ref="AC720:AD720"/>
    <mergeCell ref="AC721:AD721"/>
    <mergeCell ref="AF718:AH721"/>
    <mergeCell ref="M718:O719"/>
    <mergeCell ref="P718:Q719"/>
    <mergeCell ref="R718:S719"/>
    <mergeCell ref="T718:U719"/>
    <mergeCell ref="V718:W719"/>
    <mergeCell ref="X718:Z719"/>
    <mergeCell ref="A718:A721"/>
    <mergeCell ref="B718:D721"/>
    <mergeCell ref="E718:E719"/>
    <mergeCell ref="F718:H719"/>
    <mergeCell ref="I718:J719"/>
    <mergeCell ref="K718:L719"/>
    <mergeCell ref="A728:A731"/>
    <mergeCell ref="B728:D731"/>
    <mergeCell ref="E728:E729"/>
    <mergeCell ref="F728:H729"/>
    <mergeCell ref="I728:J729"/>
    <mergeCell ref="F727:H727"/>
    <mergeCell ref="I727:J727"/>
    <mergeCell ref="K727:L727"/>
    <mergeCell ref="M727:O727"/>
    <mergeCell ref="P727:Q727"/>
    <mergeCell ref="R727:S727"/>
    <mergeCell ref="T723:U726"/>
    <mergeCell ref="V723:W726"/>
    <mergeCell ref="X723:Z726"/>
    <mergeCell ref="AA723:AB726"/>
    <mergeCell ref="AJ723:AL723"/>
    <mergeCell ref="AI724:AI725"/>
    <mergeCell ref="AJ724:AL724"/>
    <mergeCell ref="AJ725:AL725"/>
    <mergeCell ref="AJ726:AL726"/>
    <mergeCell ref="AC727:AD727"/>
    <mergeCell ref="AF722:AH727"/>
    <mergeCell ref="AJ722:AL722"/>
    <mergeCell ref="E723:E726"/>
    <mergeCell ref="F723:H726"/>
    <mergeCell ref="I723:J726"/>
    <mergeCell ref="K723:L726"/>
    <mergeCell ref="M723:O726"/>
    <mergeCell ref="P723:Q726"/>
    <mergeCell ref="R723:S726"/>
    <mergeCell ref="AA722:AB722"/>
    <mergeCell ref="AC722:AD722"/>
    <mergeCell ref="AC723:AD723"/>
    <mergeCell ref="AC724:AD724"/>
    <mergeCell ref="AC725:AD725"/>
    <mergeCell ref="AC726:AD726"/>
    <mergeCell ref="M722:O722"/>
    <mergeCell ref="P722:Q722"/>
    <mergeCell ref="R722:S722"/>
    <mergeCell ref="T722:U722"/>
    <mergeCell ref="V722:W722"/>
    <mergeCell ref="X722:Z722"/>
    <mergeCell ref="R730:S731"/>
    <mergeCell ref="T730:U731"/>
    <mergeCell ref="V730:W731"/>
    <mergeCell ref="X730:Z731"/>
    <mergeCell ref="AA730:AB731"/>
    <mergeCell ref="AJ731:AL731"/>
    <mergeCell ref="AF728:AH731"/>
    <mergeCell ref="AJ728:AL728"/>
    <mergeCell ref="AJ729:AL729"/>
    <mergeCell ref="AJ730:AL730"/>
    <mergeCell ref="E730:E731"/>
    <mergeCell ref="F730:H731"/>
    <mergeCell ref="I730:J731"/>
    <mergeCell ref="K730:L731"/>
    <mergeCell ref="M730:O731"/>
    <mergeCell ref="P730:Q731"/>
    <mergeCell ref="X728:Z729"/>
    <mergeCell ref="AA728:AB729"/>
    <mergeCell ref="AC728:AD728"/>
    <mergeCell ref="AC729:AD729"/>
    <mergeCell ref="AC730:AD730"/>
    <mergeCell ref="AC731:AD731"/>
    <mergeCell ref="K728:L729"/>
    <mergeCell ref="M728:O729"/>
    <mergeCell ref="P728:Q729"/>
    <mergeCell ref="R728:S729"/>
    <mergeCell ref="T728:U729"/>
    <mergeCell ref="V728:W729"/>
    <mergeCell ref="T727:U727"/>
    <mergeCell ref="V727:W727"/>
    <mergeCell ref="X727:Z727"/>
    <mergeCell ref="AA727:AB727"/>
    <mergeCell ref="AJ727:AL727"/>
    <mergeCell ref="T737:U737"/>
    <mergeCell ref="V737:W737"/>
    <mergeCell ref="X737:Z737"/>
    <mergeCell ref="AA737:AB737"/>
    <mergeCell ref="AJ737:AL737"/>
    <mergeCell ref="A738:A749"/>
    <mergeCell ref="B738:D749"/>
    <mergeCell ref="E738:E739"/>
    <mergeCell ref="F738:H738"/>
    <mergeCell ref="F739:H739"/>
    <mergeCell ref="F737:H737"/>
    <mergeCell ref="I737:J737"/>
    <mergeCell ref="K737:L737"/>
    <mergeCell ref="M737:O737"/>
    <mergeCell ref="P737:Q737"/>
    <mergeCell ref="R737:S737"/>
    <mergeCell ref="M735:O736"/>
    <mergeCell ref="P735:Q736"/>
    <mergeCell ref="R735:S736"/>
    <mergeCell ref="T735:U736"/>
    <mergeCell ref="V735:W736"/>
    <mergeCell ref="X735:Z736"/>
    <mergeCell ref="V733:W734"/>
    <mergeCell ref="X733:Z734"/>
    <mergeCell ref="AA733:AB734"/>
    <mergeCell ref="AJ733:AL733"/>
    <mergeCell ref="AJ734:AL734"/>
    <mergeCell ref="AJ735:AL735"/>
    <mergeCell ref="AA735:AB736"/>
    <mergeCell ref="AJ736:AL736"/>
    <mergeCell ref="AF732:AH737"/>
    <mergeCell ref="AJ732:AL732"/>
    <mergeCell ref="E733:E734"/>
    <mergeCell ref="F733:H734"/>
    <mergeCell ref="I733:J734"/>
    <mergeCell ref="K733:L734"/>
    <mergeCell ref="M733:O734"/>
    <mergeCell ref="P733:Q734"/>
    <mergeCell ref="R733:S734"/>
    <mergeCell ref="T733:U734"/>
    <mergeCell ref="AC732:AD732"/>
    <mergeCell ref="AC733:AD733"/>
    <mergeCell ref="AC734:AD734"/>
    <mergeCell ref="AC735:AD735"/>
    <mergeCell ref="AC736:AD736"/>
    <mergeCell ref="AC737:AD737"/>
    <mergeCell ref="P732:Q732"/>
    <mergeCell ref="R732:S732"/>
    <mergeCell ref="T732:U732"/>
    <mergeCell ref="V732:W732"/>
    <mergeCell ref="X732:Z732"/>
    <mergeCell ref="AA732:AB732"/>
    <mergeCell ref="A732:A737"/>
    <mergeCell ref="B732:D737"/>
    <mergeCell ref="F732:H732"/>
    <mergeCell ref="I732:J732"/>
    <mergeCell ref="K732:L732"/>
    <mergeCell ref="M732:O732"/>
    <mergeCell ref="E735:E736"/>
    <mergeCell ref="F735:H736"/>
    <mergeCell ref="I735:J736"/>
    <mergeCell ref="K735:L736"/>
    <mergeCell ref="P742:Q743"/>
    <mergeCell ref="R742:S743"/>
    <mergeCell ref="T742:U743"/>
    <mergeCell ref="V742:W743"/>
    <mergeCell ref="X742:Z743"/>
    <mergeCell ref="AA742:AB743"/>
    <mergeCell ref="E742:E743"/>
    <mergeCell ref="F742:H742"/>
    <mergeCell ref="F743:H743"/>
    <mergeCell ref="I742:J743"/>
    <mergeCell ref="K742:L743"/>
    <mergeCell ref="M742:O743"/>
    <mergeCell ref="P740:Q741"/>
    <mergeCell ref="R740:S741"/>
    <mergeCell ref="T740:U741"/>
    <mergeCell ref="V740:W741"/>
    <mergeCell ref="X740:Z741"/>
    <mergeCell ref="AA740:AB741"/>
    <mergeCell ref="E740:E741"/>
    <mergeCell ref="F740:H740"/>
    <mergeCell ref="F741:H741"/>
    <mergeCell ref="I740:J741"/>
    <mergeCell ref="K740:L741"/>
    <mergeCell ref="M740:O741"/>
    <mergeCell ref="AC747:AD747"/>
    <mergeCell ref="AC748:AD748"/>
    <mergeCell ref="AC749:AD749"/>
    <mergeCell ref="AF738:AH749"/>
    <mergeCell ref="AI738:AI739"/>
    <mergeCell ref="AJ738:AL739"/>
    <mergeCell ref="AI740:AI741"/>
    <mergeCell ref="AJ740:AL741"/>
    <mergeCell ref="AI742:AI743"/>
    <mergeCell ref="AJ742:AL743"/>
    <mergeCell ref="AC741:AD741"/>
    <mergeCell ref="AC742:AD742"/>
    <mergeCell ref="AC743:AD743"/>
    <mergeCell ref="AC744:AD744"/>
    <mergeCell ref="AC745:AD745"/>
    <mergeCell ref="AC746:AD746"/>
    <mergeCell ref="V738:W739"/>
    <mergeCell ref="X738:Z739"/>
    <mergeCell ref="AA738:AB739"/>
    <mergeCell ref="AC738:AD738"/>
    <mergeCell ref="AC739:AD739"/>
    <mergeCell ref="AC740:AD740"/>
    <mergeCell ref="I738:J739"/>
    <mergeCell ref="K738:L739"/>
    <mergeCell ref="M738:O739"/>
    <mergeCell ref="P738:Q739"/>
    <mergeCell ref="R738:S739"/>
    <mergeCell ref="T738:U739"/>
    <mergeCell ref="AI748:AI749"/>
    <mergeCell ref="AJ748:AL749"/>
    <mergeCell ref="A750:A755"/>
    <mergeCell ref="B750:D755"/>
    <mergeCell ref="F750:H750"/>
    <mergeCell ref="I750:J750"/>
    <mergeCell ref="K750:L750"/>
    <mergeCell ref="M750:O750"/>
    <mergeCell ref="P750:Q750"/>
    <mergeCell ref="R750:S750"/>
    <mergeCell ref="P748:Q749"/>
    <mergeCell ref="R748:S749"/>
    <mergeCell ref="T748:U749"/>
    <mergeCell ref="V748:W749"/>
    <mergeCell ref="X748:Z749"/>
    <mergeCell ref="AA748:AB749"/>
    <mergeCell ref="E748:E749"/>
    <mergeCell ref="F748:H748"/>
    <mergeCell ref="F749:H749"/>
    <mergeCell ref="I748:J749"/>
    <mergeCell ref="K748:L749"/>
    <mergeCell ref="M748:O749"/>
    <mergeCell ref="T746:U747"/>
    <mergeCell ref="V746:W747"/>
    <mergeCell ref="X746:Z747"/>
    <mergeCell ref="AA746:AB747"/>
    <mergeCell ref="AI746:AI747"/>
    <mergeCell ref="AJ746:AL747"/>
    <mergeCell ref="AJ744:AL744"/>
    <mergeCell ref="AJ745:AL745"/>
    <mergeCell ref="E746:E747"/>
    <mergeCell ref="F746:H746"/>
    <mergeCell ref="F747:H747"/>
    <mergeCell ref="I746:J747"/>
    <mergeCell ref="K746:L747"/>
    <mergeCell ref="M746:O747"/>
    <mergeCell ref="P746:Q747"/>
    <mergeCell ref="R746:S747"/>
    <mergeCell ref="P744:Q745"/>
    <mergeCell ref="R744:S745"/>
    <mergeCell ref="T744:U745"/>
    <mergeCell ref="V744:W745"/>
    <mergeCell ref="X744:Z745"/>
    <mergeCell ref="AA744:AB745"/>
    <mergeCell ref="E744:E745"/>
    <mergeCell ref="F744:H744"/>
    <mergeCell ref="F745:H745"/>
    <mergeCell ref="I744:J745"/>
    <mergeCell ref="K744:L745"/>
    <mergeCell ref="M744:O745"/>
    <mergeCell ref="T755:U755"/>
    <mergeCell ref="V755:W755"/>
    <mergeCell ref="X755:Z755"/>
    <mergeCell ref="AA755:AB755"/>
    <mergeCell ref="AJ755:AL755"/>
    <mergeCell ref="A756:A761"/>
    <mergeCell ref="B756:D761"/>
    <mergeCell ref="F756:H756"/>
    <mergeCell ref="I756:J756"/>
    <mergeCell ref="K756:L756"/>
    <mergeCell ref="F755:H755"/>
    <mergeCell ref="I755:J755"/>
    <mergeCell ref="K755:L755"/>
    <mergeCell ref="M755:O755"/>
    <mergeCell ref="P755:Q755"/>
    <mergeCell ref="R755:S755"/>
    <mergeCell ref="R751:S754"/>
    <mergeCell ref="T751:U754"/>
    <mergeCell ref="V751:W754"/>
    <mergeCell ref="X751:Z754"/>
    <mergeCell ref="AA751:AB754"/>
    <mergeCell ref="AJ751:AL751"/>
    <mergeCell ref="AI752:AI753"/>
    <mergeCell ref="AJ752:AL752"/>
    <mergeCell ref="AJ753:AL753"/>
    <mergeCell ref="AJ754:AL754"/>
    <mergeCell ref="E751:E754"/>
    <mergeCell ref="F751:H754"/>
    <mergeCell ref="I751:J754"/>
    <mergeCell ref="K751:L754"/>
    <mergeCell ref="M751:O754"/>
    <mergeCell ref="P751:Q754"/>
    <mergeCell ref="AC752:AD752"/>
    <mergeCell ref="AC753:AD753"/>
    <mergeCell ref="AC754:AD754"/>
    <mergeCell ref="AC755:AD755"/>
    <mergeCell ref="AF750:AH755"/>
    <mergeCell ref="AJ750:AL750"/>
    <mergeCell ref="T750:U750"/>
    <mergeCell ref="V750:W750"/>
    <mergeCell ref="X750:Z750"/>
    <mergeCell ref="AA750:AB750"/>
    <mergeCell ref="AC750:AD750"/>
    <mergeCell ref="AC751:AD751"/>
    <mergeCell ref="T761:U761"/>
    <mergeCell ref="V761:W761"/>
    <mergeCell ref="X761:Z761"/>
    <mergeCell ref="AA761:AB761"/>
    <mergeCell ref="AJ761:AL761"/>
    <mergeCell ref="A762:A765"/>
    <mergeCell ref="B762:D765"/>
    <mergeCell ref="E762:E763"/>
    <mergeCell ref="F762:H763"/>
    <mergeCell ref="I762:J763"/>
    <mergeCell ref="F761:H761"/>
    <mergeCell ref="I761:J761"/>
    <mergeCell ref="K761:L761"/>
    <mergeCell ref="M761:O761"/>
    <mergeCell ref="P761:Q761"/>
    <mergeCell ref="R761:S761"/>
    <mergeCell ref="T757:U760"/>
    <mergeCell ref="V757:W760"/>
    <mergeCell ref="X757:Z760"/>
    <mergeCell ref="AA757:AB760"/>
    <mergeCell ref="AJ757:AL757"/>
    <mergeCell ref="AI758:AI759"/>
    <mergeCell ref="AJ758:AL758"/>
    <mergeCell ref="AJ759:AL759"/>
    <mergeCell ref="AJ760:AL760"/>
    <mergeCell ref="AC761:AD761"/>
    <mergeCell ref="AF756:AH761"/>
    <mergeCell ref="AJ756:AL756"/>
    <mergeCell ref="E757:E760"/>
    <mergeCell ref="F757:H760"/>
    <mergeCell ref="I757:J760"/>
    <mergeCell ref="K757:L760"/>
    <mergeCell ref="M757:O760"/>
    <mergeCell ref="P757:Q760"/>
    <mergeCell ref="R757:S760"/>
    <mergeCell ref="AA756:AB756"/>
    <mergeCell ref="AC756:AD756"/>
    <mergeCell ref="AC757:AD757"/>
    <mergeCell ref="AC758:AD758"/>
    <mergeCell ref="AC759:AD759"/>
    <mergeCell ref="AC760:AD760"/>
    <mergeCell ref="M756:O756"/>
    <mergeCell ref="P756:Q756"/>
    <mergeCell ref="R756:S756"/>
    <mergeCell ref="T756:U756"/>
    <mergeCell ref="V756:W756"/>
    <mergeCell ref="X756:Z756"/>
    <mergeCell ref="B770:D770"/>
    <mergeCell ref="B771:D771"/>
    <mergeCell ref="F766:H766"/>
    <mergeCell ref="I766:J766"/>
    <mergeCell ref="K766:L766"/>
    <mergeCell ref="M766:O766"/>
    <mergeCell ref="V764:V765"/>
    <mergeCell ref="W764:Z765"/>
    <mergeCell ref="AA764:AB765"/>
    <mergeCell ref="AJ764:AK764"/>
    <mergeCell ref="AJ765:AK765"/>
    <mergeCell ref="A766:A771"/>
    <mergeCell ref="B766:D766"/>
    <mergeCell ref="B767:D767"/>
    <mergeCell ref="B768:D768"/>
    <mergeCell ref="B769:D769"/>
    <mergeCell ref="AF762:AH765"/>
    <mergeCell ref="AJ762:AK763"/>
    <mergeCell ref="E764:E765"/>
    <mergeCell ref="F764:H765"/>
    <mergeCell ref="I764:J765"/>
    <mergeCell ref="K764:L765"/>
    <mergeCell ref="M764:O765"/>
    <mergeCell ref="P764:Q765"/>
    <mergeCell ref="R764:R765"/>
    <mergeCell ref="S764:U765"/>
    <mergeCell ref="W762:Z763"/>
    <mergeCell ref="AA762:AB763"/>
    <mergeCell ref="AC762:AD762"/>
    <mergeCell ref="AC763:AD763"/>
    <mergeCell ref="AC764:AD764"/>
    <mergeCell ref="AC765:AD765"/>
    <mergeCell ref="K762:L763"/>
    <mergeCell ref="M762:O763"/>
    <mergeCell ref="P762:Q763"/>
    <mergeCell ref="R762:R763"/>
    <mergeCell ref="S762:U763"/>
    <mergeCell ref="V762:V763"/>
    <mergeCell ref="S769:U770"/>
    <mergeCell ref="V769:V770"/>
    <mergeCell ref="W769:Z770"/>
    <mergeCell ref="AA769:AB770"/>
    <mergeCell ref="AJ770:AK770"/>
    <mergeCell ref="F771:H771"/>
    <mergeCell ref="I771:J771"/>
    <mergeCell ref="K771:L771"/>
    <mergeCell ref="M771:O771"/>
    <mergeCell ref="P771:Q771"/>
    <mergeCell ref="AJ767:AK767"/>
    <mergeCell ref="AJ768:AK768"/>
    <mergeCell ref="AJ769:AK769"/>
    <mergeCell ref="E769:E770"/>
    <mergeCell ref="F769:H770"/>
    <mergeCell ref="I769:J770"/>
    <mergeCell ref="K769:L770"/>
    <mergeCell ref="M769:O770"/>
    <mergeCell ref="P769:Q770"/>
    <mergeCell ref="R769:R770"/>
    <mergeCell ref="AJ766:AK766"/>
    <mergeCell ref="E767:E768"/>
    <mergeCell ref="F767:H768"/>
    <mergeCell ref="I767:J768"/>
    <mergeCell ref="K767:L768"/>
    <mergeCell ref="M767:O768"/>
    <mergeCell ref="P767:Q768"/>
    <mergeCell ref="R767:R768"/>
    <mergeCell ref="S767:U768"/>
    <mergeCell ref="V767:V768"/>
    <mergeCell ref="AC768:AD768"/>
    <mergeCell ref="AC769:AD769"/>
    <mergeCell ref="AC770:AD770"/>
    <mergeCell ref="AC771:AD771"/>
    <mergeCell ref="AF766:AH771"/>
    <mergeCell ref="AI766:AI771"/>
    <mergeCell ref="P766:Q766"/>
    <mergeCell ref="S766:U766"/>
    <mergeCell ref="W766:Z766"/>
    <mergeCell ref="AA766:AB766"/>
    <mergeCell ref="AC766:AD766"/>
    <mergeCell ref="AC767:AD767"/>
    <mergeCell ref="W767:Z768"/>
    <mergeCell ref="AA767:AB768"/>
    <mergeCell ref="AJ773:AK773"/>
    <mergeCell ref="AJ774:AK774"/>
    <mergeCell ref="A775:A778"/>
    <mergeCell ref="B775:D778"/>
    <mergeCell ref="F775:H775"/>
    <mergeCell ref="I775:J775"/>
    <mergeCell ref="K775:L775"/>
    <mergeCell ref="M775:O775"/>
    <mergeCell ref="P775:Q775"/>
    <mergeCell ref="S775:U775"/>
    <mergeCell ref="AC774:AD774"/>
    <mergeCell ref="AF772:AH774"/>
    <mergeCell ref="AJ772:AK772"/>
    <mergeCell ref="E773:E774"/>
    <mergeCell ref="F773:H774"/>
    <mergeCell ref="I773:J774"/>
    <mergeCell ref="K773:L774"/>
    <mergeCell ref="M773:O774"/>
    <mergeCell ref="P773:Q774"/>
    <mergeCell ref="R773:R774"/>
    <mergeCell ref="P772:Q772"/>
    <mergeCell ref="S772:U772"/>
    <mergeCell ref="W772:Z772"/>
    <mergeCell ref="AA772:AB772"/>
    <mergeCell ref="AC772:AD772"/>
    <mergeCell ref="AC773:AD773"/>
    <mergeCell ref="S773:U774"/>
    <mergeCell ref="V773:V774"/>
    <mergeCell ref="W773:Z774"/>
    <mergeCell ref="AA773:AB774"/>
    <mergeCell ref="S771:U771"/>
    <mergeCell ref="W771:Z771"/>
    <mergeCell ref="AA771:AB771"/>
    <mergeCell ref="AJ771:AK771"/>
    <mergeCell ref="A772:A774"/>
    <mergeCell ref="B772:D774"/>
    <mergeCell ref="F772:H772"/>
    <mergeCell ref="I772:J772"/>
    <mergeCell ref="K772:L772"/>
    <mergeCell ref="M772:O772"/>
    <mergeCell ref="AJ778:AK778"/>
    <mergeCell ref="A779:A782"/>
    <mergeCell ref="B779:D782"/>
    <mergeCell ref="F779:H779"/>
    <mergeCell ref="I779:J779"/>
    <mergeCell ref="K779:L779"/>
    <mergeCell ref="M779:O779"/>
    <mergeCell ref="P779:Q779"/>
    <mergeCell ref="S779:U779"/>
    <mergeCell ref="W779:Z780"/>
    <mergeCell ref="F778:H778"/>
    <mergeCell ref="I778:J778"/>
    <mergeCell ref="K778:L778"/>
    <mergeCell ref="M778:O778"/>
    <mergeCell ref="P778:Q778"/>
    <mergeCell ref="S778:U778"/>
    <mergeCell ref="AJ776:AK776"/>
    <mergeCell ref="F777:H777"/>
    <mergeCell ref="I777:J777"/>
    <mergeCell ref="K777:L777"/>
    <mergeCell ref="M777:O777"/>
    <mergeCell ref="P777:Q777"/>
    <mergeCell ref="S777:U777"/>
    <mergeCell ref="W777:Z777"/>
    <mergeCell ref="AA777:AB777"/>
    <mergeCell ref="AJ777:AK777"/>
    <mergeCell ref="AF775:AH778"/>
    <mergeCell ref="AI775:AI811"/>
    <mergeCell ref="AJ775:AK775"/>
    <mergeCell ref="F776:H776"/>
    <mergeCell ref="I776:J776"/>
    <mergeCell ref="K776:L776"/>
    <mergeCell ref="M776:O776"/>
    <mergeCell ref="P776:Q776"/>
    <mergeCell ref="S776:U776"/>
    <mergeCell ref="W776:Z776"/>
    <mergeCell ref="W775:Z775"/>
    <mergeCell ref="AA775:AB775"/>
    <mergeCell ref="AC775:AD775"/>
    <mergeCell ref="AC776:AD776"/>
    <mergeCell ref="AC777:AD777"/>
    <mergeCell ref="AC778:AD778"/>
    <mergeCell ref="AA776:AB776"/>
    <mergeCell ref="W778:Z778"/>
    <mergeCell ref="AA778:AB778"/>
    <mergeCell ref="A783:A791"/>
    <mergeCell ref="B783:D791"/>
    <mergeCell ref="F783:H783"/>
    <mergeCell ref="I783:J783"/>
    <mergeCell ref="K783:L783"/>
    <mergeCell ref="M783:O783"/>
    <mergeCell ref="F786:H786"/>
    <mergeCell ref="I786:J786"/>
    <mergeCell ref="K786:L786"/>
    <mergeCell ref="M786:O786"/>
    <mergeCell ref="W781:Z782"/>
    <mergeCell ref="AA781:AB782"/>
    <mergeCell ref="AJ781:AK781"/>
    <mergeCell ref="F782:H782"/>
    <mergeCell ref="I782:J782"/>
    <mergeCell ref="K782:L782"/>
    <mergeCell ref="M782:O782"/>
    <mergeCell ref="P782:Q782"/>
    <mergeCell ref="S782:U782"/>
    <mergeCell ref="AJ782:AK782"/>
    <mergeCell ref="F781:H781"/>
    <mergeCell ref="I781:J781"/>
    <mergeCell ref="K781:L781"/>
    <mergeCell ref="M781:O781"/>
    <mergeCell ref="P781:Q781"/>
    <mergeCell ref="S781:U781"/>
    <mergeCell ref="AJ779:AK779"/>
    <mergeCell ref="F780:H780"/>
    <mergeCell ref="I780:J780"/>
    <mergeCell ref="K780:L780"/>
    <mergeCell ref="M780:O780"/>
    <mergeCell ref="P780:Q780"/>
    <mergeCell ref="S780:U780"/>
    <mergeCell ref="AJ780:AK780"/>
    <mergeCell ref="AA779:AB780"/>
    <mergeCell ref="AC779:AD779"/>
    <mergeCell ref="AC780:AD780"/>
    <mergeCell ref="AC781:AD781"/>
    <mergeCell ref="AC782:AD782"/>
    <mergeCell ref="AF779:AH782"/>
    <mergeCell ref="P786:Q786"/>
    <mergeCell ref="S786:U786"/>
    <mergeCell ref="W786:Z786"/>
    <mergeCell ref="AA786:AB786"/>
    <mergeCell ref="AJ786:AK786"/>
    <mergeCell ref="S787:T787"/>
    <mergeCell ref="W787:X787"/>
    <mergeCell ref="Y787:Z787"/>
    <mergeCell ref="AJ787:AK787"/>
    <mergeCell ref="AJ784:AK784"/>
    <mergeCell ref="F785:H785"/>
    <mergeCell ref="I785:J785"/>
    <mergeCell ref="K785:L785"/>
    <mergeCell ref="M785:O785"/>
    <mergeCell ref="P785:Q785"/>
    <mergeCell ref="S785:U785"/>
    <mergeCell ref="W785:Z785"/>
    <mergeCell ref="AA785:AB785"/>
    <mergeCell ref="AJ785:AK785"/>
    <mergeCell ref="AC791:AD791"/>
    <mergeCell ref="AF783:AH791"/>
    <mergeCell ref="AJ783:AK783"/>
    <mergeCell ref="F784:H784"/>
    <mergeCell ref="I784:J784"/>
    <mergeCell ref="K784:L784"/>
    <mergeCell ref="M784:O784"/>
    <mergeCell ref="P784:Q784"/>
    <mergeCell ref="S784:U784"/>
    <mergeCell ref="W784:Z784"/>
    <mergeCell ref="AC785:AD785"/>
    <mergeCell ref="AC786:AD786"/>
    <mergeCell ref="AC787:AD787"/>
    <mergeCell ref="AC788:AD788"/>
    <mergeCell ref="AC789:AD789"/>
    <mergeCell ref="AC790:AD790"/>
    <mergeCell ref="P783:Q783"/>
    <mergeCell ref="S783:U783"/>
    <mergeCell ref="W783:Z783"/>
    <mergeCell ref="AA783:AB783"/>
    <mergeCell ref="AC783:AD783"/>
    <mergeCell ref="AC784:AD784"/>
    <mergeCell ref="AA784:AB784"/>
    <mergeCell ref="AJ790:AK790"/>
    <mergeCell ref="F791:H791"/>
    <mergeCell ref="I791:J791"/>
    <mergeCell ref="K791:L791"/>
    <mergeCell ref="M791:O791"/>
    <mergeCell ref="P791:Q791"/>
    <mergeCell ref="S791:U791"/>
    <mergeCell ref="W791:Z791"/>
    <mergeCell ref="AA791:AB791"/>
    <mergeCell ref="AJ791:AK791"/>
    <mergeCell ref="AA789:AB789"/>
    <mergeCell ref="AJ789:AK789"/>
    <mergeCell ref="F790:H790"/>
    <mergeCell ref="I790:J790"/>
    <mergeCell ref="K790:L790"/>
    <mergeCell ref="M790:O790"/>
    <mergeCell ref="P790:Q790"/>
    <mergeCell ref="S790:U790"/>
    <mergeCell ref="W790:Z790"/>
    <mergeCell ref="AA790:AB790"/>
    <mergeCell ref="W788:Z788"/>
    <mergeCell ref="AA788:AB788"/>
    <mergeCell ref="AJ788:AK788"/>
    <mergeCell ref="F789:H789"/>
    <mergeCell ref="I789:J789"/>
    <mergeCell ref="K789:L789"/>
    <mergeCell ref="M789:O789"/>
    <mergeCell ref="P789:Q789"/>
    <mergeCell ref="S789:U789"/>
    <mergeCell ref="W789:Z789"/>
    <mergeCell ref="F788:H788"/>
    <mergeCell ref="I788:J788"/>
    <mergeCell ref="K788:L788"/>
    <mergeCell ref="M788:O788"/>
    <mergeCell ref="P788:Q788"/>
    <mergeCell ref="S788:U788"/>
    <mergeCell ref="P795:Q795"/>
    <mergeCell ref="S795:U795"/>
    <mergeCell ref="W795:Z795"/>
    <mergeCell ref="AA795:AB795"/>
    <mergeCell ref="AJ795:AK795"/>
    <mergeCell ref="A796:A798"/>
    <mergeCell ref="B796:D798"/>
    <mergeCell ref="F796:H796"/>
    <mergeCell ref="I796:J796"/>
    <mergeCell ref="K796:L796"/>
    <mergeCell ref="AJ793:AK793"/>
    <mergeCell ref="F794:H794"/>
    <mergeCell ref="I794:J794"/>
    <mergeCell ref="K794:L794"/>
    <mergeCell ref="M794:O794"/>
    <mergeCell ref="P794:Q794"/>
    <mergeCell ref="S794:U794"/>
    <mergeCell ref="W794:Z794"/>
    <mergeCell ref="AA794:AB794"/>
    <mergeCell ref="AJ794:AK794"/>
    <mergeCell ref="AC794:AD794"/>
    <mergeCell ref="AC795:AD795"/>
    <mergeCell ref="AF792:AH795"/>
    <mergeCell ref="AJ792:AK792"/>
    <mergeCell ref="F793:H793"/>
    <mergeCell ref="I793:J793"/>
    <mergeCell ref="K793:L793"/>
    <mergeCell ref="M793:O793"/>
    <mergeCell ref="P793:Q793"/>
    <mergeCell ref="S793:U793"/>
    <mergeCell ref="P792:Q792"/>
    <mergeCell ref="S792:U792"/>
    <mergeCell ref="W792:Z792"/>
    <mergeCell ref="AA792:AB792"/>
    <mergeCell ref="AC792:AD792"/>
    <mergeCell ref="AC793:AD793"/>
    <mergeCell ref="W793:Z793"/>
    <mergeCell ref="AA793:AB793"/>
    <mergeCell ref="A792:A795"/>
    <mergeCell ref="B792:D795"/>
    <mergeCell ref="F792:H792"/>
    <mergeCell ref="I792:J792"/>
    <mergeCell ref="K792:L792"/>
    <mergeCell ref="M792:O792"/>
    <mergeCell ref="F795:H795"/>
    <mergeCell ref="I795:J795"/>
    <mergeCell ref="K795:L795"/>
    <mergeCell ref="M795:O795"/>
    <mergeCell ref="AJ799:AK799"/>
    <mergeCell ref="F800:H800"/>
    <mergeCell ref="I800:J800"/>
    <mergeCell ref="K800:L800"/>
    <mergeCell ref="M800:O800"/>
    <mergeCell ref="P800:Q800"/>
    <mergeCell ref="S800:U800"/>
    <mergeCell ref="W800:Z800"/>
    <mergeCell ref="AA800:AB800"/>
    <mergeCell ref="AJ800:AK800"/>
    <mergeCell ref="W799:Z799"/>
    <mergeCell ref="AA799:AB799"/>
    <mergeCell ref="AC799:AD799"/>
    <mergeCell ref="AC800:AD800"/>
    <mergeCell ref="AC801:AD801"/>
    <mergeCell ref="AF799:AH801"/>
    <mergeCell ref="W801:Z801"/>
    <mergeCell ref="AA801:AB801"/>
    <mergeCell ref="AA798:AB798"/>
    <mergeCell ref="AJ798:AK798"/>
    <mergeCell ref="A799:A801"/>
    <mergeCell ref="B799:D801"/>
    <mergeCell ref="F799:H799"/>
    <mergeCell ref="I799:J799"/>
    <mergeCell ref="K799:L799"/>
    <mergeCell ref="M799:O799"/>
    <mergeCell ref="P799:Q799"/>
    <mergeCell ref="S799:U799"/>
    <mergeCell ref="W797:Z797"/>
    <mergeCell ref="AA797:AB797"/>
    <mergeCell ref="AJ797:AK797"/>
    <mergeCell ref="F798:H798"/>
    <mergeCell ref="I798:J798"/>
    <mergeCell ref="K798:L798"/>
    <mergeCell ref="M798:O798"/>
    <mergeCell ref="P798:Q798"/>
    <mergeCell ref="S798:U798"/>
    <mergeCell ref="W798:Z798"/>
    <mergeCell ref="AC797:AD797"/>
    <mergeCell ref="AC798:AD798"/>
    <mergeCell ref="AF796:AH798"/>
    <mergeCell ref="AJ796:AK796"/>
    <mergeCell ref="F797:H797"/>
    <mergeCell ref="I797:J797"/>
    <mergeCell ref="K797:L797"/>
    <mergeCell ref="M797:O797"/>
    <mergeCell ref="P797:Q797"/>
    <mergeCell ref="S797:U797"/>
    <mergeCell ref="M796:O796"/>
    <mergeCell ref="P796:Q796"/>
    <mergeCell ref="S796:U796"/>
    <mergeCell ref="W796:Z796"/>
    <mergeCell ref="AA796:AB796"/>
    <mergeCell ref="AC796:AD796"/>
    <mergeCell ref="AJ802:AK802"/>
    <mergeCell ref="F803:H803"/>
    <mergeCell ref="I803:J803"/>
    <mergeCell ref="K803:L803"/>
    <mergeCell ref="M803:O803"/>
    <mergeCell ref="P803:Q803"/>
    <mergeCell ref="S803:U803"/>
    <mergeCell ref="W803:Z803"/>
    <mergeCell ref="AA803:AB803"/>
    <mergeCell ref="AJ803:AK803"/>
    <mergeCell ref="AC807:AD807"/>
    <mergeCell ref="AF802:AH802"/>
    <mergeCell ref="AF803:AH803"/>
    <mergeCell ref="AF804:AH804"/>
    <mergeCell ref="AF805:AH805"/>
    <mergeCell ref="AF806:AH806"/>
    <mergeCell ref="AF807:AH807"/>
    <mergeCell ref="AA802:AB802"/>
    <mergeCell ref="AC802:AD802"/>
    <mergeCell ref="AC803:AD803"/>
    <mergeCell ref="AC804:AD804"/>
    <mergeCell ref="AC805:AD805"/>
    <mergeCell ref="AC806:AD806"/>
    <mergeCell ref="AA805:AB805"/>
    <mergeCell ref="AJ801:AK801"/>
    <mergeCell ref="A802:A807"/>
    <mergeCell ref="B802:D807"/>
    <mergeCell ref="F802:H802"/>
    <mergeCell ref="I802:J802"/>
    <mergeCell ref="K802:L802"/>
    <mergeCell ref="M802:O802"/>
    <mergeCell ref="P802:Q802"/>
    <mergeCell ref="S802:U802"/>
    <mergeCell ref="W802:Z802"/>
    <mergeCell ref="F801:H801"/>
    <mergeCell ref="I801:J801"/>
    <mergeCell ref="K801:L801"/>
    <mergeCell ref="M801:O801"/>
    <mergeCell ref="P801:Q801"/>
    <mergeCell ref="S801:U801"/>
    <mergeCell ref="W807:Z807"/>
    <mergeCell ref="AA807:AB807"/>
    <mergeCell ref="AJ807:AK807"/>
    <mergeCell ref="A808:A811"/>
    <mergeCell ref="B808:D811"/>
    <mergeCell ref="F808:H808"/>
    <mergeCell ref="I808:J808"/>
    <mergeCell ref="K808:L808"/>
    <mergeCell ref="M808:O808"/>
    <mergeCell ref="P808:Q808"/>
    <mergeCell ref="F807:H807"/>
    <mergeCell ref="I807:J807"/>
    <mergeCell ref="K807:L807"/>
    <mergeCell ref="M807:O807"/>
    <mergeCell ref="P807:Q807"/>
    <mergeCell ref="S807:U807"/>
    <mergeCell ref="AJ805:AK805"/>
    <mergeCell ref="F806:H806"/>
    <mergeCell ref="I806:J806"/>
    <mergeCell ref="K806:L806"/>
    <mergeCell ref="M806:O806"/>
    <mergeCell ref="P806:Q806"/>
    <mergeCell ref="S806:U806"/>
    <mergeCell ref="W806:Z806"/>
    <mergeCell ref="AA806:AB806"/>
    <mergeCell ref="AJ806:AK806"/>
    <mergeCell ref="W804:Z804"/>
    <mergeCell ref="AA804:AB804"/>
    <mergeCell ref="AJ804:AK804"/>
    <mergeCell ref="F805:H805"/>
    <mergeCell ref="I805:J805"/>
    <mergeCell ref="K805:L805"/>
    <mergeCell ref="M805:O805"/>
    <mergeCell ref="P805:Q805"/>
    <mergeCell ref="S805:U805"/>
    <mergeCell ref="W805:Z805"/>
    <mergeCell ref="F804:H804"/>
    <mergeCell ref="I804:J804"/>
    <mergeCell ref="K804:L804"/>
    <mergeCell ref="M804:O804"/>
    <mergeCell ref="P804:Q804"/>
    <mergeCell ref="S804:U804"/>
    <mergeCell ref="W811:Z811"/>
    <mergeCell ref="AA811:AB811"/>
    <mergeCell ref="AJ811:AK811"/>
    <mergeCell ref="A812:A815"/>
    <mergeCell ref="B812:D815"/>
    <mergeCell ref="F812:H812"/>
    <mergeCell ref="I812:J812"/>
    <mergeCell ref="K812:L812"/>
    <mergeCell ref="M812:O812"/>
    <mergeCell ref="P812:Q812"/>
    <mergeCell ref="F811:H811"/>
    <mergeCell ref="I811:J811"/>
    <mergeCell ref="K811:L811"/>
    <mergeCell ref="M811:O811"/>
    <mergeCell ref="P811:Q811"/>
    <mergeCell ref="S811:U811"/>
    <mergeCell ref="F810:H810"/>
    <mergeCell ref="I810:J810"/>
    <mergeCell ref="K810:L810"/>
    <mergeCell ref="M810:O810"/>
    <mergeCell ref="P810:Q810"/>
    <mergeCell ref="S810:U810"/>
    <mergeCell ref="F809:H809"/>
    <mergeCell ref="I809:J809"/>
    <mergeCell ref="K809:L809"/>
    <mergeCell ref="M809:O809"/>
    <mergeCell ref="P809:Q809"/>
    <mergeCell ref="S809:U809"/>
    <mergeCell ref="AC811:AD811"/>
    <mergeCell ref="AF808:AH808"/>
    <mergeCell ref="AF809:AH809"/>
    <mergeCell ref="AF810:AH810"/>
    <mergeCell ref="AF811:AH811"/>
    <mergeCell ref="AJ808:AK808"/>
    <mergeCell ref="AJ809:AK809"/>
    <mergeCell ref="AJ810:AK810"/>
    <mergeCell ref="S808:U808"/>
    <mergeCell ref="W808:Z808"/>
    <mergeCell ref="AA808:AB808"/>
    <mergeCell ref="AC808:AD808"/>
    <mergeCell ref="AC809:AD809"/>
    <mergeCell ref="AC810:AD810"/>
    <mergeCell ref="W809:Z809"/>
    <mergeCell ref="AA809:AB809"/>
    <mergeCell ref="W810:Z810"/>
    <mergeCell ref="AA810:AB810"/>
    <mergeCell ref="W815:Z815"/>
    <mergeCell ref="AA815:AB815"/>
    <mergeCell ref="AJ815:AK815"/>
    <mergeCell ref="A816:A819"/>
    <mergeCell ref="B816:D819"/>
    <mergeCell ref="E816:E817"/>
    <mergeCell ref="F816:H817"/>
    <mergeCell ref="I816:J817"/>
    <mergeCell ref="K816:L817"/>
    <mergeCell ref="M816:O817"/>
    <mergeCell ref="F815:H815"/>
    <mergeCell ref="I815:J815"/>
    <mergeCell ref="K815:L815"/>
    <mergeCell ref="M815:O815"/>
    <mergeCell ref="P815:Q815"/>
    <mergeCell ref="S815:U815"/>
    <mergeCell ref="AJ813:AK813"/>
    <mergeCell ref="F814:H814"/>
    <mergeCell ref="I814:J814"/>
    <mergeCell ref="K814:L814"/>
    <mergeCell ref="M814:O814"/>
    <mergeCell ref="P814:Q814"/>
    <mergeCell ref="S814:U814"/>
    <mergeCell ref="W814:Z814"/>
    <mergeCell ref="AA814:AB814"/>
    <mergeCell ref="AJ814:AK814"/>
    <mergeCell ref="AC815:AD815"/>
    <mergeCell ref="AF812:AH815"/>
    <mergeCell ref="AJ812:AK812"/>
    <mergeCell ref="F813:H813"/>
    <mergeCell ref="I813:J813"/>
    <mergeCell ref="K813:L813"/>
    <mergeCell ref="M813:O813"/>
    <mergeCell ref="P813:Q813"/>
    <mergeCell ref="S813:U813"/>
    <mergeCell ref="W813:Z813"/>
    <mergeCell ref="S812:U812"/>
    <mergeCell ref="W812:Z812"/>
    <mergeCell ref="AA812:AB812"/>
    <mergeCell ref="AC812:AD812"/>
    <mergeCell ref="AC813:AD813"/>
    <mergeCell ref="AC814:AD814"/>
    <mergeCell ref="AA813:AB813"/>
    <mergeCell ref="AA819:AB819"/>
    <mergeCell ref="AJ819:AK819"/>
    <mergeCell ref="A820:A825"/>
    <mergeCell ref="B820:D825"/>
    <mergeCell ref="F820:H820"/>
    <mergeCell ref="I820:J820"/>
    <mergeCell ref="K820:L820"/>
    <mergeCell ref="M820:O820"/>
    <mergeCell ref="P820:Q820"/>
    <mergeCell ref="S820:U820"/>
    <mergeCell ref="W818:Z818"/>
    <mergeCell ref="AA818:AB818"/>
    <mergeCell ref="AJ818:AK818"/>
    <mergeCell ref="F819:H819"/>
    <mergeCell ref="I819:J819"/>
    <mergeCell ref="K819:L819"/>
    <mergeCell ref="M819:O819"/>
    <mergeCell ref="P819:Q819"/>
    <mergeCell ref="S819:U819"/>
    <mergeCell ref="W819:Z819"/>
    <mergeCell ref="F818:H818"/>
    <mergeCell ref="I818:J818"/>
    <mergeCell ref="K818:L818"/>
    <mergeCell ref="M818:O818"/>
    <mergeCell ref="P818:Q818"/>
    <mergeCell ref="S818:U818"/>
    <mergeCell ref="AC816:AD816"/>
    <mergeCell ref="AC817:AD817"/>
    <mergeCell ref="AC818:AD818"/>
    <mergeCell ref="AC819:AD819"/>
    <mergeCell ref="AF816:AH819"/>
    <mergeCell ref="AJ816:AK817"/>
    <mergeCell ref="P816:Q817"/>
    <mergeCell ref="R816:R817"/>
    <mergeCell ref="S816:U817"/>
    <mergeCell ref="V816:V817"/>
    <mergeCell ref="W816:Z817"/>
    <mergeCell ref="AA816:AB817"/>
    <mergeCell ref="W824:Z824"/>
    <mergeCell ref="AA824:AB824"/>
    <mergeCell ref="AJ824:AK824"/>
    <mergeCell ref="F825:H825"/>
    <mergeCell ref="I825:J825"/>
    <mergeCell ref="K825:L825"/>
    <mergeCell ref="M825:O825"/>
    <mergeCell ref="P825:Q825"/>
    <mergeCell ref="S825:U825"/>
    <mergeCell ref="W825:Z825"/>
    <mergeCell ref="F824:H824"/>
    <mergeCell ref="I824:J824"/>
    <mergeCell ref="K824:L824"/>
    <mergeCell ref="M824:O824"/>
    <mergeCell ref="P824:Q824"/>
    <mergeCell ref="S824:U824"/>
    <mergeCell ref="AJ822:AK822"/>
    <mergeCell ref="F823:H823"/>
    <mergeCell ref="I823:J823"/>
    <mergeCell ref="K823:L823"/>
    <mergeCell ref="M823:O823"/>
    <mergeCell ref="P823:Q823"/>
    <mergeCell ref="S823:U823"/>
    <mergeCell ref="W823:Z823"/>
    <mergeCell ref="AA823:AB823"/>
    <mergeCell ref="AJ823:AK823"/>
    <mergeCell ref="S821:U821"/>
    <mergeCell ref="W821:Z821"/>
    <mergeCell ref="AA821:AB821"/>
    <mergeCell ref="AJ821:AK821"/>
    <mergeCell ref="F822:H822"/>
    <mergeCell ref="I822:J822"/>
    <mergeCell ref="K822:L822"/>
    <mergeCell ref="M822:O822"/>
    <mergeCell ref="P822:Q822"/>
    <mergeCell ref="S822:U822"/>
    <mergeCell ref="AC824:AD824"/>
    <mergeCell ref="AC825:AD825"/>
    <mergeCell ref="AF820:AH825"/>
    <mergeCell ref="AI820:AI834"/>
    <mergeCell ref="AJ820:AK820"/>
    <mergeCell ref="F821:H821"/>
    <mergeCell ref="I821:J821"/>
    <mergeCell ref="K821:L821"/>
    <mergeCell ref="M821:O821"/>
    <mergeCell ref="P821:Q821"/>
    <mergeCell ref="W820:Z820"/>
    <mergeCell ref="AA820:AB820"/>
    <mergeCell ref="AC820:AD820"/>
    <mergeCell ref="AC821:AD821"/>
    <mergeCell ref="AC822:AD822"/>
    <mergeCell ref="AC823:AD823"/>
    <mergeCell ref="W822:Z822"/>
    <mergeCell ref="AA822:AB822"/>
    <mergeCell ref="S828:U828"/>
    <mergeCell ref="W828:Z828"/>
    <mergeCell ref="AA828:AB828"/>
    <mergeCell ref="AJ828:AK828"/>
    <mergeCell ref="A829:A834"/>
    <mergeCell ref="B829:D834"/>
    <mergeCell ref="F829:H832"/>
    <mergeCell ref="I829:J832"/>
    <mergeCell ref="K829:L832"/>
    <mergeCell ref="M829:O832"/>
    <mergeCell ref="AC828:AD828"/>
    <mergeCell ref="AF826:AH826"/>
    <mergeCell ref="AF827:AH827"/>
    <mergeCell ref="AF828:AH828"/>
    <mergeCell ref="AJ826:AK827"/>
    <mergeCell ref="F828:H828"/>
    <mergeCell ref="I828:J828"/>
    <mergeCell ref="K828:L828"/>
    <mergeCell ref="M828:O828"/>
    <mergeCell ref="P828:Q828"/>
    <mergeCell ref="R826:R827"/>
    <mergeCell ref="S826:U827"/>
    <mergeCell ref="V826:V827"/>
    <mergeCell ref="W826:Z827"/>
    <mergeCell ref="AA826:AB827"/>
    <mergeCell ref="AC826:AD826"/>
    <mergeCell ref="AC827:AD827"/>
    <mergeCell ref="AA825:AB825"/>
    <mergeCell ref="AJ825:AK825"/>
    <mergeCell ref="A826:A828"/>
    <mergeCell ref="B826:D828"/>
    <mergeCell ref="E826:E827"/>
    <mergeCell ref="F826:H827"/>
    <mergeCell ref="I826:J827"/>
    <mergeCell ref="K826:L827"/>
    <mergeCell ref="M826:O827"/>
    <mergeCell ref="P826:Q827"/>
    <mergeCell ref="W835:X835"/>
    <mergeCell ref="Y835:Z835"/>
    <mergeCell ref="AC835:AD835"/>
    <mergeCell ref="AF835:AH835"/>
    <mergeCell ref="AJ835:AK835"/>
    <mergeCell ref="A836:A845"/>
    <mergeCell ref="B836:D845"/>
    <mergeCell ref="F836:H837"/>
    <mergeCell ref="I836:J837"/>
    <mergeCell ref="K836:L837"/>
    <mergeCell ref="B835:D835"/>
    <mergeCell ref="J835:K835"/>
    <mergeCell ref="N835:P835"/>
    <mergeCell ref="Q835:R835"/>
    <mergeCell ref="S835:T835"/>
    <mergeCell ref="U835:V835"/>
    <mergeCell ref="S833:U834"/>
    <mergeCell ref="V833:V834"/>
    <mergeCell ref="W833:Z834"/>
    <mergeCell ref="AA833:AB834"/>
    <mergeCell ref="AJ833:AK833"/>
    <mergeCell ref="AJ834:AK834"/>
    <mergeCell ref="F833:H834"/>
    <mergeCell ref="I833:J834"/>
    <mergeCell ref="K833:L834"/>
    <mergeCell ref="M833:O834"/>
    <mergeCell ref="P833:Q834"/>
    <mergeCell ref="R833:R834"/>
    <mergeCell ref="AC829:AD834"/>
    <mergeCell ref="AE829:AE834"/>
    <mergeCell ref="AF829:AH834"/>
    <mergeCell ref="AJ829:AK829"/>
    <mergeCell ref="AJ830:AK830"/>
    <mergeCell ref="AJ831:AK831"/>
    <mergeCell ref="AJ832:AK832"/>
    <mergeCell ref="P829:Q832"/>
    <mergeCell ref="R829:R832"/>
    <mergeCell ref="S829:U832"/>
    <mergeCell ref="V829:V832"/>
    <mergeCell ref="W829:Z832"/>
    <mergeCell ref="AA829:AB832"/>
    <mergeCell ref="T842:U845"/>
    <mergeCell ref="V842:W845"/>
    <mergeCell ref="X842:Z845"/>
    <mergeCell ref="AA842:AB845"/>
    <mergeCell ref="A846:A849"/>
    <mergeCell ref="B846:D849"/>
    <mergeCell ref="F846:H846"/>
    <mergeCell ref="I846:J846"/>
    <mergeCell ref="K846:L846"/>
    <mergeCell ref="M846:O846"/>
    <mergeCell ref="F842:H845"/>
    <mergeCell ref="I842:J845"/>
    <mergeCell ref="K842:L845"/>
    <mergeCell ref="M842:O845"/>
    <mergeCell ref="P842:Q845"/>
    <mergeCell ref="R842:S845"/>
    <mergeCell ref="AI836:AI864"/>
    <mergeCell ref="F838:H841"/>
    <mergeCell ref="I838:J841"/>
    <mergeCell ref="K838:L841"/>
    <mergeCell ref="M838:O841"/>
    <mergeCell ref="P838:Q841"/>
    <mergeCell ref="R838:S841"/>
    <mergeCell ref="T838:U841"/>
    <mergeCell ref="V838:W841"/>
    <mergeCell ref="X838:Z841"/>
    <mergeCell ref="AC841:AD841"/>
    <mergeCell ref="AC842:AD842"/>
    <mergeCell ref="AC843:AD843"/>
    <mergeCell ref="AC844:AD844"/>
    <mergeCell ref="AC845:AD845"/>
    <mergeCell ref="AF836:AH845"/>
    <mergeCell ref="AA836:AB837"/>
    <mergeCell ref="AC836:AD836"/>
    <mergeCell ref="AC837:AD837"/>
    <mergeCell ref="AC838:AD838"/>
    <mergeCell ref="AC839:AD839"/>
    <mergeCell ref="AC840:AD840"/>
    <mergeCell ref="AA838:AB841"/>
    <mergeCell ref="M836:O837"/>
    <mergeCell ref="P836:Q837"/>
    <mergeCell ref="R836:S837"/>
    <mergeCell ref="T836:U837"/>
    <mergeCell ref="V836:W837"/>
    <mergeCell ref="X836:Z837"/>
    <mergeCell ref="R848:S848"/>
    <mergeCell ref="T848:U848"/>
    <mergeCell ref="V848:W848"/>
    <mergeCell ref="X848:Z848"/>
    <mergeCell ref="AA848:AB848"/>
    <mergeCell ref="F849:H849"/>
    <mergeCell ref="I849:J849"/>
    <mergeCell ref="K849:L849"/>
    <mergeCell ref="M849:O849"/>
    <mergeCell ref="P849:Q849"/>
    <mergeCell ref="R847:S847"/>
    <mergeCell ref="T847:U847"/>
    <mergeCell ref="V847:W847"/>
    <mergeCell ref="X847:Z847"/>
    <mergeCell ref="AA847:AB847"/>
    <mergeCell ref="F848:H848"/>
    <mergeCell ref="I848:J848"/>
    <mergeCell ref="K848:L848"/>
    <mergeCell ref="M848:O848"/>
    <mergeCell ref="P848:Q848"/>
    <mergeCell ref="AC846:AD846"/>
    <mergeCell ref="AC847:AD847"/>
    <mergeCell ref="AC848:AD848"/>
    <mergeCell ref="AC849:AD849"/>
    <mergeCell ref="AF846:AH849"/>
    <mergeCell ref="F847:H847"/>
    <mergeCell ref="I847:J847"/>
    <mergeCell ref="K847:L847"/>
    <mergeCell ref="M847:O847"/>
    <mergeCell ref="P847:Q847"/>
    <mergeCell ref="P846:Q846"/>
    <mergeCell ref="R846:S846"/>
    <mergeCell ref="T846:U846"/>
    <mergeCell ref="V846:W846"/>
    <mergeCell ref="X846:Z846"/>
    <mergeCell ref="AA846:AB846"/>
    <mergeCell ref="X851:Z851"/>
    <mergeCell ref="AA851:AB851"/>
    <mergeCell ref="M852:O852"/>
    <mergeCell ref="P852:Q852"/>
    <mergeCell ref="R852:S852"/>
    <mergeCell ref="T852:U852"/>
    <mergeCell ref="V852:W852"/>
    <mergeCell ref="X852:Z852"/>
    <mergeCell ref="AA852:AB852"/>
    <mergeCell ref="AA850:AB850"/>
    <mergeCell ref="AC850:AD850"/>
    <mergeCell ref="AC851:AD851"/>
    <mergeCell ref="AC852:AD852"/>
    <mergeCell ref="AF850:AH852"/>
    <mergeCell ref="M851:O851"/>
    <mergeCell ref="P851:Q851"/>
    <mergeCell ref="R851:S851"/>
    <mergeCell ref="T851:U851"/>
    <mergeCell ref="V851:W851"/>
    <mergeCell ref="M850:O850"/>
    <mergeCell ref="P850:Q850"/>
    <mergeCell ref="R850:S850"/>
    <mergeCell ref="T850:U850"/>
    <mergeCell ref="V850:W850"/>
    <mergeCell ref="X850:Z850"/>
    <mergeCell ref="R849:S849"/>
    <mergeCell ref="T849:U849"/>
    <mergeCell ref="V849:W849"/>
    <mergeCell ref="X849:Z849"/>
    <mergeCell ref="AA849:AB849"/>
    <mergeCell ref="A850:A852"/>
    <mergeCell ref="B850:D852"/>
    <mergeCell ref="F850:H852"/>
    <mergeCell ref="I850:J852"/>
    <mergeCell ref="K850:L852"/>
    <mergeCell ref="M856:O856"/>
    <mergeCell ref="P856:Q856"/>
    <mergeCell ref="R856:S856"/>
    <mergeCell ref="T856:U856"/>
    <mergeCell ref="V856:W856"/>
    <mergeCell ref="X856:Z856"/>
    <mergeCell ref="AJ853:AJ854"/>
    <mergeCell ref="M855:O855"/>
    <mergeCell ref="P855:Q855"/>
    <mergeCell ref="R855:S855"/>
    <mergeCell ref="T855:U855"/>
    <mergeCell ref="V855:W855"/>
    <mergeCell ref="X855:Z855"/>
    <mergeCell ref="AA855:AB855"/>
    <mergeCell ref="AA853:AB854"/>
    <mergeCell ref="AC853:AD853"/>
    <mergeCell ref="AC854:AD854"/>
    <mergeCell ref="AC855:AD855"/>
    <mergeCell ref="AC856:AD856"/>
    <mergeCell ref="AF853:AH856"/>
    <mergeCell ref="AA856:AB856"/>
    <mergeCell ref="M853:O854"/>
    <mergeCell ref="P853:Q854"/>
    <mergeCell ref="R853:S854"/>
    <mergeCell ref="T853:U854"/>
    <mergeCell ref="V853:W854"/>
    <mergeCell ref="X853:Z854"/>
    <mergeCell ref="A853:A856"/>
    <mergeCell ref="B853:D856"/>
    <mergeCell ref="E853:E854"/>
    <mergeCell ref="F853:H856"/>
    <mergeCell ref="I853:J856"/>
    <mergeCell ref="K853:L856"/>
    <mergeCell ref="M860:O860"/>
    <mergeCell ref="P860:Q860"/>
    <mergeCell ref="R860:S860"/>
    <mergeCell ref="T860:U860"/>
    <mergeCell ref="V860:W860"/>
    <mergeCell ref="X860:Z860"/>
    <mergeCell ref="AJ857:AJ858"/>
    <mergeCell ref="F859:H859"/>
    <mergeCell ref="I859:J859"/>
    <mergeCell ref="K859:L859"/>
    <mergeCell ref="M859:O859"/>
    <mergeCell ref="P859:Q859"/>
    <mergeCell ref="R859:S859"/>
    <mergeCell ref="T859:U859"/>
    <mergeCell ref="V859:W859"/>
    <mergeCell ref="X859:Z859"/>
    <mergeCell ref="AA857:AB858"/>
    <mergeCell ref="AC857:AD857"/>
    <mergeCell ref="AC858:AD858"/>
    <mergeCell ref="AC859:AD859"/>
    <mergeCell ref="AC860:AD860"/>
    <mergeCell ref="AF857:AH860"/>
    <mergeCell ref="AA859:AB859"/>
    <mergeCell ref="AA860:AB860"/>
    <mergeCell ref="M857:O858"/>
    <mergeCell ref="P857:Q858"/>
    <mergeCell ref="R857:S858"/>
    <mergeCell ref="T857:U858"/>
    <mergeCell ref="V857:W858"/>
    <mergeCell ref="X857:Z858"/>
    <mergeCell ref="A857:A860"/>
    <mergeCell ref="B857:D860"/>
    <mergeCell ref="E857:E858"/>
    <mergeCell ref="F857:H858"/>
    <mergeCell ref="I857:J858"/>
    <mergeCell ref="K857:L858"/>
    <mergeCell ref="F860:H860"/>
    <mergeCell ref="I860:J860"/>
    <mergeCell ref="K860:L860"/>
    <mergeCell ref="AJ865:AJ867"/>
    <mergeCell ref="M868:O868"/>
    <mergeCell ref="P868:Q868"/>
    <mergeCell ref="R868:S868"/>
    <mergeCell ref="T868:U868"/>
    <mergeCell ref="V868:W868"/>
    <mergeCell ref="X868:Z868"/>
    <mergeCell ref="AA868:AB868"/>
    <mergeCell ref="AA865:AB867"/>
    <mergeCell ref="AC865:AD865"/>
    <mergeCell ref="AC866:AD866"/>
    <mergeCell ref="AC867:AD867"/>
    <mergeCell ref="AC868:AD868"/>
    <mergeCell ref="AF865:AH868"/>
    <mergeCell ref="M865:O867"/>
    <mergeCell ref="P865:Q867"/>
    <mergeCell ref="R865:S867"/>
    <mergeCell ref="T865:U867"/>
    <mergeCell ref="V865:W867"/>
    <mergeCell ref="X865:Z867"/>
    <mergeCell ref="A865:A868"/>
    <mergeCell ref="B865:D868"/>
    <mergeCell ref="E865:E867"/>
    <mergeCell ref="F865:H868"/>
    <mergeCell ref="I865:J868"/>
    <mergeCell ref="K865:L868"/>
    <mergeCell ref="AJ861:AJ863"/>
    <mergeCell ref="F864:H864"/>
    <mergeCell ref="I864:J864"/>
    <mergeCell ref="K864:L864"/>
    <mergeCell ref="M864:O864"/>
    <mergeCell ref="P864:Q864"/>
    <mergeCell ref="R864:S864"/>
    <mergeCell ref="T864:U864"/>
    <mergeCell ref="V864:W864"/>
    <mergeCell ref="X864:Z864"/>
    <mergeCell ref="AA861:AB863"/>
    <mergeCell ref="AC861:AD861"/>
    <mergeCell ref="AC862:AD862"/>
    <mergeCell ref="AC863:AD863"/>
    <mergeCell ref="AC864:AD864"/>
    <mergeCell ref="AF861:AH864"/>
    <mergeCell ref="AA864:AB864"/>
    <mergeCell ref="M861:O863"/>
    <mergeCell ref="P861:Q863"/>
    <mergeCell ref="R861:S863"/>
    <mergeCell ref="T861:U863"/>
    <mergeCell ref="V861:W863"/>
    <mergeCell ref="X861:Z863"/>
    <mergeCell ref="A861:A864"/>
    <mergeCell ref="B861:D864"/>
    <mergeCell ref="E861:E863"/>
    <mergeCell ref="F861:H863"/>
    <mergeCell ref="I861:J863"/>
    <mergeCell ref="K861:L863"/>
    <mergeCell ref="X872:Z872"/>
    <mergeCell ref="AA872:AB872"/>
    <mergeCell ref="A873:A876"/>
    <mergeCell ref="B873:D876"/>
    <mergeCell ref="E873:E874"/>
    <mergeCell ref="F873:H874"/>
    <mergeCell ref="I873:J874"/>
    <mergeCell ref="K873:L874"/>
    <mergeCell ref="M873:O874"/>
    <mergeCell ref="P873:Q874"/>
    <mergeCell ref="X871:Z871"/>
    <mergeCell ref="AA871:AB871"/>
    <mergeCell ref="F872:H872"/>
    <mergeCell ref="I872:J872"/>
    <mergeCell ref="K872:L872"/>
    <mergeCell ref="M872:O872"/>
    <mergeCell ref="P872:Q872"/>
    <mergeCell ref="R872:S872"/>
    <mergeCell ref="T872:U872"/>
    <mergeCell ref="V872:W872"/>
    <mergeCell ref="AI869:AI909"/>
    <mergeCell ref="AJ869:AJ870"/>
    <mergeCell ref="F871:H871"/>
    <mergeCell ref="I871:J871"/>
    <mergeCell ref="K871:L871"/>
    <mergeCell ref="M871:O871"/>
    <mergeCell ref="P871:Q871"/>
    <mergeCell ref="R871:S871"/>
    <mergeCell ref="T871:U871"/>
    <mergeCell ref="V871:W871"/>
    <mergeCell ref="AA869:AB870"/>
    <mergeCell ref="AC869:AD869"/>
    <mergeCell ref="AC870:AD870"/>
    <mergeCell ref="AC871:AD871"/>
    <mergeCell ref="AC872:AD872"/>
    <mergeCell ref="AF869:AH872"/>
    <mergeCell ref="M869:O870"/>
    <mergeCell ref="P869:Q870"/>
    <mergeCell ref="R869:S870"/>
    <mergeCell ref="T869:U870"/>
    <mergeCell ref="V869:W870"/>
    <mergeCell ref="X869:Z870"/>
    <mergeCell ref="A869:A872"/>
    <mergeCell ref="B869:D872"/>
    <mergeCell ref="E869:E870"/>
    <mergeCell ref="F869:H870"/>
    <mergeCell ref="I869:J870"/>
    <mergeCell ref="K869:L870"/>
    <mergeCell ref="T876:U876"/>
    <mergeCell ref="V876:W876"/>
    <mergeCell ref="X876:Z876"/>
    <mergeCell ref="AA876:AB876"/>
    <mergeCell ref="A877:A882"/>
    <mergeCell ref="B877:D882"/>
    <mergeCell ref="E877:E882"/>
    <mergeCell ref="F877:H882"/>
    <mergeCell ref="I877:J882"/>
    <mergeCell ref="K877:L882"/>
    <mergeCell ref="T875:U875"/>
    <mergeCell ref="V875:W875"/>
    <mergeCell ref="X875:Z875"/>
    <mergeCell ref="AA875:AB875"/>
    <mergeCell ref="F876:H876"/>
    <mergeCell ref="I876:J876"/>
    <mergeCell ref="K876:L876"/>
    <mergeCell ref="M876:O876"/>
    <mergeCell ref="P876:Q876"/>
    <mergeCell ref="R876:S876"/>
    <mergeCell ref="AC875:AD875"/>
    <mergeCell ref="AC876:AD876"/>
    <mergeCell ref="AF873:AH876"/>
    <mergeCell ref="AJ873:AJ874"/>
    <mergeCell ref="F875:H875"/>
    <mergeCell ref="I875:J875"/>
    <mergeCell ref="K875:L875"/>
    <mergeCell ref="M875:O875"/>
    <mergeCell ref="P875:Q875"/>
    <mergeCell ref="R875:S875"/>
    <mergeCell ref="R873:S874"/>
    <mergeCell ref="T873:U874"/>
    <mergeCell ref="V873:W874"/>
    <mergeCell ref="X873:Z874"/>
    <mergeCell ref="AA873:AB874"/>
    <mergeCell ref="AC873:AD873"/>
    <mergeCell ref="AC874:AD874"/>
    <mergeCell ref="AA887:AB887"/>
    <mergeCell ref="A888:A891"/>
    <mergeCell ref="B888:D891"/>
    <mergeCell ref="E888:E891"/>
    <mergeCell ref="F888:H891"/>
    <mergeCell ref="I888:J891"/>
    <mergeCell ref="K888:L891"/>
    <mergeCell ref="M888:O891"/>
    <mergeCell ref="P888:Q891"/>
    <mergeCell ref="R888:S891"/>
    <mergeCell ref="AC887:AD887"/>
    <mergeCell ref="AF883:AH887"/>
    <mergeCell ref="AJ883:AJ886"/>
    <mergeCell ref="K887:L887"/>
    <mergeCell ref="M887:O887"/>
    <mergeCell ref="P887:Q887"/>
    <mergeCell ref="R887:S887"/>
    <mergeCell ref="T887:U887"/>
    <mergeCell ref="V887:W887"/>
    <mergeCell ref="X887:Z887"/>
    <mergeCell ref="R883:S886"/>
    <mergeCell ref="T883:U886"/>
    <mergeCell ref="V883:W886"/>
    <mergeCell ref="X883:Z886"/>
    <mergeCell ref="AA883:AB886"/>
    <mergeCell ref="AC883:AD883"/>
    <mergeCell ref="AC884:AD884"/>
    <mergeCell ref="AC885:AD885"/>
    <mergeCell ref="AC886:AD886"/>
    <mergeCell ref="AF877:AH882"/>
    <mergeCell ref="AJ877:AJ882"/>
    <mergeCell ref="A883:A887"/>
    <mergeCell ref="B883:D887"/>
    <mergeCell ref="E883:E886"/>
    <mergeCell ref="F883:H887"/>
    <mergeCell ref="I883:J887"/>
    <mergeCell ref="K883:L886"/>
    <mergeCell ref="M883:O886"/>
    <mergeCell ref="P883:Q886"/>
    <mergeCell ref="AA877:AB882"/>
    <mergeCell ref="AC877:AD877"/>
    <mergeCell ref="AC878:AD878"/>
    <mergeCell ref="AC879:AD879"/>
    <mergeCell ref="AC880:AD880"/>
    <mergeCell ref="AC881:AD881"/>
    <mergeCell ref="AC882:AD882"/>
    <mergeCell ref="M877:O882"/>
    <mergeCell ref="P877:Q882"/>
    <mergeCell ref="R877:S882"/>
    <mergeCell ref="T877:U882"/>
    <mergeCell ref="V877:W882"/>
    <mergeCell ref="X877:Z882"/>
    <mergeCell ref="A896:A903"/>
    <mergeCell ref="B896:D903"/>
    <mergeCell ref="F896:H897"/>
    <mergeCell ref="I896:J897"/>
    <mergeCell ref="K896:L897"/>
    <mergeCell ref="M896:O897"/>
    <mergeCell ref="AF892:AH895"/>
    <mergeCell ref="AJ892:AJ894"/>
    <mergeCell ref="F895:H895"/>
    <mergeCell ref="I895:J895"/>
    <mergeCell ref="K895:L895"/>
    <mergeCell ref="M895:O895"/>
    <mergeCell ref="P895:Q895"/>
    <mergeCell ref="R895:S895"/>
    <mergeCell ref="T895:U895"/>
    <mergeCell ref="V895:W895"/>
    <mergeCell ref="X892:Z894"/>
    <mergeCell ref="AA892:AB894"/>
    <mergeCell ref="AC892:AD892"/>
    <mergeCell ref="AC893:AD893"/>
    <mergeCell ref="AC894:AD894"/>
    <mergeCell ref="AC895:AD895"/>
    <mergeCell ref="X895:Z895"/>
    <mergeCell ref="AA895:AB895"/>
    <mergeCell ref="K892:L894"/>
    <mergeCell ref="M892:O894"/>
    <mergeCell ref="P892:Q894"/>
    <mergeCell ref="R892:S894"/>
    <mergeCell ref="T892:U894"/>
    <mergeCell ref="V892:W894"/>
    <mergeCell ref="AF888:AH888"/>
    <mergeCell ref="AF889:AH889"/>
    <mergeCell ref="AF890:AH890"/>
    <mergeCell ref="AF891:AH891"/>
    <mergeCell ref="AJ888:AJ891"/>
    <mergeCell ref="A892:A895"/>
    <mergeCell ref="B892:D895"/>
    <mergeCell ref="E892:E894"/>
    <mergeCell ref="F892:H894"/>
    <mergeCell ref="I892:J894"/>
    <mergeCell ref="T888:U891"/>
    <mergeCell ref="V888:W891"/>
    <mergeCell ref="X888:Z891"/>
    <mergeCell ref="AA888:AB891"/>
    <mergeCell ref="AC888:AD888"/>
    <mergeCell ref="AC889:AD889"/>
    <mergeCell ref="AC890:AD890"/>
    <mergeCell ref="AC891:AD891"/>
    <mergeCell ref="AC904:AD904"/>
    <mergeCell ref="AC905:AD905"/>
    <mergeCell ref="AC906:AD906"/>
    <mergeCell ref="AC907:AD907"/>
    <mergeCell ref="AF904:AH907"/>
    <mergeCell ref="AJ904:AJ907"/>
    <mergeCell ref="P904:Q907"/>
    <mergeCell ref="R904:S907"/>
    <mergeCell ref="T904:U907"/>
    <mergeCell ref="V904:W907"/>
    <mergeCell ref="X904:Z907"/>
    <mergeCell ref="AA904:AB907"/>
    <mergeCell ref="V902:W903"/>
    <mergeCell ref="X902:Z903"/>
    <mergeCell ref="AA902:AB903"/>
    <mergeCell ref="A904:A907"/>
    <mergeCell ref="B904:D907"/>
    <mergeCell ref="E904:E907"/>
    <mergeCell ref="F904:H907"/>
    <mergeCell ref="I904:J907"/>
    <mergeCell ref="K904:L907"/>
    <mergeCell ref="M904:O907"/>
    <mergeCell ref="V900:W901"/>
    <mergeCell ref="X900:Z901"/>
    <mergeCell ref="AA900:AB901"/>
    <mergeCell ref="F902:H903"/>
    <mergeCell ref="I902:J903"/>
    <mergeCell ref="K902:L903"/>
    <mergeCell ref="M902:O903"/>
    <mergeCell ref="P902:Q903"/>
    <mergeCell ref="R902:S903"/>
    <mergeCell ref="T902:U903"/>
    <mergeCell ref="V898:W899"/>
    <mergeCell ref="X898:Z899"/>
    <mergeCell ref="AA898:AB899"/>
    <mergeCell ref="F900:H901"/>
    <mergeCell ref="I900:J901"/>
    <mergeCell ref="K900:L901"/>
    <mergeCell ref="M900:O901"/>
    <mergeCell ref="P900:Q901"/>
    <mergeCell ref="R900:S901"/>
    <mergeCell ref="T900:U901"/>
    <mergeCell ref="AC902:AD902"/>
    <mergeCell ref="AC903:AD903"/>
    <mergeCell ref="AF896:AH903"/>
    <mergeCell ref="F898:H899"/>
    <mergeCell ref="I898:J899"/>
    <mergeCell ref="K898:L899"/>
    <mergeCell ref="M898:O899"/>
    <mergeCell ref="P898:Q899"/>
    <mergeCell ref="R898:S899"/>
    <mergeCell ref="T898:U899"/>
    <mergeCell ref="AC896:AD896"/>
    <mergeCell ref="AC897:AD897"/>
    <mergeCell ref="AC898:AD898"/>
    <mergeCell ref="AC899:AD899"/>
    <mergeCell ref="AC900:AD900"/>
    <mergeCell ref="AC901:AD901"/>
    <mergeCell ref="P896:Q897"/>
    <mergeCell ref="R896:S897"/>
    <mergeCell ref="T896:U897"/>
    <mergeCell ref="V896:W897"/>
    <mergeCell ref="X896:Z897"/>
    <mergeCell ref="AA896:AB897"/>
    <mergeCell ref="AC911:AD911"/>
    <mergeCell ref="AC912:AD912"/>
    <mergeCell ref="AC913:AD913"/>
    <mergeCell ref="AC914:AD914"/>
    <mergeCell ref="AC915:AD915"/>
    <mergeCell ref="AC916:AD916"/>
    <mergeCell ref="R910:S910"/>
    <mergeCell ref="T910:U910"/>
    <mergeCell ref="V910:W910"/>
    <mergeCell ref="X910:Z910"/>
    <mergeCell ref="AA910:AB910"/>
    <mergeCell ref="AC910:AD910"/>
    <mergeCell ref="V909:W909"/>
    <mergeCell ref="X909:Z909"/>
    <mergeCell ref="AA909:AB909"/>
    <mergeCell ref="A910:A934"/>
    <mergeCell ref="B910:D934"/>
    <mergeCell ref="F910:H910"/>
    <mergeCell ref="I910:J910"/>
    <mergeCell ref="K910:L910"/>
    <mergeCell ref="M910:O910"/>
    <mergeCell ref="P910:Q910"/>
    <mergeCell ref="AC908:AD909"/>
    <mergeCell ref="AE908:AE909"/>
    <mergeCell ref="AF908:AH909"/>
    <mergeCell ref="F909:H909"/>
    <mergeCell ref="I909:J909"/>
    <mergeCell ref="K909:L909"/>
    <mergeCell ref="M909:O909"/>
    <mergeCell ref="P909:Q909"/>
    <mergeCell ref="R909:S909"/>
    <mergeCell ref="T909:U909"/>
    <mergeCell ref="P908:Q908"/>
    <mergeCell ref="R908:S908"/>
    <mergeCell ref="T908:U908"/>
    <mergeCell ref="V908:W908"/>
    <mergeCell ref="X908:Z908"/>
    <mergeCell ref="AA908:AB908"/>
    <mergeCell ref="A908:A909"/>
    <mergeCell ref="B908:D909"/>
    <mergeCell ref="F908:H908"/>
    <mergeCell ref="I908:J908"/>
    <mergeCell ref="K908:L908"/>
    <mergeCell ref="M908:O908"/>
    <mergeCell ref="V917:W919"/>
    <mergeCell ref="X917:Z919"/>
    <mergeCell ref="AA917:AB919"/>
    <mergeCell ref="AJ917:AJ919"/>
    <mergeCell ref="E920:E922"/>
    <mergeCell ref="F920:H920"/>
    <mergeCell ref="F921:H921"/>
    <mergeCell ref="F922:H922"/>
    <mergeCell ref="I920:J920"/>
    <mergeCell ref="I921:J921"/>
    <mergeCell ref="AJ914:AJ916"/>
    <mergeCell ref="E917:E919"/>
    <mergeCell ref="I917:J917"/>
    <mergeCell ref="I918:J918"/>
    <mergeCell ref="I919:J919"/>
    <mergeCell ref="K917:L919"/>
    <mergeCell ref="M917:O919"/>
    <mergeCell ref="P917:Q919"/>
    <mergeCell ref="R917:S919"/>
    <mergeCell ref="T917:U919"/>
    <mergeCell ref="P914:Q916"/>
    <mergeCell ref="R914:S916"/>
    <mergeCell ref="T914:U916"/>
    <mergeCell ref="V914:W916"/>
    <mergeCell ref="X914:Z916"/>
    <mergeCell ref="AA914:AB916"/>
    <mergeCell ref="E914:E916"/>
    <mergeCell ref="I914:J914"/>
    <mergeCell ref="I915:J915"/>
    <mergeCell ref="I916:J916"/>
    <mergeCell ref="K914:L916"/>
    <mergeCell ref="M914:O916"/>
    <mergeCell ref="R911:S913"/>
    <mergeCell ref="T911:U913"/>
    <mergeCell ref="V911:W913"/>
    <mergeCell ref="X911:Z913"/>
    <mergeCell ref="AA911:AB913"/>
    <mergeCell ref="AJ911:AJ913"/>
    <mergeCell ref="AF910:AH934"/>
    <mergeCell ref="AI910:AI953"/>
    <mergeCell ref="E911:E913"/>
    <mergeCell ref="F911:H919"/>
    <mergeCell ref="I911:J911"/>
    <mergeCell ref="I912:J912"/>
    <mergeCell ref="I913:J913"/>
    <mergeCell ref="K911:L913"/>
    <mergeCell ref="M911:O913"/>
    <mergeCell ref="P911:Q913"/>
    <mergeCell ref="AC929:AD929"/>
    <mergeCell ref="AC930:AD930"/>
    <mergeCell ref="AC931:AD931"/>
    <mergeCell ref="AC932:AD932"/>
    <mergeCell ref="AC933:AD933"/>
    <mergeCell ref="AC934:AD934"/>
    <mergeCell ref="AC923:AD923"/>
    <mergeCell ref="AC924:AD924"/>
    <mergeCell ref="AC925:AD925"/>
    <mergeCell ref="AC926:AD926"/>
    <mergeCell ref="AC927:AD927"/>
    <mergeCell ref="AC928:AD928"/>
    <mergeCell ref="AC917:AD917"/>
    <mergeCell ref="AC918:AD918"/>
    <mergeCell ref="AC919:AD919"/>
    <mergeCell ref="AC920:AD920"/>
    <mergeCell ref="V926:W928"/>
    <mergeCell ref="X926:Z928"/>
    <mergeCell ref="AA926:AB928"/>
    <mergeCell ref="AJ926:AJ928"/>
    <mergeCell ref="E929:E930"/>
    <mergeCell ref="F929:H934"/>
    <mergeCell ref="I929:J929"/>
    <mergeCell ref="I930:J930"/>
    <mergeCell ref="K929:L930"/>
    <mergeCell ref="M929:O930"/>
    <mergeCell ref="AJ923:AJ925"/>
    <mergeCell ref="E926:E928"/>
    <mergeCell ref="I926:J926"/>
    <mergeCell ref="I927:J927"/>
    <mergeCell ref="I928:J928"/>
    <mergeCell ref="K926:L928"/>
    <mergeCell ref="M926:O928"/>
    <mergeCell ref="P926:Q928"/>
    <mergeCell ref="R926:S928"/>
    <mergeCell ref="T926:U928"/>
    <mergeCell ref="P923:Q925"/>
    <mergeCell ref="R923:S925"/>
    <mergeCell ref="T923:U925"/>
    <mergeCell ref="V923:W925"/>
    <mergeCell ref="X923:Z925"/>
    <mergeCell ref="AA923:AB925"/>
    <mergeCell ref="V920:W922"/>
    <mergeCell ref="X920:Z922"/>
    <mergeCell ref="AA920:AB922"/>
    <mergeCell ref="AJ920:AJ922"/>
    <mergeCell ref="E923:E925"/>
    <mergeCell ref="I923:J923"/>
    <mergeCell ref="I924:J924"/>
    <mergeCell ref="I925:J925"/>
    <mergeCell ref="K923:L925"/>
    <mergeCell ref="M923:O925"/>
    <mergeCell ref="I922:J922"/>
    <mergeCell ref="K920:L922"/>
    <mergeCell ref="M920:O922"/>
    <mergeCell ref="P920:Q922"/>
    <mergeCell ref="R920:S922"/>
    <mergeCell ref="T920:U922"/>
    <mergeCell ref="F923:H923"/>
    <mergeCell ref="F924:H924"/>
    <mergeCell ref="F925:H925"/>
    <mergeCell ref="F926:H926"/>
    <mergeCell ref="F927:H927"/>
    <mergeCell ref="F928:H928"/>
    <mergeCell ref="AC921:AD921"/>
    <mergeCell ref="AC922:AD922"/>
    <mergeCell ref="T933:U934"/>
    <mergeCell ref="V933:W934"/>
    <mergeCell ref="X933:Z934"/>
    <mergeCell ref="AA933:AB934"/>
    <mergeCell ref="AJ933:AJ934"/>
    <mergeCell ref="A935:A943"/>
    <mergeCell ref="B935:D943"/>
    <mergeCell ref="F935:H937"/>
    <mergeCell ref="I935:J937"/>
    <mergeCell ref="K935:L937"/>
    <mergeCell ref="X931:Z932"/>
    <mergeCell ref="AA931:AB932"/>
    <mergeCell ref="AJ931:AJ932"/>
    <mergeCell ref="E933:E934"/>
    <mergeCell ref="I933:J933"/>
    <mergeCell ref="I934:J934"/>
    <mergeCell ref="K933:L934"/>
    <mergeCell ref="M933:O934"/>
    <mergeCell ref="P933:Q934"/>
    <mergeCell ref="R933:S934"/>
    <mergeCell ref="AJ929:AJ930"/>
    <mergeCell ref="E931:E932"/>
    <mergeCell ref="I931:J931"/>
    <mergeCell ref="I932:J932"/>
    <mergeCell ref="K931:L932"/>
    <mergeCell ref="M931:O932"/>
    <mergeCell ref="P931:Q932"/>
    <mergeCell ref="R931:S932"/>
    <mergeCell ref="T931:U932"/>
    <mergeCell ref="V931:W932"/>
    <mergeCell ref="P929:Q930"/>
    <mergeCell ref="R929:S930"/>
    <mergeCell ref="T929:U930"/>
    <mergeCell ref="V929:W930"/>
    <mergeCell ref="X929:Z930"/>
    <mergeCell ref="AA929:AB930"/>
    <mergeCell ref="V938:W940"/>
    <mergeCell ref="X938:Z940"/>
    <mergeCell ref="AA938:AB940"/>
    <mergeCell ref="F941:H943"/>
    <mergeCell ref="I941:J943"/>
    <mergeCell ref="K941:L943"/>
    <mergeCell ref="M941:O943"/>
    <mergeCell ref="P941:Q943"/>
    <mergeCell ref="R941:S943"/>
    <mergeCell ref="T941:U943"/>
    <mergeCell ref="AF947:AH947"/>
    <mergeCell ref="AF948:AH948"/>
    <mergeCell ref="AF949:AH949"/>
    <mergeCell ref="F938:H940"/>
    <mergeCell ref="I938:J940"/>
    <mergeCell ref="K938:L940"/>
    <mergeCell ref="M938:O940"/>
    <mergeCell ref="P938:Q940"/>
    <mergeCell ref="R938:S940"/>
    <mergeCell ref="T938:U940"/>
    <mergeCell ref="AF941:AH941"/>
    <mergeCell ref="AF942:AH942"/>
    <mergeCell ref="AF943:AH943"/>
    <mergeCell ref="AF944:AH944"/>
    <mergeCell ref="AF945:AH945"/>
    <mergeCell ref="AF946:AH946"/>
    <mergeCell ref="AC946:AD946"/>
    <mergeCell ref="AC947:AD947"/>
    <mergeCell ref="AC948:AD948"/>
    <mergeCell ref="AC949:AD949"/>
    <mergeCell ref="AF935:AH935"/>
    <mergeCell ref="AF936:AH936"/>
    <mergeCell ref="AF937:AH937"/>
    <mergeCell ref="AF938:AH938"/>
    <mergeCell ref="AF939:AH939"/>
    <mergeCell ref="AF940:AH940"/>
    <mergeCell ref="AC940:AD940"/>
    <mergeCell ref="AC941:AD941"/>
    <mergeCell ref="AC942:AD942"/>
    <mergeCell ref="AC943:AD943"/>
    <mergeCell ref="AC944:AD944"/>
    <mergeCell ref="AC945:AD945"/>
    <mergeCell ref="AA935:AB937"/>
    <mergeCell ref="AC935:AD935"/>
    <mergeCell ref="AC936:AD936"/>
    <mergeCell ref="AC937:AD937"/>
    <mergeCell ref="AC938:AD938"/>
    <mergeCell ref="AC939:AD939"/>
    <mergeCell ref="M935:O937"/>
    <mergeCell ref="P935:Q937"/>
    <mergeCell ref="R935:S937"/>
    <mergeCell ref="T935:U937"/>
    <mergeCell ref="V935:W937"/>
    <mergeCell ref="X935:Z937"/>
    <mergeCell ref="R948:S949"/>
    <mergeCell ref="T948:U949"/>
    <mergeCell ref="V948:W949"/>
    <mergeCell ref="X948:Z949"/>
    <mergeCell ref="AA948:AB949"/>
    <mergeCell ref="A950:A953"/>
    <mergeCell ref="B950:D953"/>
    <mergeCell ref="E950:E951"/>
    <mergeCell ref="F950:H950"/>
    <mergeCell ref="F951:H951"/>
    <mergeCell ref="R946:S947"/>
    <mergeCell ref="T946:U947"/>
    <mergeCell ref="V946:W947"/>
    <mergeCell ref="X946:Z947"/>
    <mergeCell ref="AA946:AB947"/>
    <mergeCell ref="F948:H949"/>
    <mergeCell ref="I948:J949"/>
    <mergeCell ref="K948:L949"/>
    <mergeCell ref="M948:O949"/>
    <mergeCell ref="P948:Q949"/>
    <mergeCell ref="R944:S945"/>
    <mergeCell ref="T944:U945"/>
    <mergeCell ref="V944:W945"/>
    <mergeCell ref="X944:Z945"/>
    <mergeCell ref="AA944:AB945"/>
    <mergeCell ref="F946:H947"/>
    <mergeCell ref="I946:J947"/>
    <mergeCell ref="K946:L947"/>
    <mergeCell ref="M946:O947"/>
    <mergeCell ref="P946:Q947"/>
    <mergeCell ref="V941:W943"/>
    <mergeCell ref="X941:Z943"/>
    <mergeCell ref="AA941:AB943"/>
    <mergeCell ref="A944:A949"/>
    <mergeCell ref="B944:D949"/>
    <mergeCell ref="F944:H945"/>
    <mergeCell ref="I944:J945"/>
    <mergeCell ref="K944:L945"/>
    <mergeCell ref="M944:O945"/>
    <mergeCell ref="P944:Q945"/>
    <mergeCell ref="R953:S953"/>
    <mergeCell ref="T953:U953"/>
    <mergeCell ref="V953:W953"/>
    <mergeCell ref="X953:Z953"/>
    <mergeCell ref="AA953:AB953"/>
    <mergeCell ref="A954:A957"/>
    <mergeCell ref="B954:D957"/>
    <mergeCell ref="E954:E955"/>
    <mergeCell ref="F954:H957"/>
    <mergeCell ref="I954:J957"/>
    <mergeCell ref="AJ950:AJ951"/>
    <mergeCell ref="K952:L952"/>
    <mergeCell ref="M952:O952"/>
    <mergeCell ref="P952:Q952"/>
    <mergeCell ref="R952:S952"/>
    <mergeCell ref="T952:U952"/>
    <mergeCell ref="V952:W952"/>
    <mergeCell ref="X952:Z952"/>
    <mergeCell ref="AA952:AB952"/>
    <mergeCell ref="AC952:AD952"/>
    <mergeCell ref="AC953:AD953"/>
    <mergeCell ref="AF950:AH950"/>
    <mergeCell ref="AF951:AH951"/>
    <mergeCell ref="AF952:AH952"/>
    <mergeCell ref="AF953:AH953"/>
    <mergeCell ref="R950:S951"/>
    <mergeCell ref="T950:U951"/>
    <mergeCell ref="V950:W951"/>
    <mergeCell ref="X950:Z951"/>
    <mergeCell ref="AA950:AB951"/>
    <mergeCell ref="AC950:AD950"/>
    <mergeCell ref="AC951:AD951"/>
    <mergeCell ref="F952:H952"/>
    <mergeCell ref="F953:H953"/>
    <mergeCell ref="I950:J953"/>
    <mergeCell ref="K950:L951"/>
    <mergeCell ref="M950:O951"/>
    <mergeCell ref="P950:Q951"/>
    <mergeCell ref="K953:L953"/>
    <mergeCell ref="M953:O953"/>
    <mergeCell ref="P953:Q953"/>
    <mergeCell ref="V957:W957"/>
    <mergeCell ref="X957:Z957"/>
    <mergeCell ref="AA957:AB957"/>
    <mergeCell ref="A958:A966"/>
    <mergeCell ref="B958:D966"/>
    <mergeCell ref="F958:H960"/>
    <mergeCell ref="I958:J960"/>
    <mergeCell ref="K958:L960"/>
    <mergeCell ref="M958:O960"/>
    <mergeCell ref="P958:Q960"/>
    <mergeCell ref="AF954:AH954"/>
    <mergeCell ref="AF955:AH955"/>
    <mergeCell ref="AF956:AH956"/>
    <mergeCell ref="AF957:AH957"/>
    <mergeCell ref="AJ954:AJ955"/>
    <mergeCell ref="M956:O956"/>
    <mergeCell ref="P956:Q956"/>
    <mergeCell ref="R956:S956"/>
    <mergeCell ref="T956:U956"/>
    <mergeCell ref="V956:W956"/>
    <mergeCell ref="X954:Z955"/>
    <mergeCell ref="AA954:AB955"/>
    <mergeCell ref="AC954:AD954"/>
    <mergeCell ref="AC955:AD955"/>
    <mergeCell ref="AC956:AD956"/>
    <mergeCell ref="AC957:AD957"/>
    <mergeCell ref="X956:Z956"/>
    <mergeCell ref="AA956:AB956"/>
    <mergeCell ref="K954:L957"/>
    <mergeCell ref="M954:O955"/>
    <mergeCell ref="P954:Q955"/>
    <mergeCell ref="R954:S955"/>
    <mergeCell ref="T954:U955"/>
    <mergeCell ref="V954:W955"/>
    <mergeCell ref="M957:O957"/>
    <mergeCell ref="P957:Q957"/>
    <mergeCell ref="R957:S957"/>
    <mergeCell ref="T957:U957"/>
    <mergeCell ref="T961:U963"/>
    <mergeCell ref="V961:W963"/>
    <mergeCell ref="X961:Z963"/>
    <mergeCell ref="AA961:AB963"/>
    <mergeCell ref="F964:H966"/>
    <mergeCell ref="I964:J966"/>
    <mergeCell ref="K964:L966"/>
    <mergeCell ref="M964:O966"/>
    <mergeCell ref="P964:Q966"/>
    <mergeCell ref="R964:S966"/>
    <mergeCell ref="AF964:AH964"/>
    <mergeCell ref="AF965:AH965"/>
    <mergeCell ref="AF966:AH966"/>
    <mergeCell ref="AI958:AI997"/>
    <mergeCell ref="F961:H963"/>
    <mergeCell ref="I961:J963"/>
    <mergeCell ref="K961:L963"/>
    <mergeCell ref="M961:O963"/>
    <mergeCell ref="P961:Q963"/>
    <mergeCell ref="R961:S963"/>
    <mergeCell ref="AF958:AH958"/>
    <mergeCell ref="AF959:AH959"/>
    <mergeCell ref="AF960:AH960"/>
    <mergeCell ref="AF961:AH961"/>
    <mergeCell ref="AF962:AH962"/>
    <mergeCell ref="AF963:AH963"/>
    <mergeCell ref="AC961:AD961"/>
    <mergeCell ref="AC962:AD962"/>
    <mergeCell ref="AC963:AD963"/>
    <mergeCell ref="AC964:AD964"/>
    <mergeCell ref="AC965:AD965"/>
    <mergeCell ref="AC966:AD966"/>
    <mergeCell ref="R958:S960"/>
    <mergeCell ref="T958:U960"/>
    <mergeCell ref="V958:W960"/>
    <mergeCell ref="X958:Z960"/>
    <mergeCell ref="AA958:AB960"/>
    <mergeCell ref="AC958:AD958"/>
    <mergeCell ref="AC959:AD959"/>
    <mergeCell ref="AC960:AD960"/>
    <mergeCell ref="R969:S970"/>
    <mergeCell ref="T969:U970"/>
    <mergeCell ref="V969:W970"/>
    <mergeCell ref="X969:Z970"/>
    <mergeCell ref="AA969:AB970"/>
    <mergeCell ref="A971:A982"/>
    <mergeCell ref="B971:D982"/>
    <mergeCell ref="F971:H972"/>
    <mergeCell ref="I971:J972"/>
    <mergeCell ref="K971:L972"/>
    <mergeCell ref="AC967:AD967"/>
    <mergeCell ref="AC968:AD968"/>
    <mergeCell ref="AC969:AD969"/>
    <mergeCell ref="AC970:AD970"/>
    <mergeCell ref="AF967:AH970"/>
    <mergeCell ref="F969:H970"/>
    <mergeCell ref="I969:J970"/>
    <mergeCell ref="K969:L970"/>
    <mergeCell ref="M969:O970"/>
    <mergeCell ref="P969:Q970"/>
    <mergeCell ref="P967:Q968"/>
    <mergeCell ref="R967:S968"/>
    <mergeCell ref="T967:U968"/>
    <mergeCell ref="V967:W968"/>
    <mergeCell ref="X967:Z968"/>
    <mergeCell ref="AA967:AB968"/>
    <mergeCell ref="T964:U966"/>
    <mergeCell ref="V964:W966"/>
    <mergeCell ref="X964:Z966"/>
    <mergeCell ref="AA964:AB966"/>
    <mergeCell ref="A967:A970"/>
    <mergeCell ref="B967:D970"/>
    <mergeCell ref="F967:H968"/>
    <mergeCell ref="I967:J968"/>
    <mergeCell ref="K967:L968"/>
    <mergeCell ref="M967:O968"/>
    <mergeCell ref="V973:W974"/>
    <mergeCell ref="X973:Z974"/>
    <mergeCell ref="AA973:AB974"/>
    <mergeCell ref="F975:H976"/>
    <mergeCell ref="I975:J976"/>
    <mergeCell ref="K975:L976"/>
    <mergeCell ref="M975:O976"/>
    <mergeCell ref="P975:Q976"/>
    <mergeCell ref="R975:S976"/>
    <mergeCell ref="T975:U976"/>
    <mergeCell ref="AF980:AH980"/>
    <mergeCell ref="AF981:AH981"/>
    <mergeCell ref="AF982:AH982"/>
    <mergeCell ref="F973:H974"/>
    <mergeCell ref="I973:J974"/>
    <mergeCell ref="K973:L974"/>
    <mergeCell ref="M973:O974"/>
    <mergeCell ref="P973:Q974"/>
    <mergeCell ref="R973:S974"/>
    <mergeCell ref="T973:U974"/>
    <mergeCell ref="AC982:AD982"/>
    <mergeCell ref="AF971:AH971"/>
    <mergeCell ref="AF972:AH972"/>
    <mergeCell ref="AF973:AH973"/>
    <mergeCell ref="AF974:AH974"/>
    <mergeCell ref="AF975:AH975"/>
    <mergeCell ref="AF976:AH976"/>
    <mergeCell ref="AF977:AH977"/>
    <mergeCell ref="AF978:AH978"/>
    <mergeCell ref="AF979:AH979"/>
    <mergeCell ref="AC976:AD976"/>
    <mergeCell ref="AC977:AD977"/>
    <mergeCell ref="AC978:AD978"/>
    <mergeCell ref="AC979:AD979"/>
    <mergeCell ref="AC980:AD980"/>
    <mergeCell ref="AC981:AD981"/>
    <mergeCell ref="AA971:AB972"/>
    <mergeCell ref="AC971:AD971"/>
    <mergeCell ref="AC972:AD972"/>
    <mergeCell ref="AC973:AD973"/>
    <mergeCell ref="AC974:AD974"/>
    <mergeCell ref="AC975:AD975"/>
    <mergeCell ref="M971:O972"/>
    <mergeCell ref="P971:Q972"/>
    <mergeCell ref="R971:S972"/>
    <mergeCell ref="T971:U972"/>
    <mergeCell ref="V971:W972"/>
    <mergeCell ref="X971:Z972"/>
    <mergeCell ref="V981:W982"/>
    <mergeCell ref="X981:Z982"/>
    <mergeCell ref="AA981:AB982"/>
    <mergeCell ref="A983:A991"/>
    <mergeCell ref="B983:D991"/>
    <mergeCell ref="F983:H985"/>
    <mergeCell ref="I983:J985"/>
    <mergeCell ref="K983:L985"/>
    <mergeCell ref="M983:O985"/>
    <mergeCell ref="P983:Q985"/>
    <mergeCell ref="V979:W980"/>
    <mergeCell ref="X979:Z980"/>
    <mergeCell ref="AA979:AB980"/>
    <mergeCell ref="F981:H982"/>
    <mergeCell ref="I981:J982"/>
    <mergeCell ref="K981:L982"/>
    <mergeCell ref="M981:O982"/>
    <mergeCell ref="P981:Q982"/>
    <mergeCell ref="R981:S982"/>
    <mergeCell ref="T981:U982"/>
    <mergeCell ref="V977:W978"/>
    <mergeCell ref="X977:Z978"/>
    <mergeCell ref="AA977:AB978"/>
    <mergeCell ref="F979:H980"/>
    <mergeCell ref="I979:J980"/>
    <mergeCell ref="K979:L980"/>
    <mergeCell ref="M979:O980"/>
    <mergeCell ref="P979:Q980"/>
    <mergeCell ref="R979:S980"/>
    <mergeCell ref="T979:U980"/>
    <mergeCell ref="V975:W976"/>
    <mergeCell ref="X975:Z976"/>
    <mergeCell ref="AA975:AB976"/>
    <mergeCell ref="F977:H978"/>
    <mergeCell ref="I977:J978"/>
    <mergeCell ref="K977:L978"/>
    <mergeCell ref="M977:O978"/>
    <mergeCell ref="P977:Q978"/>
    <mergeCell ref="R977:S978"/>
    <mergeCell ref="T977:U978"/>
    <mergeCell ref="AA989:AB991"/>
    <mergeCell ref="A992:A997"/>
    <mergeCell ref="B992:D997"/>
    <mergeCell ref="F992:H993"/>
    <mergeCell ref="I992:J993"/>
    <mergeCell ref="K992:L993"/>
    <mergeCell ref="M992:O993"/>
    <mergeCell ref="P992:Q993"/>
    <mergeCell ref="R992:S993"/>
    <mergeCell ref="T992:U993"/>
    <mergeCell ref="AA986:AB988"/>
    <mergeCell ref="F989:H991"/>
    <mergeCell ref="I989:J991"/>
    <mergeCell ref="K989:L991"/>
    <mergeCell ref="M989:O991"/>
    <mergeCell ref="P989:Q991"/>
    <mergeCell ref="R989:S991"/>
    <mergeCell ref="T989:U991"/>
    <mergeCell ref="V989:W991"/>
    <mergeCell ref="X989:Z991"/>
    <mergeCell ref="AF983:AH991"/>
    <mergeCell ref="F986:H988"/>
    <mergeCell ref="I986:J988"/>
    <mergeCell ref="K986:L988"/>
    <mergeCell ref="M986:O988"/>
    <mergeCell ref="P986:Q988"/>
    <mergeCell ref="R986:S988"/>
    <mergeCell ref="T986:U988"/>
    <mergeCell ref="V986:W988"/>
    <mergeCell ref="X986:Z988"/>
    <mergeCell ref="AC986:AD986"/>
    <mergeCell ref="AC987:AD987"/>
    <mergeCell ref="AC988:AD988"/>
    <mergeCell ref="AC989:AD989"/>
    <mergeCell ref="AC990:AD990"/>
    <mergeCell ref="AC991:AD991"/>
    <mergeCell ref="R983:S985"/>
    <mergeCell ref="T983:U985"/>
    <mergeCell ref="V983:W985"/>
    <mergeCell ref="X983:Z985"/>
    <mergeCell ref="AA983:AB985"/>
    <mergeCell ref="AC983:AD983"/>
    <mergeCell ref="AC984:AD984"/>
    <mergeCell ref="AC985:AD985"/>
    <mergeCell ref="AF998:AH998"/>
    <mergeCell ref="AF999:AH999"/>
    <mergeCell ref="AF1000:AH1000"/>
    <mergeCell ref="AF1001:AH1001"/>
    <mergeCell ref="AF1002:AH1002"/>
    <mergeCell ref="AF1003:AH1003"/>
    <mergeCell ref="AC998:AD998"/>
    <mergeCell ref="AC999:AD999"/>
    <mergeCell ref="AC1000:AD1000"/>
    <mergeCell ref="AC1001:AD1001"/>
    <mergeCell ref="AC1002:AD1002"/>
    <mergeCell ref="AC1003:AD1003"/>
    <mergeCell ref="P998:Q1002"/>
    <mergeCell ref="R998:S1002"/>
    <mergeCell ref="T998:U1002"/>
    <mergeCell ref="V998:W1002"/>
    <mergeCell ref="X998:Z1002"/>
    <mergeCell ref="AA998:AB1002"/>
    <mergeCell ref="T996:U997"/>
    <mergeCell ref="V996:W997"/>
    <mergeCell ref="X996:Z997"/>
    <mergeCell ref="AA996:AB997"/>
    <mergeCell ref="A998:A1002"/>
    <mergeCell ref="B998:D1007"/>
    <mergeCell ref="F998:H1002"/>
    <mergeCell ref="I998:J1002"/>
    <mergeCell ref="K998:L1002"/>
    <mergeCell ref="M998:O1002"/>
    <mergeCell ref="T994:U995"/>
    <mergeCell ref="V994:W995"/>
    <mergeCell ref="X994:Z995"/>
    <mergeCell ref="AA994:AB995"/>
    <mergeCell ref="F996:H997"/>
    <mergeCell ref="I996:J997"/>
    <mergeCell ref="K996:L997"/>
    <mergeCell ref="M996:O997"/>
    <mergeCell ref="P996:Q997"/>
    <mergeCell ref="R996:S997"/>
    <mergeCell ref="AC995:AD995"/>
    <mergeCell ref="AC996:AD996"/>
    <mergeCell ref="AC997:AD997"/>
    <mergeCell ref="AF992:AH997"/>
    <mergeCell ref="F994:H995"/>
    <mergeCell ref="I994:J995"/>
    <mergeCell ref="K994:L995"/>
    <mergeCell ref="M994:O995"/>
    <mergeCell ref="P994:Q995"/>
    <mergeCell ref="R994:S995"/>
    <mergeCell ref="V992:W993"/>
    <mergeCell ref="X992:Z993"/>
    <mergeCell ref="AA992:AB993"/>
    <mergeCell ref="AC992:AD992"/>
    <mergeCell ref="AC993:AD993"/>
    <mergeCell ref="AC994:AD994"/>
    <mergeCell ref="AA1008:AB1010"/>
    <mergeCell ref="AC1008:AD1010"/>
    <mergeCell ref="AE1008:AE1010"/>
    <mergeCell ref="AF1008:AH1010"/>
    <mergeCell ref="A1011:A1015"/>
    <mergeCell ref="B1011:D1015"/>
    <mergeCell ref="E1011:E1014"/>
    <mergeCell ref="F1011:H1015"/>
    <mergeCell ref="I1011:J1015"/>
    <mergeCell ref="K1011:L1015"/>
    <mergeCell ref="M1008:O1010"/>
    <mergeCell ref="P1008:Q1010"/>
    <mergeCell ref="R1008:S1010"/>
    <mergeCell ref="T1008:U1010"/>
    <mergeCell ref="V1008:W1010"/>
    <mergeCell ref="X1008:Z1010"/>
    <mergeCell ref="R1003:S1007"/>
    <mergeCell ref="T1003:U1007"/>
    <mergeCell ref="V1003:W1007"/>
    <mergeCell ref="X1003:Z1007"/>
    <mergeCell ref="AA1003:AB1007"/>
    <mergeCell ref="A1008:A1010"/>
    <mergeCell ref="B1008:D1010"/>
    <mergeCell ref="F1008:H1010"/>
    <mergeCell ref="I1008:J1010"/>
    <mergeCell ref="K1008:L1010"/>
    <mergeCell ref="AF1004:AH1004"/>
    <mergeCell ref="AF1005:AH1005"/>
    <mergeCell ref="AF1006:AH1006"/>
    <mergeCell ref="AF1007:AH1007"/>
    <mergeCell ref="A1003:A1007"/>
    <mergeCell ref="F1003:H1007"/>
    <mergeCell ref="I1003:J1007"/>
    <mergeCell ref="K1003:L1007"/>
    <mergeCell ref="M1003:O1007"/>
    <mergeCell ref="P1003:Q1007"/>
    <mergeCell ref="AC1004:AD1004"/>
    <mergeCell ref="AC1005:AD1005"/>
    <mergeCell ref="AC1006:AD1006"/>
    <mergeCell ref="AC1007:AD1007"/>
    <mergeCell ref="AF1016:AH1016"/>
    <mergeCell ref="AF1017:AH1017"/>
    <mergeCell ref="AF1018:AH1018"/>
    <mergeCell ref="M1017:O1017"/>
    <mergeCell ref="P1017:Q1017"/>
    <mergeCell ref="R1017:S1017"/>
    <mergeCell ref="T1017:U1017"/>
    <mergeCell ref="V1017:W1017"/>
    <mergeCell ref="R1016:S1016"/>
    <mergeCell ref="T1016:U1016"/>
    <mergeCell ref="V1016:W1016"/>
    <mergeCell ref="X1016:Z1016"/>
    <mergeCell ref="AA1016:AB1016"/>
    <mergeCell ref="AC1016:AD1016"/>
    <mergeCell ref="AF1011:AH1015"/>
    <mergeCell ref="AI1011:AI1022"/>
    <mergeCell ref="AJ1011:AJ1014"/>
    <mergeCell ref="A1016:A1018"/>
    <mergeCell ref="B1016:D1018"/>
    <mergeCell ref="F1016:H1018"/>
    <mergeCell ref="I1016:J1018"/>
    <mergeCell ref="K1016:L1018"/>
    <mergeCell ref="M1016:O1016"/>
    <mergeCell ref="P1016:Q1016"/>
    <mergeCell ref="AA1011:AB1015"/>
    <mergeCell ref="AC1011:AD1011"/>
    <mergeCell ref="AC1012:AD1012"/>
    <mergeCell ref="AC1013:AD1013"/>
    <mergeCell ref="AC1014:AD1014"/>
    <mergeCell ref="AC1015:AD1015"/>
    <mergeCell ref="M1011:O1015"/>
    <mergeCell ref="P1011:Q1015"/>
    <mergeCell ref="R1011:S1015"/>
    <mergeCell ref="T1011:U1015"/>
    <mergeCell ref="V1011:W1015"/>
    <mergeCell ref="X1011:Z1015"/>
    <mergeCell ref="AC1019:AD1019"/>
    <mergeCell ref="AC1020:AD1020"/>
    <mergeCell ref="AC1021:AD1021"/>
    <mergeCell ref="AC1022:AD1022"/>
    <mergeCell ref="AF1019:AH1019"/>
    <mergeCell ref="AF1020:AH1020"/>
    <mergeCell ref="AF1021:AH1021"/>
    <mergeCell ref="AF1022:AH1022"/>
    <mergeCell ref="P1019:Q1022"/>
    <mergeCell ref="R1019:S1022"/>
    <mergeCell ref="T1019:U1022"/>
    <mergeCell ref="V1019:W1022"/>
    <mergeCell ref="X1019:Z1022"/>
    <mergeCell ref="AA1019:AB1022"/>
    <mergeCell ref="A1019:A1022"/>
    <mergeCell ref="B1019:D1022"/>
    <mergeCell ref="F1019:H1022"/>
    <mergeCell ref="I1019:J1022"/>
    <mergeCell ref="K1019:L1019"/>
    <mergeCell ref="M1019:O1022"/>
    <mergeCell ref="K1020:L1020"/>
    <mergeCell ref="K1021:L1021"/>
    <mergeCell ref="K1022:L1022"/>
    <mergeCell ref="X1017:Z1017"/>
    <mergeCell ref="AA1017:AB1017"/>
    <mergeCell ref="M1018:O1018"/>
    <mergeCell ref="P1018:Q1018"/>
    <mergeCell ref="R1018:S1018"/>
    <mergeCell ref="T1018:U1018"/>
    <mergeCell ref="V1018:W1018"/>
    <mergeCell ref="X1018:Z1018"/>
    <mergeCell ref="AA1018:AB1018"/>
    <mergeCell ref="AC1017:AD1017"/>
    <mergeCell ref="AC1018:AD1018"/>
    <mergeCell ref="AC1036:AD1036"/>
    <mergeCell ref="AF1030:AH1036"/>
    <mergeCell ref="AI1030:AI1109"/>
    <mergeCell ref="A1037:A1043"/>
    <mergeCell ref="B1037:D1043"/>
    <mergeCell ref="F1037:H1043"/>
    <mergeCell ref="I1037:J1043"/>
    <mergeCell ref="K1037:L1043"/>
    <mergeCell ref="M1037:O1043"/>
    <mergeCell ref="P1037:Q1043"/>
    <mergeCell ref="T1030:U1036"/>
    <mergeCell ref="V1030:W1036"/>
    <mergeCell ref="X1030:Z1036"/>
    <mergeCell ref="AA1030:AB1036"/>
    <mergeCell ref="AC1030:AD1030"/>
    <mergeCell ref="AC1031:AD1031"/>
    <mergeCell ref="AC1032:AD1032"/>
    <mergeCell ref="AC1033:AD1033"/>
    <mergeCell ref="AC1034:AD1034"/>
    <mergeCell ref="AC1035:AD1035"/>
    <mergeCell ref="AC1029:AD1029"/>
    <mergeCell ref="AF1023:AH1029"/>
    <mergeCell ref="A1030:A1036"/>
    <mergeCell ref="B1030:D1036"/>
    <mergeCell ref="F1030:H1036"/>
    <mergeCell ref="I1030:J1036"/>
    <mergeCell ref="K1030:L1036"/>
    <mergeCell ref="M1030:O1036"/>
    <mergeCell ref="P1030:Q1036"/>
    <mergeCell ref="R1030:S1036"/>
    <mergeCell ref="AC1023:AD1023"/>
    <mergeCell ref="AC1024:AD1024"/>
    <mergeCell ref="AC1025:AD1025"/>
    <mergeCell ref="AC1026:AD1026"/>
    <mergeCell ref="AC1027:AD1027"/>
    <mergeCell ref="AC1028:AD1028"/>
    <mergeCell ref="P1023:Q1029"/>
    <mergeCell ref="R1023:S1029"/>
    <mergeCell ref="T1023:U1029"/>
    <mergeCell ref="V1023:W1029"/>
    <mergeCell ref="X1023:Z1029"/>
    <mergeCell ref="AA1023:AB1029"/>
    <mergeCell ref="A1023:A1029"/>
    <mergeCell ref="B1023:D1029"/>
    <mergeCell ref="F1023:H1029"/>
    <mergeCell ref="I1023:J1029"/>
    <mergeCell ref="K1023:L1029"/>
    <mergeCell ref="M1023:O1029"/>
    <mergeCell ref="R1044:S1044"/>
    <mergeCell ref="R1045:S1045"/>
    <mergeCell ref="R1046:S1046"/>
    <mergeCell ref="R1047:S1047"/>
    <mergeCell ref="R1048:S1048"/>
    <mergeCell ref="R1049:S1049"/>
    <mergeCell ref="R1050:S1050"/>
    <mergeCell ref="R1051:S1051"/>
    <mergeCell ref="K1049:L1049"/>
    <mergeCell ref="K1050:L1050"/>
    <mergeCell ref="K1051:L1051"/>
    <mergeCell ref="M1044:O1048"/>
    <mergeCell ref="P1044:Q1044"/>
    <mergeCell ref="P1045:Q1045"/>
    <mergeCell ref="P1046:Q1046"/>
    <mergeCell ref="P1047:Q1047"/>
    <mergeCell ref="P1048:Q1048"/>
    <mergeCell ref="P1049:Q1049"/>
    <mergeCell ref="I1047:J1047"/>
    <mergeCell ref="I1048:J1048"/>
    <mergeCell ref="I1049:J1049"/>
    <mergeCell ref="I1050:J1050"/>
    <mergeCell ref="I1051:J1051"/>
    <mergeCell ref="K1044:L1044"/>
    <mergeCell ref="K1045:L1045"/>
    <mergeCell ref="K1046:L1046"/>
    <mergeCell ref="K1047:L1047"/>
    <mergeCell ref="K1048:L1048"/>
    <mergeCell ref="AC1042:AD1042"/>
    <mergeCell ref="AC1043:AD1043"/>
    <mergeCell ref="AF1037:AH1043"/>
    <mergeCell ref="A1044:A1051"/>
    <mergeCell ref="B1044:D1051"/>
    <mergeCell ref="E1044:E1048"/>
    <mergeCell ref="F1044:H1051"/>
    <mergeCell ref="I1044:J1044"/>
    <mergeCell ref="I1045:J1045"/>
    <mergeCell ref="I1046:J1046"/>
    <mergeCell ref="R1037:S1043"/>
    <mergeCell ref="T1037:U1043"/>
    <mergeCell ref="V1037:W1043"/>
    <mergeCell ref="X1037:Z1043"/>
    <mergeCell ref="AA1037:AB1043"/>
    <mergeCell ref="AC1037:AD1037"/>
    <mergeCell ref="AC1038:AD1038"/>
    <mergeCell ref="AC1039:AD1039"/>
    <mergeCell ref="AC1040:AD1040"/>
    <mergeCell ref="AC1041:AD1041"/>
    <mergeCell ref="AA1052:AB1053"/>
    <mergeCell ref="AC1052:AD1061"/>
    <mergeCell ref="AF1052:AH1061"/>
    <mergeCell ref="M1053:O1053"/>
    <mergeCell ref="P1053:Q1053"/>
    <mergeCell ref="V1053:W1053"/>
    <mergeCell ref="P1054:Q1054"/>
    <mergeCell ref="P1055:Q1055"/>
    <mergeCell ref="P1056:Q1056"/>
    <mergeCell ref="P1057:Q1057"/>
    <mergeCell ref="M1052:O1052"/>
    <mergeCell ref="P1052:Q1052"/>
    <mergeCell ref="T1052:U1052"/>
    <mergeCell ref="T1053:U1053"/>
    <mergeCell ref="V1052:W1052"/>
    <mergeCell ref="X1052:Z1053"/>
    <mergeCell ref="A1052:A1061"/>
    <mergeCell ref="B1052:D1061"/>
    <mergeCell ref="F1052:H1053"/>
    <mergeCell ref="I1052:J1053"/>
    <mergeCell ref="K1052:L1052"/>
    <mergeCell ref="K1053:L1053"/>
    <mergeCell ref="F1054:H1057"/>
    <mergeCell ref="I1054:J1054"/>
    <mergeCell ref="I1055:J1055"/>
    <mergeCell ref="I1056:J1056"/>
    <mergeCell ref="AJ1044:AJ1048"/>
    <mergeCell ref="M1049:O1049"/>
    <mergeCell ref="V1049:W1049"/>
    <mergeCell ref="M1050:O1050"/>
    <mergeCell ref="V1050:W1050"/>
    <mergeCell ref="M1051:O1051"/>
    <mergeCell ref="V1051:W1051"/>
    <mergeCell ref="AC1051:AD1051"/>
    <mergeCell ref="AF1044:AH1044"/>
    <mergeCell ref="AF1045:AH1045"/>
    <mergeCell ref="AF1046:AH1046"/>
    <mergeCell ref="AF1047:AH1047"/>
    <mergeCell ref="AF1048:AH1048"/>
    <mergeCell ref="AF1049:AH1049"/>
    <mergeCell ref="AF1050:AH1050"/>
    <mergeCell ref="AF1051:AH1051"/>
    <mergeCell ref="V1044:W1048"/>
    <mergeCell ref="X1044:Z1051"/>
    <mergeCell ref="AA1044:AB1051"/>
    <mergeCell ref="AC1044:AD1044"/>
    <mergeCell ref="AC1045:AD1045"/>
    <mergeCell ref="AC1046:AD1046"/>
    <mergeCell ref="AC1047:AD1047"/>
    <mergeCell ref="AC1048:AD1048"/>
    <mergeCell ref="AC1049:AD1049"/>
    <mergeCell ref="AC1050:AD1050"/>
    <mergeCell ref="R1052:S1052"/>
    <mergeCell ref="R1053:S1053"/>
    <mergeCell ref="T1044:U1044"/>
    <mergeCell ref="T1045:U1045"/>
    <mergeCell ref="T1046:U1046"/>
    <mergeCell ref="T1047:U1047"/>
    <mergeCell ref="T1048:U1048"/>
    <mergeCell ref="T1049:U1049"/>
    <mergeCell ref="T1050:U1050"/>
    <mergeCell ref="T1051:U1051"/>
    <mergeCell ref="P1050:Q1050"/>
    <mergeCell ref="P1051:Q1051"/>
    <mergeCell ref="V1058:W1058"/>
    <mergeCell ref="X1058:Z1061"/>
    <mergeCell ref="AA1058:AB1061"/>
    <mergeCell ref="I1059:J1059"/>
    <mergeCell ref="K1059:L1059"/>
    <mergeCell ref="M1059:O1059"/>
    <mergeCell ref="V1059:W1059"/>
    <mergeCell ref="I1060:J1060"/>
    <mergeCell ref="K1060:L1060"/>
    <mergeCell ref="M1060:O1060"/>
    <mergeCell ref="R1058:S1058"/>
    <mergeCell ref="R1059:S1059"/>
    <mergeCell ref="R1060:S1060"/>
    <mergeCell ref="R1061:S1061"/>
    <mergeCell ref="T1058:U1058"/>
    <mergeCell ref="T1059:U1059"/>
    <mergeCell ref="T1060:U1060"/>
    <mergeCell ref="T1061:U1061"/>
    <mergeCell ref="F1058:H1061"/>
    <mergeCell ref="I1058:J1058"/>
    <mergeCell ref="K1058:L1058"/>
    <mergeCell ref="M1058:O1058"/>
    <mergeCell ref="P1058:Q1058"/>
    <mergeCell ref="P1059:Q1059"/>
    <mergeCell ref="P1060:Q1060"/>
    <mergeCell ref="P1061:Q1061"/>
    <mergeCell ref="V1054:W1054"/>
    <mergeCell ref="X1054:Z1057"/>
    <mergeCell ref="AA1054:AB1057"/>
    <mergeCell ref="M1055:O1055"/>
    <mergeCell ref="V1055:W1055"/>
    <mergeCell ref="M1056:O1056"/>
    <mergeCell ref="V1056:W1056"/>
    <mergeCell ref="M1057:O1057"/>
    <mergeCell ref="V1057:W1057"/>
    <mergeCell ref="R1054:S1054"/>
    <mergeCell ref="R1055:S1055"/>
    <mergeCell ref="R1056:S1056"/>
    <mergeCell ref="R1057:S1057"/>
    <mergeCell ref="T1054:U1054"/>
    <mergeCell ref="T1055:U1055"/>
    <mergeCell ref="T1056:U1056"/>
    <mergeCell ref="T1057:U1057"/>
    <mergeCell ref="I1057:J1057"/>
    <mergeCell ref="K1054:L1054"/>
    <mergeCell ref="K1055:L1055"/>
    <mergeCell ref="K1056:L1056"/>
    <mergeCell ref="K1057:L1057"/>
    <mergeCell ref="M1054:O1054"/>
    <mergeCell ref="AF1062:AH1062"/>
    <mergeCell ref="AF1063:AH1063"/>
    <mergeCell ref="AF1064:AH1064"/>
    <mergeCell ref="AF1065:AH1065"/>
    <mergeCell ref="AF1066:AH1066"/>
    <mergeCell ref="AC1066:AD1066"/>
    <mergeCell ref="AC1067:AD1067"/>
    <mergeCell ref="AC1068:AD1068"/>
    <mergeCell ref="AC1069:AD1069"/>
    <mergeCell ref="AC1070:AD1070"/>
    <mergeCell ref="AC1071:AD1071"/>
    <mergeCell ref="X1062:Z1062"/>
    <mergeCell ref="AA1062:AB1062"/>
    <mergeCell ref="AC1062:AD1062"/>
    <mergeCell ref="AC1063:AD1063"/>
    <mergeCell ref="AC1064:AD1064"/>
    <mergeCell ref="AC1065:AD1065"/>
    <mergeCell ref="X1063:Z1063"/>
    <mergeCell ref="AA1063:AB1063"/>
    <mergeCell ref="M1062:O1062"/>
    <mergeCell ref="P1062:Q1062"/>
    <mergeCell ref="R1062:S1062"/>
    <mergeCell ref="R1063:S1063"/>
    <mergeCell ref="T1062:U1062"/>
    <mergeCell ref="V1062:W1062"/>
    <mergeCell ref="V1063:W1063"/>
    <mergeCell ref="V1060:W1060"/>
    <mergeCell ref="I1061:J1061"/>
    <mergeCell ref="K1061:L1061"/>
    <mergeCell ref="M1061:O1061"/>
    <mergeCell ref="V1061:W1061"/>
    <mergeCell ref="A1062:A1076"/>
    <mergeCell ref="B1062:D1076"/>
    <mergeCell ref="F1062:H1062"/>
    <mergeCell ref="I1062:J1062"/>
    <mergeCell ref="K1062:L1062"/>
    <mergeCell ref="I1065:J1065"/>
    <mergeCell ref="K1065:L1065"/>
    <mergeCell ref="M1065:O1065"/>
    <mergeCell ref="P1065:Q1065"/>
    <mergeCell ref="R1065:S1065"/>
    <mergeCell ref="I1066:J1066"/>
    <mergeCell ref="K1066:L1066"/>
    <mergeCell ref="M1066:O1066"/>
    <mergeCell ref="P1066:Q1066"/>
    <mergeCell ref="T1064:U1064"/>
    <mergeCell ref="V1064:W1064"/>
    <mergeCell ref="X1064:Z1064"/>
    <mergeCell ref="AA1064:AB1064"/>
    <mergeCell ref="F1065:H1065"/>
    <mergeCell ref="F1066:H1066"/>
    <mergeCell ref="T1065:U1065"/>
    <mergeCell ref="V1065:W1065"/>
    <mergeCell ref="X1065:Z1065"/>
    <mergeCell ref="AA1065:AB1065"/>
    <mergeCell ref="F1064:H1064"/>
    <mergeCell ref="I1064:J1064"/>
    <mergeCell ref="K1064:L1064"/>
    <mergeCell ref="M1064:O1064"/>
    <mergeCell ref="P1064:Q1064"/>
    <mergeCell ref="R1064:S1064"/>
    <mergeCell ref="AF1073:AH1073"/>
    <mergeCell ref="AF1074:AH1074"/>
    <mergeCell ref="AF1075:AH1075"/>
    <mergeCell ref="AF1076:AH1076"/>
    <mergeCell ref="F1063:H1063"/>
    <mergeCell ref="I1063:J1063"/>
    <mergeCell ref="K1063:L1063"/>
    <mergeCell ref="M1063:O1063"/>
    <mergeCell ref="P1063:Q1063"/>
    <mergeCell ref="T1063:U1063"/>
    <mergeCell ref="AF1067:AH1067"/>
    <mergeCell ref="AF1068:AH1068"/>
    <mergeCell ref="AF1069:AH1069"/>
    <mergeCell ref="AF1070:AH1070"/>
    <mergeCell ref="AF1071:AH1071"/>
    <mergeCell ref="AF1072:AH1072"/>
    <mergeCell ref="AC1072:AD1072"/>
    <mergeCell ref="AC1073:AD1073"/>
    <mergeCell ref="AC1074:AD1074"/>
    <mergeCell ref="AC1075:AD1075"/>
    <mergeCell ref="AC1076:AD1076"/>
    <mergeCell ref="T1069:U1069"/>
    <mergeCell ref="V1069:W1069"/>
    <mergeCell ref="X1069:Z1069"/>
    <mergeCell ref="AA1069:AB1069"/>
    <mergeCell ref="F1070:H1070"/>
    <mergeCell ref="I1070:J1070"/>
    <mergeCell ref="K1070:L1070"/>
    <mergeCell ref="M1070:O1070"/>
    <mergeCell ref="P1070:Q1070"/>
    <mergeCell ref="R1070:S1070"/>
    <mergeCell ref="T1068:U1068"/>
    <mergeCell ref="V1068:W1068"/>
    <mergeCell ref="X1068:Z1068"/>
    <mergeCell ref="AA1068:AB1068"/>
    <mergeCell ref="F1069:H1069"/>
    <mergeCell ref="I1069:J1069"/>
    <mergeCell ref="K1069:L1069"/>
    <mergeCell ref="M1069:O1069"/>
    <mergeCell ref="P1069:Q1069"/>
    <mergeCell ref="R1069:S1069"/>
    <mergeCell ref="T1067:U1067"/>
    <mergeCell ref="V1067:W1067"/>
    <mergeCell ref="X1067:Z1067"/>
    <mergeCell ref="AA1067:AB1067"/>
    <mergeCell ref="F1068:H1068"/>
    <mergeCell ref="I1068:J1068"/>
    <mergeCell ref="K1068:L1068"/>
    <mergeCell ref="M1068:O1068"/>
    <mergeCell ref="P1068:Q1068"/>
    <mergeCell ref="R1068:S1068"/>
    <mergeCell ref="R1066:S1066"/>
    <mergeCell ref="T1066:U1066"/>
    <mergeCell ref="V1066:W1066"/>
    <mergeCell ref="X1066:Z1066"/>
    <mergeCell ref="AA1066:AB1066"/>
    <mergeCell ref="I1067:J1067"/>
    <mergeCell ref="K1067:L1067"/>
    <mergeCell ref="M1067:O1067"/>
    <mergeCell ref="P1067:Q1067"/>
    <mergeCell ref="R1067:S1067"/>
    <mergeCell ref="F1067:H1067"/>
    <mergeCell ref="V1073:W1074"/>
    <mergeCell ref="X1073:Z1074"/>
    <mergeCell ref="AA1073:AB1074"/>
    <mergeCell ref="AJ1073:AJ1074"/>
    <mergeCell ref="E1075:E1076"/>
    <mergeCell ref="F1075:H1075"/>
    <mergeCell ref="F1076:H1076"/>
    <mergeCell ref="I1075:J1076"/>
    <mergeCell ref="K1075:L1076"/>
    <mergeCell ref="M1075:O1076"/>
    <mergeCell ref="AJ1071:AJ1072"/>
    <mergeCell ref="E1073:E1074"/>
    <mergeCell ref="F1073:H1073"/>
    <mergeCell ref="F1074:H1074"/>
    <mergeCell ref="I1073:J1074"/>
    <mergeCell ref="K1073:L1074"/>
    <mergeCell ref="M1073:O1074"/>
    <mergeCell ref="P1073:Q1074"/>
    <mergeCell ref="R1073:S1074"/>
    <mergeCell ref="T1073:U1074"/>
    <mergeCell ref="P1071:Q1072"/>
    <mergeCell ref="R1071:S1072"/>
    <mergeCell ref="T1071:U1072"/>
    <mergeCell ref="V1071:W1072"/>
    <mergeCell ref="X1071:Z1072"/>
    <mergeCell ref="AA1071:AB1072"/>
    <mergeCell ref="T1070:U1070"/>
    <mergeCell ref="V1070:W1070"/>
    <mergeCell ref="X1070:Z1070"/>
    <mergeCell ref="AA1070:AB1070"/>
    <mergeCell ref="E1071:E1072"/>
    <mergeCell ref="F1071:H1071"/>
    <mergeCell ref="F1072:H1072"/>
    <mergeCell ref="I1071:J1072"/>
    <mergeCell ref="K1071:L1072"/>
    <mergeCell ref="M1071:O1072"/>
    <mergeCell ref="P1082:Q1082"/>
    <mergeCell ref="P1083:Q1083"/>
    <mergeCell ref="P1084:Q1084"/>
    <mergeCell ref="P1085:Q1085"/>
    <mergeCell ref="P1086:Q1086"/>
    <mergeCell ref="P1087:Q1087"/>
    <mergeCell ref="M1077:O1077"/>
    <mergeCell ref="P1077:Q1077"/>
    <mergeCell ref="P1078:Q1078"/>
    <mergeCell ref="P1079:Q1079"/>
    <mergeCell ref="P1080:Q1080"/>
    <mergeCell ref="P1081:Q1081"/>
    <mergeCell ref="K1082:L1082"/>
    <mergeCell ref="K1083:L1083"/>
    <mergeCell ref="K1084:L1084"/>
    <mergeCell ref="K1085:L1085"/>
    <mergeCell ref="K1086:L1086"/>
    <mergeCell ref="K1087:L1087"/>
    <mergeCell ref="AJ1075:AJ1076"/>
    <mergeCell ref="A1077:A1087"/>
    <mergeCell ref="B1077:D1087"/>
    <mergeCell ref="F1077:H1087"/>
    <mergeCell ref="I1077:J1077"/>
    <mergeCell ref="K1077:L1077"/>
    <mergeCell ref="K1078:L1078"/>
    <mergeCell ref="K1079:L1079"/>
    <mergeCell ref="K1080:L1080"/>
    <mergeCell ref="K1081:L1081"/>
    <mergeCell ref="P1075:Q1076"/>
    <mergeCell ref="R1075:S1076"/>
    <mergeCell ref="T1075:U1076"/>
    <mergeCell ref="V1075:W1076"/>
    <mergeCell ref="X1075:Z1076"/>
    <mergeCell ref="AA1075:AB1076"/>
    <mergeCell ref="AJ1086:AJ1087"/>
    <mergeCell ref="A1088:A1091"/>
    <mergeCell ref="B1088:D1091"/>
    <mergeCell ref="F1088:H1091"/>
    <mergeCell ref="I1088:J1088"/>
    <mergeCell ref="I1089:J1089"/>
    <mergeCell ref="I1090:J1090"/>
    <mergeCell ref="I1083:J1084"/>
    <mergeCell ref="M1083:O1084"/>
    <mergeCell ref="V1083:W1084"/>
    <mergeCell ref="AJ1083:AJ1084"/>
    <mergeCell ref="I1085:J1085"/>
    <mergeCell ref="M1085:O1085"/>
    <mergeCell ref="V1085:W1085"/>
    <mergeCell ref="V1079:W1079"/>
    <mergeCell ref="I1080:J1081"/>
    <mergeCell ref="M1080:O1081"/>
    <mergeCell ref="V1080:W1081"/>
    <mergeCell ref="AJ1080:AJ1081"/>
    <mergeCell ref="I1082:J1082"/>
    <mergeCell ref="M1082:O1082"/>
    <mergeCell ref="V1082:W1082"/>
    <mergeCell ref="AC1084:AD1084"/>
    <mergeCell ref="AC1085:AD1085"/>
    <mergeCell ref="AC1086:AD1086"/>
    <mergeCell ref="AC1087:AD1087"/>
    <mergeCell ref="AF1077:AH1087"/>
    <mergeCell ref="I1078:J1078"/>
    <mergeCell ref="M1078:O1078"/>
    <mergeCell ref="V1078:W1078"/>
    <mergeCell ref="I1079:J1079"/>
    <mergeCell ref="M1079:O1079"/>
    <mergeCell ref="V1077:W1077"/>
    <mergeCell ref="X1077:Z1087"/>
    <mergeCell ref="AA1077:AB1087"/>
    <mergeCell ref="AC1077:AD1077"/>
    <mergeCell ref="AC1078:AD1078"/>
    <mergeCell ref="AC1079:AD1079"/>
    <mergeCell ref="AC1080:AD1080"/>
    <mergeCell ref="AC1081:AD1081"/>
    <mergeCell ref="AC1082:AD1082"/>
    <mergeCell ref="AC1083:AD1083"/>
    <mergeCell ref="T1082:U1082"/>
    <mergeCell ref="T1083:U1083"/>
    <mergeCell ref="T1084:U1084"/>
    <mergeCell ref="T1085:U1085"/>
    <mergeCell ref="T1086:U1086"/>
    <mergeCell ref="T1087:U1087"/>
    <mergeCell ref="R1083:S1083"/>
    <mergeCell ref="R1084:S1084"/>
    <mergeCell ref="R1085:S1085"/>
    <mergeCell ref="R1086:S1086"/>
    <mergeCell ref="R1087:S1087"/>
    <mergeCell ref="T1077:U1077"/>
    <mergeCell ref="T1078:U1078"/>
    <mergeCell ref="T1079:U1079"/>
    <mergeCell ref="T1080:U1080"/>
    <mergeCell ref="T1081:U1081"/>
    <mergeCell ref="R1077:S1077"/>
    <mergeCell ref="R1078:S1078"/>
    <mergeCell ref="R1079:S1079"/>
    <mergeCell ref="R1080:S1080"/>
    <mergeCell ref="R1081:S1081"/>
    <mergeCell ref="R1082:S1082"/>
    <mergeCell ref="AF1088:AH1091"/>
    <mergeCell ref="M1089:O1089"/>
    <mergeCell ref="V1089:W1089"/>
    <mergeCell ref="M1090:O1090"/>
    <mergeCell ref="P1090:Q1090"/>
    <mergeCell ref="P1091:Q1091"/>
    <mergeCell ref="T1090:U1090"/>
    <mergeCell ref="T1091:U1091"/>
    <mergeCell ref="V1090:W1090"/>
    <mergeCell ref="M1091:O1091"/>
    <mergeCell ref="T1088:U1088"/>
    <mergeCell ref="T1089:U1089"/>
    <mergeCell ref="V1088:W1088"/>
    <mergeCell ref="X1088:Z1091"/>
    <mergeCell ref="AA1088:AB1091"/>
    <mergeCell ref="AC1088:AD1088"/>
    <mergeCell ref="AC1089:AD1089"/>
    <mergeCell ref="AC1090:AD1090"/>
    <mergeCell ref="AC1091:AD1091"/>
    <mergeCell ref="V1091:W1091"/>
    <mergeCell ref="P1088:Q1088"/>
    <mergeCell ref="P1089:Q1089"/>
    <mergeCell ref="R1088:S1088"/>
    <mergeCell ref="R1089:S1089"/>
    <mergeCell ref="R1090:S1090"/>
    <mergeCell ref="R1091:S1091"/>
    <mergeCell ref="I1091:J1091"/>
    <mergeCell ref="K1088:L1088"/>
    <mergeCell ref="K1089:L1089"/>
    <mergeCell ref="K1090:L1090"/>
    <mergeCell ref="K1091:L1091"/>
    <mergeCell ref="M1088:O1088"/>
    <mergeCell ref="I1086:J1087"/>
    <mergeCell ref="M1086:O1087"/>
    <mergeCell ref="V1086:W1087"/>
    <mergeCell ref="K1097:L1097"/>
    <mergeCell ref="K1098:L1098"/>
    <mergeCell ref="K1099:L1099"/>
    <mergeCell ref="K1100:L1100"/>
    <mergeCell ref="K1101:L1101"/>
    <mergeCell ref="K1102:L1102"/>
    <mergeCell ref="I1101:J1101"/>
    <mergeCell ref="I1102:J1102"/>
    <mergeCell ref="I1103:J1103"/>
    <mergeCell ref="I1104:J1104"/>
    <mergeCell ref="I1105:J1105"/>
    <mergeCell ref="K1092:L1092"/>
    <mergeCell ref="K1093:L1093"/>
    <mergeCell ref="K1094:L1094"/>
    <mergeCell ref="K1095:L1095"/>
    <mergeCell ref="K1096:L1096"/>
    <mergeCell ref="F1105:H1105"/>
    <mergeCell ref="I1092:J1092"/>
    <mergeCell ref="I1093:J1093"/>
    <mergeCell ref="I1094:J1094"/>
    <mergeCell ref="I1095:J1095"/>
    <mergeCell ref="I1096:J1096"/>
    <mergeCell ref="I1097:J1097"/>
    <mergeCell ref="I1098:J1098"/>
    <mergeCell ref="I1099:J1099"/>
    <mergeCell ref="I1100:J1100"/>
    <mergeCell ref="F1099:H1099"/>
    <mergeCell ref="F1100:H1100"/>
    <mergeCell ref="F1101:H1101"/>
    <mergeCell ref="F1102:H1102"/>
    <mergeCell ref="F1103:H1103"/>
    <mergeCell ref="F1104:H1104"/>
    <mergeCell ref="A1092:A1105"/>
    <mergeCell ref="B1092:D1105"/>
    <mergeCell ref="E1092:E1099"/>
    <mergeCell ref="F1092:H1092"/>
    <mergeCell ref="F1093:H1093"/>
    <mergeCell ref="F1094:H1094"/>
    <mergeCell ref="F1095:H1095"/>
    <mergeCell ref="F1096:H1096"/>
    <mergeCell ref="F1097:H1097"/>
    <mergeCell ref="F1098:H1098"/>
    <mergeCell ref="R1101:S1101"/>
    <mergeCell ref="R1102:S1102"/>
    <mergeCell ref="T1101:U1101"/>
    <mergeCell ref="V1101:W1101"/>
    <mergeCell ref="X1101:Z1101"/>
    <mergeCell ref="AA1101:AB1101"/>
    <mergeCell ref="AF1105:AH1105"/>
    <mergeCell ref="AJ1092:AJ1099"/>
    <mergeCell ref="M1100:O1100"/>
    <mergeCell ref="P1100:Q1100"/>
    <mergeCell ref="T1100:U1100"/>
    <mergeCell ref="V1100:W1100"/>
    <mergeCell ref="X1100:Z1100"/>
    <mergeCell ref="AA1100:AB1100"/>
    <mergeCell ref="M1101:O1101"/>
    <mergeCell ref="P1101:Q1101"/>
    <mergeCell ref="AF1099:AH1099"/>
    <mergeCell ref="AF1100:AH1100"/>
    <mergeCell ref="AF1101:AH1101"/>
    <mergeCell ref="AF1102:AH1102"/>
    <mergeCell ref="AF1103:AH1103"/>
    <mergeCell ref="AF1104:AH1104"/>
    <mergeCell ref="AC1103:AD1103"/>
    <mergeCell ref="AC1104:AD1104"/>
    <mergeCell ref="AC1105:AD1105"/>
    <mergeCell ref="AF1092:AH1092"/>
    <mergeCell ref="AF1093:AH1093"/>
    <mergeCell ref="AF1094:AH1094"/>
    <mergeCell ref="AF1095:AH1095"/>
    <mergeCell ref="AF1096:AH1096"/>
    <mergeCell ref="AF1097:AH1097"/>
    <mergeCell ref="AF1098:AH1098"/>
    <mergeCell ref="AC1097:AD1097"/>
    <mergeCell ref="AC1098:AD1098"/>
    <mergeCell ref="AC1099:AD1099"/>
    <mergeCell ref="AC1100:AD1100"/>
    <mergeCell ref="AC1101:AD1101"/>
    <mergeCell ref="AC1102:AD1102"/>
    <mergeCell ref="R1100:S1100"/>
    <mergeCell ref="T1092:U1099"/>
    <mergeCell ref="V1092:W1099"/>
    <mergeCell ref="X1092:Z1099"/>
    <mergeCell ref="AA1092:AB1099"/>
    <mergeCell ref="AC1092:AD1092"/>
    <mergeCell ref="AC1093:AD1093"/>
    <mergeCell ref="AC1094:AD1094"/>
    <mergeCell ref="AC1095:AD1095"/>
    <mergeCell ref="AC1096:AD1096"/>
    <mergeCell ref="M1092:O1099"/>
    <mergeCell ref="P1092:Q1099"/>
    <mergeCell ref="R1092:S1092"/>
    <mergeCell ref="R1093:S1093"/>
    <mergeCell ref="R1094:S1094"/>
    <mergeCell ref="R1095:S1095"/>
    <mergeCell ref="R1096:S1096"/>
    <mergeCell ref="R1097:S1097"/>
    <mergeCell ref="R1098:S1098"/>
    <mergeCell ref="R1099:S1099"/>
    <mergeCell ref="T1105:U1105"/>
    <mergeCell ref="V1105:W1105"/>
    <mergeCell ref="X1105:Z1105"/>
    <mergeCell ref="AA1105:AB1105"/>
    <mergeCell ref="A1106:A1109"/>
    <mergeCell ref="B1106:D1109"/>
    <mergeCell ref="F1106:H1109"/>
    <mergeCell ref="I1106:J1106"/>
    <mergeCell ref="I1107:J1107"/>
    <mergeCell ref="I1108:J1108"/>
    <mergeCell ref="T1103:U1103"/>
    <mergeCell ref="V1103:W1103"/>
    <mergeCell ref="X1103:Z1103"/>
    <mergeCell ref="AA1103:AB1103"/>
    <mergeCell ref="M1104:O1104"/>
    <mergeCell ref="P1104:Q1104"/>
    <mergeCell ref="T1104:U1104"/>
    <mergeCell ref="V1104:W1104"/>
    <mergeCell ref="X1104:Z1104"/>
    <mergeCell ref="AA1104:AB1104"/>
    <mergeCell ref="K1103:L1103"/>
    <mergeCell ref="K1104:L1104"/>
    <mergeCell ref="K1105:L1105"/>
    <mergeCell ref="M1103:O1103"/>
    <mergeCell ref="P1103:Q1103"/>
    <mergeCell ref="R1103:S1103"/>
    <mergeCell ref="R1104:S1104"/>
    <mergeCell ref="R1105:S1105"/>
    <mergeCell ref="M1105:O1105"/>
    <mergeCell ref="P1105:Q1105"/>
    <mergeCell ref="M1102:O1102"/>
    <mergeCell ref="P1102:Q1102"/>
    <mergeCell ref="T1102:U1102"/>
    <mergeCell ref="V1102:W1102"/>
    <mergeCell ref="X1102:Z1102"/>
    <mergeCell ref="AA1102:AB1102"/>
    <mergeCell ref="AI1110:AI1118"/>
    <mergeCell ref="A1111:A1118"/>
    <mergeCell ref="B1111:D1118"/>
    <mergeCell ref="F1111:H1114"/>
    <mergeCell ref="I1111:J1111"/>
    <mergeCell ref="I1112:J1112"/>
    <mergeCell ref="I1113:J1113"/>
    <mergeCell ref="I1114:J1114"/>
    <mergeCell ref="K1111:L1111"/>
    <mergeCell ref="K1112:L1112"/>
    <mergeCell ref="T1110:U1110"/>
    <mergeCell ref="V1110:W1110"/>
    <mergeCell ref="X1110:Z1110"/>
    <mergeCell ref="AA1110:AB1110"/>
    <mergeCell ref="AC1110:AD1110"/>
    <mergeCell ref="AF1110:AH1110"/>
    <mergeCell ref="V1109:W1109"/>
    <mergeCell ref="X1109:Z1109"/>
    <mergeCell ref="AA1109:AB1109"/>
    <mergeCell ref="B1110:D1110"/>
    <mergeCell ref="F1110:H1110"/>
    <mergeCell ref="I1110:J1110"/>
    <mergeCell ref="K1110:L1110"/>
    <mergeCell ref="M1110:O1110"/>
    <mergeCell ref="P1110:Q1110"/>
    <mergeCell ref="R1110:S1110"/>
    <mergeCell ref="AC1109:AD1109"/>
    <mergeCell ref="AF1106:AH1106"/>
    <mergeCell ref="AF1107:AH1107"/>
    <mergeCell ref="AF1108:AH1108"/>
    <mergeCell ref="AF1109:AH1109"/>
    <mergeCell ref="M1107:O1107"/>
    <mergeCell ref="P1107:Q1107"/>
    <mergeCell ref="T1107:U1107"/>
    <mergeCell ref="V1107:W1107"/>
    <mergeCell ref="X1107:Z1107"/>
    <mergeCell ref="V1106:W1106"/>
    <mergeCell ref="X1106:Z1106"/>
    <mergeCell ref="AA1106:AB1106"/>
    <mergeCell ref="AC1106:AD1106"/>
    <mergeCell ref="AC1107:AD1107"/>
    <mergeCell ref="AC1108:AD1108"/>
    <mergeCell ref="AA1107:AB1107"/>
    <mergeCell ref="V1108:W1108"/>
    <mergeCell ref="X1108:Z1108"/>
    <mergeCell ref="AA1108:AB1108"/>
    <mergeCell ref="P1106:Q1106"/>
    <mergeCell ref="R1106:S1106"/>
    <mergeCell ref="R1107:S1107"/>
    <mergeCell ref="R1108:S1108"/>
    <mergeCell ref="R1109:S1109"/>
    <mergeCell ref="T1106:U1106"/>
    <mergeCell ref="P1108:Q1108"/>
    <mergeCell ref="T1108:U1108"/>
    <mergeCell ref="P1109:Q1109"/>
    <mergeCell ref="T1109:U1109"/>
    <mergeCell ref="I1109:J1109"/>
    <mergeCell ref="K1106:L1106"/>
    <mergeCell ref="K1107:L1107"/>
    <mergeCell ref="K1108:L1108"/>
    <mergeCell ref="K1109:L1109"/>
    <mergeCell ref="M1106:O1106"/>
    <mergeCell ref="M1108:O1108"/>
    <mergeCell ref="M1109:O1109"/>
    <mergeCell ref="T1115:U1115"/>
    <mergeCell ref="V1115:W1115"/>
    <mergeCell ref="X1115:Z1118"/>
    <mergeCell ref="AA1115:AB1118"/>
    <mergeCell ref="M1116:O1116"/>
    <mergeCell ref="P1116:Q1116"/>
    <mergeCell ref="T1116:U1116"/>
    <mergeCell ref="V1116:W1116"/>
    <mergeCell ref="M1117:O1117"/>
    <mergeCell ref="P1117:Q1117"/>
    <mergeCell ref="K1117:L1117"/>
    <mergeCell ref="K1118:L1118"/>
    <mergeCell ref="M1115:O1115"/>
    <mergeCell ref="P1115:Q1115"/>
    <mergeCell ref="R1115:S1115"/>
    <mergeCell ref="R1116:S1116"/>
    <mergeCell ref="R1117:S1117"/>
    <mergeCell ref="R1118:S1118"/>
    <mergeCell ref="P1114:Q1114"/>
    <mergeCell ref="T1114:U1114"/>
    <mergeCell ref="V1114:W1114"/>
    <mergeCell ref="F1115:H1118"/>
    <mergeCell ref="I1115:J1115"/>
    <mergeCell ref="I1116:J1116"/>
    <mergeCell ref="I1117:J1117"/>
    <mergeCell ref="I1118:J1118"/>
    <mergeCell ref="K1115:L1115"/>
    <mergeCell ref="K1116:L1116"/>
    <mergeCell ref="AC1115:AD1115"/>
    <mergeCell ref="AC1116:AD1116"/>
    <mergeCell ref="AC1117:AD1117"/>
    <mergeCell ref="AC1118:AD1118"/>
    <mergeCell ref="AF1111:AH1118"/>
    <mergeCell ref="M1112:O1112"/>
    <mergeCell ref="P1112:Q1112"/>
    <mergeCell ref="T1112:U1112"/>
    <mergeCell ref="V1112:W1112"/>
    <mergeCell ref="M1113:O1113"/>
    <mergeCell ref="T1111:U1111"/>
    <mergeCell ref="V1111:W1111"/>
    <mergeCell ref="X1111:Z1114"/>
    <mergeCell ref="AA1111:AB1114"/>
    <mergeCell ref="AC1111:AD1111"/>
    <mergeCell ref="AC1112:AD1112"/>
    <mergeCell ref="AC1113:AD1113"/>
    <mergeCell ref="AC1114:AD1114"/>
    <mergeCell ref="T1113:U1113"/>
    <mergeCell ref="V1113:W1113"/>
    <mergeCell ref="K1113:L1113"/>
    <mergeCell ref="K1114:L1114"/>
    <mergeCell ref="M1111:O1111"/>
    <mergeCell ref="P1111:Q1111"/>
    <mergeCell ref="R1111:S1111"/>
    <mergeCell ref="R1112:S1112"/>
    <mergeCell ref="R1113:S1113"/>
    <mergeCell ref="R1114:S1114"/>
    <mergeCell ref="P1113:Q1113"/>
    <mergeCell ref="M1114:O1114"/>
    <mergeCell ref="T1119:U1119"/>
    <mergeCell ref="V1119:W1119"/>
    <mergeCell ref="X1119:Z1119"/>
    <mergeCell ref="AA1119:AB1119"/>
    <mergeCell ref="AC1119:AD1119"/>
    <mergeCell ref="AC1120:AD1120"/>
    <mergeCell ref="T1120:U1120"/>
    <mergeCell ref="V1120:W1120"/>
    <mergeCell ref="X1120:Z1120"/>
    <mergeCell ref="AA1120:AB1120"/>
    <mergeCell ref="K1119:L1119"/>
    <mergeCell ref="K1120:L1120"/>
    <mergeCell ref="K1121:L1121"/>
    <mergeCell ref="M1119:O1119"/>
    <mergeCell ref="P1119:Q1119"/>
    <mergeCell ref="R1119:S1119"/>
    <mergeCell ref="R1120:S1120"/>
    <mergeCell ref="R1121:S1121"/>
    <mergeCell ref="M1120:O1120"/>
    <mergeCell ref="P1120:Q1120"/>
    <mergeCell ref="A1119:A1142"/>
    <mergeCell ref="B1119:D1142"/>
    <mergeCell ref="F1119:H1121"/>
    <mergeCell ref="I1119:J1119"/>
    <mergeCell ref="I1120:J1120"/>
    <mergeCell ref="I1121:J1121"/>
    <mergeCell ref="F1122:H1124"/>
    <mergeCell ref="I1122:J1122"/>
    <mergeCell ref="I1123:J1123"/>
    <mergeCell ref="I1124:J1124"/>
    <mergeCell ref="T1117:U1117"/>
    <mergeCell ref="V1117:W1117"/>
    <mergeCell ref="M1118:O1118"/>
    <mergeCell ref="P1118:Q1118"/>
    <mergeCell ref="T1118:U1118"/>
    <mergeCell ref="V1118:W1118"/>
    <mergeCell ref="AF1137:AH1137"/>
    <mergeCell ref="AF1138:AH1138"/>
    <mergeCell ref="AF1139:AH1139"/>
    <mergeCell ref="AF1140:AH1140"/>
    <mergeCell ref="AF1141:AH1141"/>
    <mergeCell ref="AF1142:AH1142"/>
    <mergeCell ref="AF1131:AH1131"/>
    <mergeCell ref="AF1132:AH1132"/>
    <mergeCell ref="AF1133:AH1133"/>
    <mergeCell ref="AF1134:AH1134"/>
    <mergeCell ref="AF1135:AH1135"/>
    <mergeCell ref="AF1136:AH1136"/>
    <mergeCell ref="AF1125:AH1125"/>
    <mergeCell ref="AF1126:AH1126"/>
    <mergeCell ref="AF1127:AH1127"/>
    <mergeCell ref="AF1128:AH1128"/>
    <mergeCell ref="AF1129:AH1129"/>
    <mergeCell ref="AF1130:AH1130"/>
    <mergeCell ref="AC1139:AD1139"/>
    <mergeCell ref="AC1140:AD1140"/>
    <mergeCell ref="AC1141:AD1141"/>
    <mergeCell ref="AC1142:AD1142"/>
    <mergeCell ref="AF1119:AH1119"/>
    <mergeCell ref="AF1120:AH1120"/>
    <mergeCell ref="AF1121:AH1121"/>
    <mergeCell ref="AF1122:AH1122"/>
    <mergeCell ref="AF1123:AH1123"/>
    <mergeCell ref="AF1124:AH1124"/>
    <mergeCell ref="AC1133:AD1133"/>
    <mergeCell ref="AC1134:AD1134"/>
    <mergeCell ref="AC1135:AD1135"/>
    <mergeCell ref="AC1136:AD1136"/>
    <mergeCell ref="AC1137:AD1137"/>
    <mergeCell ref="AC1138:AD1138"/>
    <mergeCell ref="AC1127:AD1127"/>
    <mergeCell ref="AC1128:AD1128"/>
    <mergeCell ref="AC1129:AD1129"/>
    <mergeCell ref="AC1130:AD1130"/>
    <mergeCell ref="AC1131:AD1131"/>
    <mergeCell ref="AC1132:AD1132"/>
    <mergeCell ref="AC1121:AD1121"/>
    <mergeCell ref="AC1122:AD1122"/>
    <mergeCell ref="AC1123:AD1123"/>
    <mergeCell ref="AC1124:AD1124"/>
    <mergeCell ref="AC1125:AD1125"/>
    <mergeCell ref="AC1126:AD1126"/>
    <mergeCell ref="T1124:U1124"/>
    <mergeCell ref="V1124:W1124"/>
    <mergeCell ref="X1124:Z1124"/>
    <mergeCell ref="AA1124:AB1124"/>
    <mergeCell ref="F1125:H1127"/>
    <mergeCell ref="I1125:J1125"/>
    <mergeCell ref="I1126:J1126"/>
    <mergeCell ref="I1127:J1127"/>
    <mergeCell ref="K1125:L1125"/>
    <mergeCell ref="K1126:L1126"/>
    <mergeCell ref="T1122:U1122"/>
    <mergeCell ref="V1122:W1122"/>
    <mergeCell ref="X1122:Z1122"/>
    <mergeCell ref="AA1122:AB1122"/>
    <mergeCell ref="M1123:O1123"/>
    <mergeCell ref="P1123:Q1123"/>
    <mergeCell ref="T1123:U1123"/>
    <mergeCell ref="V1123:W1123"/>
    <mergeCell ref="X1123:Z1123"/>
    <mergeCell ref="AA1123:AB1123"/>
    <mergeCell ref="K1122:L1122"/>
    <mergeCell ref="K1123:L1123"/>
    <mergeCell ref="K1124:L1124"/>
    <mergeCell ref="M1122:O1122"/>
    <mergeCell ref="P1122:Q1122"/>
    <mergeCell ref="R1122:S1122"/>
    <mergeCell ref="R1123:S1123"/>
    <mergeCell ref="R1124:S1124"/>
    <mergeCell ref="M1124:O1124"/>
    <mergeCell ref="P1124:Q1124"/>
    <mergeCell ref="M1121:O1121"/>
    <mergeCell ref="P1121:Q1121"/>
    <mergeCell ref="T1121:U1121"/>
    <mergeCell ref="V1121:W1121"/>
    <mergeCell ref="X1121:Z1121"/>
    <mergeCell ref="AA1121:AB1121"/>
    <mergeCell ref="T1128:U1128"/>
    <mergeCell ref="V1128:W1128"/>
    <mergeCell ref="X1128:Z1128"/>
    <mergeCell ref="AA1128:AB1128"/>
    <mergeCell ref="M1129:O1129"/>
    <mergeCell ref="P1129:Q1129"/>
    <mergeCell ref="T1129:U1129"/>
    <mergeCell ref="V1129:W1129"/>
    <mergeCell ref="X1129:Z1129"/>
    <mergeCell ref="AA1129:AB1129"/>
    <mergeCell ref="K1130:L1130"/>
    <mergeCell ref="M1128:O1128"/>
    <mergeCell ref="P1128:Q1128"/>
    <mergeCell ref="R1128:S1128"/>
    <mergeCell ref="R1129:S1129"/>
    <mergeCell ref="R1130:S1130"/>
    <mergeCell ref="M1130:O1130"/>
    <mergeCell ref="P1130:Q1130"/>
    <mergeCell ref="T1127:U1127"/>
    <mergeCell ref="V1127:W1127"/>
    <mergeCell ref="X1127:Z1127"/>
    <mergeCell ref="AA1127:AB1127"/>
    <mergeCell ref="F1128:H1130"/>
    <mergeCell ref="I1128:J1128"/>
    <mergeCell ref="I1129:J1129"/>
    <mergeCell ref="I1130:J1130"/>
    <mergeCell ref="K1128:L1128"/>
    <mergeCell ref="K1129:L1129"/>
    <mergeCell ref="T1125:U1125"/>
    <mergeCell ref="V1125:W1125"/>
    <mergeCell ref="X1125:Z1125"/>
    <mergeCell ref="AA1125:AB1125"/>
    <mergeCell ref="M1126:O1126"/>
    <mergeCell ref="P1126:Q1126"/>
    <mergeCell ref="T1126:U1126"/>
    <mergeCell ref="V1126:W1126"/>
    <mergeCell ref="X1126:Z1126"/>
    <mergeCell ref="AA1126:AB1126"/>
    <mergeCell ref="K1127:L1127"/>
    <mergeCell ref="M1125:O1125"/>
    <mergeCell ref="P1125:Q1125"/>
    <mergeCell ref="R1125:S1125"/>
    <mergeCell ref="R1126:S1126"/>
    <mergeCell ref="R1127:S1127"/>
    <mergeCell ref="M1127:O1127"/>
    <mergeCell ref="P1127:Q1127"/>
    <mergeCell ref="T1133:U1133"/>
    <mergeCell ref="V1133:W1133"/>
    <mergeCell ref="X1133:Z1133"/>
    <mergeCell ref="AA1133:AB1133"/>
    <mergeCell ref="F1134:H1136"/>
    <mergeCell ref="I1134:J1134"/>
    <mergeCell ref="I1135:J1135"/>
    <mergeCell ref="I1136:J1136"/>
    <mergeCell ref="K1134:L1134"/>
    <mergeCell ref="K1135:L1135"/>
    <mergeCell ref="T1131:U1131"/>
    <mergeCell ref="V1131:W1131"/>
    <mergeCell ref="X1131:Z1131"/>
    <mergeCell ref="AA1131:AB1131"/>
    <mergeCell ref="M1132:O1132"/>
    <mergeCell ref="P1132:Q1132"/>
    <mergeCell ref="T1132:U1132"/>
    <mergeCell ref="V1132:W1132"/>
    <mergeCell ref="X1132:Z1132"/>
    <mergeCell ref="AA1132:AB1132"/>
    <mergeCell ref="K1133:L1133"/>
    <mergeCell ref="M1131:O1131"/>
    <mergeCell ref="P1131:Q1131"/>
    <mergeCell ref="R1131:S1131"/>
    <mergeCell ref="R1132:S1132"/>
    <mergeCell ref="R1133:S1133"/>
    <mergeCell ref="M1133:O1133"/>
    <mergeCell ref="P1133:Q1133"/>
    <mergeCell ref="T1130:U1130"/>
    <mergeCell ref="V1130:W1130"/>
    <mergeCell ref="X1130:Z1130"/>
    <mergeCell ref="AA1130:AB1130"/>
    <mergeCell ref="F1131:H1133"/>
    <mergeCell ref="I1131:J1131"/>
    <mergeCell ref="I1132:J1132"/>
    <mergeCell ref="I1133:J1133"/>
    <mergeCell ref="K1131:L1131"/>
    <mergeCell ref="K1132:L1132"/>
    <mergeCell ref="X1137:Z1137"/>
    <mergeCell ref="AA1137:AB1137"/>
    <mergeCell ref="M1138:O1138"/>
    <mergeCell ref="P1138:Q1138"/>
    <mergeCell ref="R1138:S1138"/>
    <mergeCell ref="T1138:U1138"/>
    <mergeCell ref="V1138:W1138"/>
    <mergeCell ref="X1138:Z1138"/>
    <mergeCell ref="AA1138:AB1138"/>
    <mergeCell ref="K1139:L1139"/>
    <mergeCell ref="M1137:O1137"/>
    <mergeCell ref="P1137:Q1137"/>
    <mergeCell ref="R1137:S1137"/>
    <mergeCell ref="T1137:U1137"/>
    <mergeCell ref="V1137:W1137"/>
    <mergeCell ref="M1139:O1139"/>
    <mergeCell ref="P1139:Q1139"/>
    <mergeCell ref="R1139:S1139"/>
    <mergeCell ref="T1139:U1139"/>
    <mergeCell ref="T1136:U1136"/>
    <mergeCell ref="V1136:W1136"/>
    <mergeCell ref="X1136:Z1136"/>
    <mergeCell ref="AA1136:AB1136"/>
    <mergeCell ref="F1137:H1139"/>
    <mergeCell ref="I1137:J1137"/>
    <mergeCell ref="I1138:J1138"/>
    <mergeCell ref="I1139:J1139"/>
    <mergeCell ref="K1137:L1137"/>
    <mergeCell ref="K1138:L1138"/>
    <mergeCell ref="T1134:U1134"/>
    <mergeCell ref="V1134:W1134"/>
    <mergeCell ref="X1134:Z1134"/>
    <mergeCell ref="AA1134:AB1134"/>
    <mergeCell ref="M1135:O1135"/>
    <mergeCell ref="P1135:Q1135"/>
    <mergeCell ref="T1135:U1135"/>
    <mergeCell ref="V1135:W1135"/>
    <mergeCell ref="X1135:Z1135"/>
    <mergeCell ref="AA1135:AB1135"/>
    <mergeCell ref="K1136:L1136"/>
    <mergeCell ref="M1134:O1134"/>
    <mergeCell ref="P1134:Q1134"/>
    <mergeCell ref="R1134:S1134"/>
    <mergeCell ref="R1135:S1135"/>
    <mergeCell ref="R1136:S1136"/>
    <mergeCell ref="M1136:O1136"/>
    <mergeCell ref="P1136:Q1136"/>
    <mergeCell ref="AA1142:AB1142"/>
    <mergeCell ref="A1143:A1148"/>
    <mergeCell ref="B1143:D1143"/>
    <mergeCell ref="B1144:D1144"/>
    <mergeCell ref="B1145:D1145"/>
    <mergeCell ref="B1146:D1146"/>
    <mergeCell ref="B1147:D1147"/>
    <mergeCell ref="B1148:D1148"/>
    <mergeCell ref="F1143:H1148"/>
    <mergeCell ref="I1143:J1143"/>
    <mergeCell ref="M1142:O1142"/>
    <mergeCell ref="P1142:Q1142"/>
    <mergeCell ref="R1142:S1142"/>
    <mergeCell ref="T1142:U1142"/>
    <mergeCell ref="V1142:W1142"/>
    <mergeCell ref="X1142:Z1142"/>
    <mergeCell ref="AA1140:AB1140"/>
    <mergeCell ref="M1141:O1141"/>
    <mergeCell ref="P1141:Q1141"/>
    <mergeCell ref="R1141:S1141"/>
    <mergeCell ref="T1141:U1141"/>
    <mergeCell ref="V1141:W1141"/>
    <mergeCell ref="X1141:Z1141"/>
    <mergeCell ref="AA1141:AB1141"/>
    <mergeCell ref="M1140:O1140"/>
    <mergeCell ref="P1140:Q1140"/>
    <mergeCell ref="R1140:S1140"/>
    <mergeCell ref="T1140:U1140"/>
    <mergeCell ref="V1140:W1140"/>
    <mergeCell ref="X1140:Z1140"/>
    <mergeCell ref="V1139:W1139"/>
    <mergeCell ref="X1139:Z1139"/>
    <mergeCell ref="AA1139:AB1139"/>
    <mergeCell ref="F1140:H1142"/>
    <mergeCell ref="I1140:J1140"/>
    <mergeCell ref="I1141:J1141"/>
    <mergeCell ref="I1142:J1142"/>
    <mergeCell ref="K1140:L1140"/>
    <mergeCell ref="K1141:L1141"/>
    <mergeCell ref="K1142:L1142"/>
    <mergeCell ref="AF1143:AH1148"/>
    <mergeCell ref="AI1143:AI1166"/>
    <mergeCell ref="AC1154:AD1154"/>
    <mergeCell ref="AC1155:AD1155"/>
    <mergeCell ref="AC1156:AD1156"/>
    <mergeCell ref="AC1157:AD1157"/>
    <mergeCell ref="T1143:U1143"/>
    <mergeCell ref="T1144:U1144"/>
    <mergeCell ref="V1143:W1143"/>
    <mergeCell ref="X1143:Z1144"/>
    <mergeCell ref="AA1143:AB1144"/>
    <mergeCell ref="AC1143:AD1143"/>
    <mergeCell ref="AC1144:AD1144"/>
    <mergeCell ref="K1148:L1148"/>
    <mergeCell ref="M1143:O1143"/>
    <mergeCell ref="P1143:Q1143"/>
    <mergeCell ref="P1144:Q1144"/>
    <mergeCell ref="R1143:S1143"/>
    <mergeCell ref="R1144:S1144"/>
    <mergeCell ref="R1145:S1145"/>
    <mergeCell ref="R1146:S1146"/>
    <mergeCell ref="R1147:S1147"/>
    <mergeCell ref="R1148:S1148"/>
    <mergeCell ref="I1144:J1144"/>
    <mergeCell ref="I1145:J1145"/>
    <mergeCell ref="I1146:J1146"/>
    <mergeCell ref="I1147:J1147"/>
    <mergeCell ref="I1148:J1148"/>
    <mergeCell ref="K1143:L1143"/>
    <mergeCell ref="K1144:L1144"/>
    <mergeCell ref="K1145:L1145"/>
    <mergeCell ref="K1146:L1146"/>
    <mergeCell ref="K1147:L1147"/>
    <mergeCell ref="M1148:O1148"/>
    <mergeCell ref="V1148:W1148"/>
    <mergeCell ref="A1149:A1166"/>
    <mergeCell ref="B1149:D1166"/>
    <mergeCell ref="F1149:H1151"/>
    <mergeCell ref="I1149:J1149"/>
    <mergeCell ref="I1150:J1150"/>
    <mergeCell ref="I1151:J1151"/>
    <mergeCell ref="K1149:L1149"/>
    <mergeCell ref="K1150:L1150"/>
    <mergeCell ref="P1148:Q1148"/>
    <mergeCell ref="T1147:U1147"/>
    <mergeCell ref="T1148:U1148"/>
    <mergeCell ref="V1147:W1147"/>
    <mergeCell ref="X1147:Z1148"/>
    <mergeCell ref="AA1147:AB1148"/>
    <mergeCell ref="X1145:Z1146"/>
    <mergeCell ref="AA1145:AB1146"/>
    <mergeCell ref="M1146:O1146"/>
    <mergeCell ref="V1146:W1146"/>
    <mergeCell ref="M1147:O1147"/>
    <mergeCell ref="P1147:Q1147"/>
    <mergeCell ref="M1144:O1144"/>
    <mergeCell ref="V1144:W1144"/>
    <mergeCell ref="M1145:O1145"/>
    <mergeCell ref="P1145:Q1145"/>
    <mergeCell ref="P1146:Q1146"/>
    <mergeCell ref="T1145:U1145"/>
    <mergeCell ref="T1146:U1146"/>
    <mergeCell ref="V1145:W1145"/>
    <mergeCell ref="AC1145:AD1145"/>
    <mergeCell ref="AC1146:AD1146"/>
    <mergeCell ref="AC1147:AD1147"/>
    <mergeCell ref="AC1148:AD1148"/>
    <mergeCell ref="AF1149:AH1149"/>
    <mergeCell ref="AF1150:AH1150"/>
    <mergeCell ref="AF1151:AH1151"/>
    <mergeCell ref="AF1152:AH1152"/>
    <mergeCell ref="AF1153:AH1153"/>
    <mergeCell ref="AF1154:AH1154"/>
    <mergeCell ref="AF1155:AH1155"/>
    <mergeCell ref="AC1158:AD1158"/>
    <mergeCell ref="AC1159:AD1159"/>
    <mergeCell ref="AC1160:AD1160"/>
    <mergeCell ref="AC1161:AD1161"/>
    <mergeCell ref="AC1162:AD1162"/>
    <mergeCell ref="AC1163:AD1163"/>
    <mergeCell ref="AA1149:AB1150"/>
    <mergeCell ref="AC1149:AD1149"/>
    <mergeCell ref="AC1150:AD1150"/>
    <mergeCell ref="AC1151:AD1151"/>
    <mergeCell ref="AC1152:AD1152"/>
    <mergeCell ref="AC1153:AD1153"/>
    <mergeCell ref="AA1151:AB1151"/>
    <mergeCell ref="R1152:S1152"/>
    <mergeCell ref="R1153:S1153"/>
    <mergeCell ref="R1154:S1154"/>
    <mergeCell ref="T1149:U1149"/>
    <mergeCell ref="V1149:W1149"/>
    <mergeCell ref="X1149:Z1150"/>
    <mergeCell ref="T1151:U1151"/>
    <mergeCell ref="V1151:W1151"/>
    <mergeCell ref="X1151:Z1151"/>
    <mergeCell ref="K1151:L1151"/>
    <mergeCell ref="M1149:O1149"/>
    <mergeCell ref="P1149:Q1149"/>
    <mergeCell ref="R1149:S1149"/>
    <mergeCell ref="R1150:S1150"/>
    <mergeCell ref="R1151:S1151"/>
    <mergeCell ref="P1151:Q1151"/>
    <mergeCell ref="M1154:O1154"/>
    <mergeCell ref="P1154:Q1154"/>
    <mergeCell ref="T1154:U1154"/>
    <mergeCell ref="V1154:W1154"/>
    <mergeCell ref="X1154:Z1154"/>
    <mergeCell ref="AA1154:AB1154"/>
    <mergeCell ref="M1152:O1152"/>
    <mergeCell ref="P1152:Q1152"/>
    <mergeCell ref="T1152:U1152"/>
    <mergeCell ref="V1152:W1152"/>
    <mergeCell ref="X1152:Z1153"/>
    <mergeCell ref="AA1152:AB1153"/>
    <mergeCell ref="M1153:O1153"/>
    <mergeCell ref="P1153:Q1153"/>
    <mergeCell ref="T1153:U1153"/>
    <mergeCell ref="V1153:W1153"/>
    <mergeCell ref="F1152:H1154"/>
    <mergeCell ref="I1152:J1152"/>
    <mergeCell ref="I1153:J1153"/>
    <mergeCell ref="I1154:J1154"/>
    <mergeCell ref="K1152:L1152"/>
    <mergeCell ref="K1153:L1153"/>
    <mergeCell ref="K1154:L1154"/>
    <mergeCell ref="AF1162:AH1162"/>
    <mergeCell ref="AF1163:AH1163"/>
    <mergeCell ref="AF1164:AH1164"/>
    <mergeCell ref="AF1165:AH1165"/>
    <mergeCell ref="AF1166:AH1166"/>
    <mergeCell ref="M1150:O1150"/>
    <mergeCell ref="P1150:Q1150"/>
    <mergeCell ref="T1150:U1150"/>
    <mergeCell ref="V1150:W1150"/>
    <mergeCell ref="M1151:O1151"/>
    <mergeCell ref="AF1156:AH1156"/>
    <mergeCell ref="AF1157:AH1157"/>
    <mergeCell ref="AF1158:AH1158"/>
    <mergeCell ref="AF1159:AH1159"/>
    <mergeCell ref="AF1160:AH1160"/>
    <mergeCell ref="AF1161:AH1161"/>
    <mergeCell ref="AC1164:AD1164"/>
    <mergeCell ref="AC1165:AD1165"/>
    <mergeCell ref="AC1166:AD1166"/>
    <mergeCell ref="V1157:W1157"/>
    <mergeCell ref="X1157:Z1157"/>
    <mergeCell ref="AA1157:AB1157"/>
    <mergeCell ref="F1158:H1160"/>
    <mergeCell ref="I1158:J1158"/>
    <mergeCell ref="I1159:J1159"/>
    <mergeCell ref="I1160:J1160"/>
    <mergeCell ref="K1158:L1158"/>
    <mergeCell ref="K1159:L1159"/>
    <mergeCell ref="K1160:L1160"/>
    <mergeCell ref="V1155:W1155"/>
    <mergeCell ref="X1155:Z1156"/>
    <mergeCell ref="AA1155:AB1156"/>
    <mergeCell ref="M1156:O1156"/>
    <mergeCell ref="P1156:Q1156"/>
    <mergeCell ref="T1156:U1156"/>
    <mergeCell ref="V1156:W1156"/>
    <mergeCell ref="M1155:O1155"/>
    <mergeCell ref="P1155:Q1155"/>
    <mergeCell ref="R1155:S1155"/>
    <mergeCell ref="R1156:S1156"/>
    <mergeCell ref="R1157:S1157"/>
    <mergeCell ref="T1155:U1155"/>
    <mergeCell ref="M1157:O1157"/>
    <mergeCell ref="P1157:Q1157"/>
    <mergeCell ref="T1157:U1157"/>
    <mergeCell ref="F1155:H1157"/>
    <mergeCell ref="I1155:J1155"/>
    <mergeCell ref="I1156:J1156"/>
    <mergeCell ref="I1157:J1157"/>
    <mergeCell ref="K1155:L1155"/>
    <mergeCell ref="K1156:L1156"/>
    <mergeCell ref="K1157:L1157"/>
    <mergeCell ref="AA1161:AB1162"/>
    <mergeCell ref="M1162:O1162"/>
    <mergeCell ref="P1162:Q1162"/>
    <mergeCell ref="R1162:S1162"/>
    <mergeCell ref="T1162:U1162"/>
    <mergeCell ref="V1162:W1162"/>
    <mergeCell ref="M1161:O1161"/>
    <mergeCell ref="P1161:Q1161"/>
    <mergeCell ref="R1161:S1161"/>
    <mergeCell ref="T1161:U1161"/>
    <mergeCell ref="V1161:W1161"/>
    <mergeCell ref="X1161:Z1162"/>
    <mergeCell ref="V1160:W1160"/>
    <mergeCell ref="X1160:Z1160"/>
    <mergeCell ref="AA1160:AB1160"/>
    <mergeCell ref="F1161:H1163"/>
    <mergeCell ref="I1161:J1161"/>
    <mergeCell ref="I1162:J1162"/>
    <mergeCell ref="I1163:J1163"/>
    <mergeCell ref="K1161:L1161"/>
    <mergeCell ref="K1162:L1162"/>
    <mergeCell ref="K1163:L1163"/>
    <mergeCell ref="V1158:W1158"/>
    <mergeCell ref="X1158:Z1159"/>
    <mergeCell ref="AA1158:AB1159"/>
    <mergeCell ref="M1159:O1159"/>
    <mergeCell ref="P1159:Q1159"/>
    <mergeCell ref="T1159:U1159"/>
    <mergeCell ref="V1159:W1159"/>
    <mergeCell ref="M1158:O1158"/>
    <mergeCell ref="P1158:Q1158"/>
    <mergeCell ref="R1158:S1158"/>
    <mergeCell ref="R1159:S1159"/>
    <mergeCell ref="R1160:S1160"/>
    <mergeCell ref="T1158:U1158"/>
    <mergeCell ref="M1160:O1160"/>
    <mergeCell ref="P1160:Q1160"/>
    <mergeCell ref="T1160:U1160"/>
    <mergeCell ref="R1168:S1168"/>
    <mergeCell ref="R1169:S1169"/>
    <mergeCell ref="R1170:S1170"/>
    <mergeCell ref="M1170:O1170"/>
    <mergeCell ref="P1170:Q1170"/>
    <mergeCell ref="AA1166:AB1166"/>
    <mergeCell ref="A1167:A1178"/>
    <mergeCell ref="B1167:D1178"/>
    <mergeCell ref="F1167:H1170"/>
    <mergeCell ref="I1167:J1167"/>
    <mergeCell ref="I1168:J1168"/>
    <mergeCell ref="I1169:J1169"/>
    <mergeCell ref="I1170:J1170"/>
    <mergeCell ref="K1167:L1167"/>
    <mergeCell ref="K1168:L1168"/>
    <mergeCell ref="M1166:O1166"/>
    <mergeCell ref="P1166:Q1166"/>
    <mergeCell ref="R1166:S1166"/>
    <mergeCell ref="T1166:U1166"/>
    <mergeCell ref="V1166:W1166"/>
    <mergeCell ref="X1166:Z1166"/>
    <mergeCell ref="R1164:S1164"/>
    <mergeCell ref="T1164:U1164"/>
    <mergeCell ref="V1164:W1164"/>
    <mergeCell ref="X1164:Z1165"/>
    <mergeCell ref="AA1164:AB1165"/>
    <mergeCell ref="M1165:O1165"/>
    <mergeCell ref="P1165:Q1165"/>
    <mergeCell ref="R1165:S1165"/>
    <mergeCell ref="T1165:U1165"/>
    <mergeCell ref="V1165:W1165"/>
    <mergeCell ref="AA1163:AB1163"/>
    <mergeCell ref="F1164:H1166"/>
    <mergeCell ref="I1164:J1164"/>
    <mergeCell ref="I1165:J1165"/>
    <mergeCell ref="I1166:J1166"/>
    <mergeCell ref="K1164:L1164"/>
    <mergeCell ref="K1165:L1165"/>
    <mergeCell ref="K1166:L1166"/>
    <mergeCell ref="M1164:O1164"/>
    <mergeCell ref="P1164:Q1164"/>
    <mergeCell ref="M1163:O1163"/>
    <mergeCell ref="P1163:Q1163"/>
    <mergeCell ref="R1163:S1163"/>
    <mergeCell ref="T1163:U1163"/>
    <mergeCell ref="V1163:W1163"/>
    <mergeCell ref="X1163:Z1163"/>
    <mergeCell ref="M1173:O1173"/>
    <mergeCell ref="P1173:Q1173"/>
    <mergeCell ref="T1173:U1173"/>
    <mergeCell ref="V1173:W1173"/>
    <mergeCell ref="M1174:O1174"/>
    <mergeCell ref="P1174:Q1174"/>
    <mergeCell ref="T1174:U1174"/>
    <mergeCell ref="V1174:W1174"/>
    <mergeCell ref="M1171:O1171"/>
    <mergeCell ref="P1171:Q1171"/>
    <mergeCell ref="T1171:U1171"/>
    <mergeCell ref="V1171:W1171"/>
    <mergeCell ref="X1171:Z1174"/>
    <mergeCell ref="AA1171:AB1174"/>
    <mergeCell ref="M1172:O1172"/>
    <mergeCell ref="P1172:Q1172"/>
    <mergeCell ref="T1172:U1172"/>
    <mergeCell ref="V1172:W1172"/>
    <mergeCell ref="F1171:H1174"/>
    <mergeCell ref="I1171:J1171"/>
    <mergeCell ref="I1172:J1172"/>
    <mergeCell ref="I1173:J1173"/>
    <mergeCell ref="I1174:J1174"/>
    <mergeCell ref="K1171:L1171"/>
    <mergeCell ref="K1172:L1172"/>
    <mergeCell ref="K1173:L1173"/>
    <mergeCell ref="K1174:L1174"/>
    <mergeCell ref="AC1177:AD1177"/>
    <mergeCell ref="AC1178:AD1178"/>
    <mergeCell ref="AF1167:AH1178"/>
    <mergeCell ref="AI1167:AI1178"/>
    <mergeCell ref="M1168:O1168"/>
    <mergeCell ref="P1168:Q1168"/>
    <mergeCell ref="T1168:U1168"/>
    <mergeCell ref="V1168:W1168"/>
    <mergeCell ref="M1169:O1169"/>
    <mergeCell ref="P1169:Q1169"/>
    <mergeCell ref="AC1171:AD1171"/>
    <mergeCell ref="AC1172:AD1172"/>
    <mergeCell ref="AC1173:AD1173"/>
    <mergeCell ref="AC1174:AD1174"/>
    <mergeCell ref="AC1175:AD1175"/>
    <mergeCell ref="AC1176:AD1176"/>
    <mergeCell ref="X1167:Z1170"/>
    <mergeCell ref="AA1167:AB1170"/>
    <mergeCell ref="AC1167:AD1167"/>
    <mergeCell ref="AC1168:AD1168"/>
    <mergeCell ref="AC1169:AD1169"/>
    <mergeCell ref="AC1170:AD1170"/>
    <mergeCell ref="R1171:S1171"/>
    <mergeCell ref="R1172:S1172"/>
    <mergeCell ref="R1173:S1173"/>
    <mergeCell ref="R1174:S1174"/>
    <mergeCell ref="T1167:U1167"/>
    <mergeCell ref="V1167:W1167"/>
    <mergeCell ref="T1169:U1169"/>
    <mergeCell ref="V1169:W1169"/>
    <mergeCell ref="T1170:U1170"/>
    <mergeCell ref="V1170:W1170"/>
    <mergeCell ref="K1169:L1169"/>
    <mergeCell ref="K1170:L1170"/>
    <mergeCell ref="M1167:O1167"/>
    <mergeCell ref="P1167:Q1167"/>
    <mergeCell ref="R1167:S1167"/>
    <mergeCell ref="I1183:J1183"/>
    <mergeCell ref="I1184:J1184"/>
    <mergeCell ref="T1177:U1177"/>
    <mergeCell ref="V1177:W1177"/>
    <mergeCell ref="M1178:O1178"/>
    <mergeCell ref="P1178:Q1178"/>
    <mergeCell ref="T1178:U1178"/>
    <mergeCell ref="V1178:W1178"/>
    <mergeCell ref="T1175:U1175"/>
    <mergeCell ref="V1175:W1175"/>
    <mergeCell ref="X1175:Z1178"/>
    <mergeCell ref="AA1175:AB1178"/>
    <mergeCell ref="M1176:O1176"/>
    <mergeCell ref="P1176:Q1176"/>
    <mergeCell ref="T1176:U1176"/>
    <mergeCell ref="V1176:W1176"/>
    <mergeCell ref="M1177:O1177"/>
    <mergeCell ref="P1177:Q1177"/>
    <mergeCell ref="M1175:O1175"/>
    <mergeCell ref="P1175:Q1175"/>
    <mergeCell ref="R1175:S1175"/>
    <mergeCell ref="R1176:S1176"/>
    <mergeCell ref="R1177:S1177"/>
    <mergeCell ref="R1178:S1178"/>
    <mergeCell ref="F1175:H1178"/>
    <mergeCell ref="I1175:J1175"/>
    <mergeCell ref="I1176:J1176"/>
    <mergeCell ref="I1177:J1177"/>
    <mergeCell ref="I1178:J1178"/>
    <mergeCell ref="K1175:L1175"/>
    <mergeCell ref="K1176:L1176"/>
    <mergeCell ref="K1177:L1177"/>
    <mergeCell ref="K1178:L1178"/>
    <mergeCell ref="T1184:U1184"/>
    <mergeCell ref="V1184:W1184"/>
    <mergeCell ref="A1185:A1190"/>
    <mergeCell ref="B1185:D1190"/>
    <mergeCell ref="F1185:H1187"/>
    <mergeCell ref="I1185:J1185"/>
    <mergeCell ref="I1186:J1186"/>
    <mergeCell ref="I1187:J1187"/>
    <mergeCell ref="K1185:L1185"/>
    <mergeCell ref="K1186:L1186"/>
    <mergeCell ref="T1182:U1182"/>
    <mergeCell ref="V1182:W1182"/>
    <mergeCell ref="X1182:Z1184"/>
    <mergeCell ref="AA1182:AB1184"/>
    <mergeCell ref="M1183:O1183"/>
    <mergeCell ref="P1183:Q1183"/>
    <mergeCell ref="T1183:U1183"/>
    <mergeCell ref="V1183:W1183"/>
    <mergeCell ref="M1184:O1184"/>
    <mergeCell ref="P1184:Q1184"/>
    <mergeCell ref="K1182:L1182"/>
    <mergeCell ref="K1183:L1183"/>
    <mergeCell ref="K1184:L1184"/>
    <mergeCell ref="M1182:O1182"/>
    <mergeCell ref="P1182:Q1182"/>
    <mergeCell ref="R1182:S1182"/>
    <mergeCell ref="R1183:S1183"/>
    <mergeCell ref="R1184:S1184"/>
    <mergeCell ref="AC1182:AD1182"/>
    <mergeCell ref="AC1183:AD1183"/>
    <mergeCell ref="AC1184:AD1184"/>
    <mergeCell ref="AF1179:AH1184"/>
    <mergeCell ref="AI1179:AI1218"/>
    <mergeCell ref="M1180:O1180"/>
    <mergeCell ref="P1180:Q1180"/>
    <mergeCell ref="T1180:U1180"/>
    <mergeCell ref="V1180:W1180"/>
    <mergeCell ref="M1181:O1181"/>
    <mergeCell ref="T1179:U1179"/>
    <mergeCell ref="V1179:W1179"/>
    <mergeCell ref="X1179:Z1181"/>
    <mergeCell ref="AA1179:AB1181"/>
    <mergeCell ref="AC1179:AD1179"/>
    <mergeCell ref="AC1180:AD1180"/>
    <mergeCell ref="AC1181:AD1181"/>
    <mergeCell ref="T1181:U1181"/>
    <mergeCell ref="V1181:W1181"/>
    <mergeCell ref="K1179:L1179"/>
    <mergeCell ref="K1180:L1180"/>
    <mergeCell ref="K1181:L1181"/>
    <mergeCell ref="M1179:O1179"/>
    <mergeCell ref="P1179:Q1179"/>
    <mergeCell ref="R1179:S1179"/>
    <mergeCell ref="R1180:S1180"/>
    <mergeCell ref="R1181:S1181"/>
    <mergeCell ref="P1181:Q1181"/>
    <mergeCell ref="A1179:A1184"/>
    <mergeCell ref="B1179:D1184"/>
    <mergeCell ref="F1179:H1181"/>
    <mergeCell ref="I1179:J1179"/>
    <mergeCell ref="I1180:J1180"/>
    <mergeCell ref="I1181:J1181"/>
    <mergeCell ref="F1182:H1184"/>
    <mergeCell ref="I1182:J1182"/>
    <mergeCell ref="P1188:Q1188"/>
    <mergeCell ref="R1188:S1188"/>
    <mergeCell ref="T1188:U1188"/>
    <mergeCell ref="V1188:W1188"/>
    <mergeCell ref="X1188:Z1190"/>
    <mergeCell ref="AA1188:AB1190"/>
    <mergeCell ref="P1189:Q1189"/>
    <mergeCell ref="R1189:S1189"/>
    <mergeCell ref="T1189:U1189"/>
    <mergeCell ref="V1189:W1189"/>
    <mergeCell ref="F1188:H1190"/>
    <mergeCell ref="I1188:J1188"/>
    <mergeCell ref="K1188:L1188"/>
    <mergeCell ref="K1189:L1189"/>
    <mergeCell ref="K1190:L1190"/>
    <mergeCell ref="M1188:O1188"/>
    <mergeCell ref="I1189:J1189"/>
    <mergeCell ref="M1189:O1189"/>
    <mergeCell ref="I1190:J1190"/>
    <mergeCell ref="M1190:O1190"/>
    <mergeCell ref="AC1188:AD1188"/>
    <mergeCell ref="AC1189:AD1189"/>
    <mergeCell ref="AC1190:AD1190"/>
    <mergeCell ref="AF1185:AH1190"/>
    <mergeCell ref="M1186:O1186"/>
    <mergeCell ref="P1186:Q1186"/>
    <mergeCell ref="T1186:U1186"/>
    <mergeCell ref="V1186:W1186"/>
    <mergeCell ref="M1187:O1187"/>
    <mergeCell ref="P1187:Q1187"/>
    <mergeCell ref="T1185:U1185"/>
    <mergeCell ref="V1185:W1185"/>
    <mergeCell ref="X1185:Z1187"/>
    <mergeCell ref="AA1185:AB1187"/>
    <mergeCell ref="AC1185:AD1185"/>
    <mergeCell ref="AC1186:AD1186"/>
    <mergeCell ref="AC1187:AD1187"/>
    <mergeCell ref="T1187:U1187"/>
    <mergeCell ref="V1187:W1187"/>
    <mergeCell ref="K1187:L1187"/>
    <mergeCell ref="M1185:O1185"/>
    <mergeCell ref="P1185:Q1185"/>
    <mergeCell ref="R1185:S1185"/>
    <mergeCell ref="R1186:S1186"/>
    <mergeCell ref="R1187:S1187"/>
    <mergeCell ref="AJ1191:AJ1192"/>
    <mergeCell ref="M1193:O1193"/>
    <mergeCell ref="V1193:W1193"/>
    <mergeCell ref="A1194:A1197"/>
    <mergeCell ref="B1194:D1197"/>
    <mergeCell ref="F1194:H1197"/>
    <mergeCell ref="I1194:J1194"/>
    <mergeCell ref="I1195:J1195"/>
    <mergeCell ref="I1196:J1196"/>
    <mergeCell ref="V1191:W1192"/>
    <mergeCell ref="X1191:Z1193"/>
    <mergeCell ref="AA1191:AB1193"/>
    <mergeCell ref="AC1191:AD1191"/>
    <mergeCell ref="AC1192:AD1192"/>
    <mergeCell ref="AC1193:AD1193"/>
    <mergeCell ref="R1191:S1191"/>
    <mergeCell ref="R1192:S1192"/>
    <mergeCell ref="R1193:S1193"/>
    <mergeCell ref="T1191:U1191"/>
    <mergeCell ref="T1192:U1192"/>
    <mergeCell ref="T1193:U1193"/>
    <mergeCell ref="I1193:J1193"/>
    <mergeCell ref="K1191:L1191"/>
    <mergeCell ref="K1192:L1192"/>
    <mergeCell ref="K1193:L1193"/>
    <mergeCell ref="M1191:O1192"/>
    <mergeCell ref="P1191:Q1191"/>
    <mergeCell ref="P1192:Q1192"/>
    <mergeCell ref="P1193:Q1193"/>
    <mergeCell ref="P1190:Q1190"/>
    <mergeCell ref="R1190:S1190"/>
    <mergeCell ref="T1190:U1190"/>
    <mergeCell ref="V1190:W1190"/>
    <mergeCell ref="A1191:A1193"/>
    <mergeCell ref="B1191:D1193"/>
    <mergeCell ref="E1191:E1192"/>
    <mergeCell ref="F1191:H1193"/>
    <mergeCell ref="I1191:J1191"/>
    <mergeCell ref="I1192:J1192"/>
    <mergeCell ref="AF1194:AH1197"/>
    <mergeCell ref="M1195:O1195"/>
    <mergeCell ref="P1195:Q1195"/>
    <mergeCell ref="T1195:U1195"/>
    <mergeCell ref="V1195:W1195"/>
    <mergeCell ref="M1196:O1196"/>
    <mergeCell ref="P1196:Q1196"/>
    <mergeCell ref="T1196:U1196"/>
    <mergeCell ref="V1196:W1196"/>
    <mergeCell ref="M1197:O1197"/>
    <mergeCell ref="V1194:W1194"/>
    <mergeCell ref="X1194:Z1197"/>
    <mergeCell ref="AA1194:AB1197"/>
    <mergeCell ref="AC1194:AD1194"/>
    <mergeCell ref="AC1195:AD1195"/>
    <mergeCell ref="AC1196:AD1196"/>
    <mergeCell ref="AC1197:AD1197"/>
    <mergeCell ref="V1197:W1197"/>
    <mergeCell ref="P1194:Q1194"/>
    <mergeCell ref="R1194:S1194"/>
    <mergeCell ref="R1195:S1195"/>
    <mergeCell ref="R1196:S1196"/>
    <mergeCell ref="R1197:S1197"/>
    <mergeCell ref="T1194:U1194"/>
    <mergeCell ref="P1197:Q1197"/>
    <mergeCell ref="T1197:U1197"/>
    <mergeCell ref="I1197:J1197"/>
    <mergeCell ref="K1194:L1194"/>
    <mergeCell ref="K1195:L1195"/>
    <mergeCell ref="K1196:L1196"/>
    <mergeCell ref="K1197:L1197"/>
    <mergeCell ref="M1194:O1194"/>
    <mergeCell ref="AF1191:AH1193"/>
    <mergeCell ref="AC1207:AD1207"/>
    <mergeCell ref="AC1208:AD1208"/>
    <mergeCell ref="AC1209:AD1209"/>
    <mergeCell ref="AF1198:AH1209"/>
    <mergeCell ref="M1199:O1199"/>
    <mergeCell ref="P1199:Q1199"/>
    <mergeCell ref="T1199:U1199"/>
    <mergeCell ref="V1199:W1199"/>
    <mergeCell ref="M1200:O1200"/>
    <mergeCell ref="P1200:Q1200"/>
    <mergeCell ref="AC1201:AD1201"/>
    <mergeCell ref="AC1202:AD1202"/>
    <mergeCell ref="AC1203:AD1203"/>
    <mergeCell ref="AC1204:AD1204"/>
    <mergeCell ref="AC1205:AD1205"/>
    <mergeCell ref="AC1206:AD1206"/>
    <mergeCell ref="T1198:U1198"/>
    <mergeCell ref="V1198:W1198"/>
    <mergeCell ref="X1198:Z1200"/>
    <mergeCell ref="AA1198:AB1200"/>
    <mergeCell ref="AC1198:AD1198"/>
    <mergeCell ref="AC1199:AD1199"/>
    <mergeCell ref="AC1200:AD1200"/>
    <mergeCell ref="T1200:U1200"/>
    <mergeCell ref="V1200:W1200"/>
    <mergeCell ref="K1198:L1198"/>
    <mergeCell ref="K1199:L1199"/>
    <mergeCell ref="K1200:L1200"/>
    <mergeCell ref="M1198:O1198"/>
    <mergeCell ref="P1198:Q1198"/>
    <mergeCell ref="R1198:S1198"/>
    <mergeCell ref="R1199:S1199"/>
    <mergeCell ref="R1200:S1200"/>
    <mergeCell ref="X1204:Z1206"/>
    <mergeCell ref="AA1204:AB1206"/>
    <mergeCell ref="M1205:O1205"/>
    <mergeCell ref="P1205:Q1205"/>
    <mergeCell ref="T1205:U1205"/>
    <mergeCell ref="V1205:W1205"/>
    <mergeCell ref="M1206:O1206"/>
    <mergeCell ref="P1206:Q1206"/>
    <mergeCell ref="T1206:U1206"/>
    <mergeCell ref="V1206:W1206"/>
    <mergeCell ref="P1204:Q1204"/>
    <mergeCell ref="R1204:S1204"/>
    <mergeCell ref="R1205:S1205"/>
    <mergeCell ref="R1206:S1206"/>
    <mergeCell ref="T1204:U1204"/>
    <mergeCell ref="V1204:W1204"/>
    <mergeCell ref="T1203:U1203"/>
    <mergeCell ref="V1203:W1203"/>
    <mergeCell ref="F1204:H1206"/>
    <mergeCell ref="I1204:J1204"/>
    <mergeCell ref="I1205:J1205"/>
    <mergeCell ref="I1206:J1206"/>
    <mergeCell ref="K1204:L1204"/>
    <mergeCell ref="K1205:L1205"/>
    <mergeCell ref="K1206:L1206"/>
    <mergeCell ref="M1204:O1204"/>
    <mergeCell ref="T1201:U1201"/>
    <mergeCell ref="V1201:W1201"/>
    <mergeCell ref="X1201:Z1203"/>
    <mergeCell ref="AA1201:AB1203"/>
    <mergeCell ref="M1202:O1202"/>
    <mergeCell ref="P1202:Q1202"/>
    <mergeCell ref="T1202:U1202"/>
    <mergeCell ref="V1202:W1202"/>
    <mergeCell ref="M1203:O1203"/>
    <mergeCell ref="P1203:Q1203"/>
    <mergeCell ref="K1201:L1201"/>
    <mergeCell ref="K1202:L1202"/>
    <mergeCell ref="K1203:L1203"/>
    <mergeCell ref="M1201:O1201"/>
    <mergeCell ref="P1201:Q1201"/>
    <mergeCell ref="R1201:S1201"/>
    <mergeCell ref="R1202:S1202"/>
    <mergeCell ref="R1203:S1203"/>
    <mergeCell ref="F1201:H1203"/>
    <mergeCell ref="I1201:J1201"/>
    <mergeCell ref="I1202:J1202"/>
    <mergeCell ref="I1203:J1203"/>
    <mergeCell ref="K1210:L1210"/>
    <mergeCell ref="K1211:L1211"/>
    <mergeCell ref="K1212:L1212"/>
    <mergeCell ref="K1213:L1213"/>
    <mergeCell ref="K1214:L1214"/>
    <mergeCell ref="K1215:L1215"/>
    <mergeCell ref="V1209:W1209"/>
    <mergeCell ref="A1210:A1215"/>
    <mergeCell ref="B1210:D1215"/>
    <mergeCell ref="F1210:H1215"/>
    <mergeCell ref="I1210:J1210"/>
    <mergeCell ref="I1211:J1211"/>
    <mergeCell ref="I1212:J1212"/>
    <mergeCell ref="I1213:J1213"/>
    <mergeCell ref="I1214:J1214"/>
    <mergeCell ref="I1215:J1215"/>
    <mergeCell ref="V1207:W1207"/>
    <mergeCell ref="X1207:Z1209"/>
    <mergeCell ref="AA1207:AB1209"/>
    <mergeCell ref="M1208:O1208"/>
    <mergeCell ref="P1208:Q1208"/>
    <mergeCell ref="T1208:U1208"/>
    <mergeCell ref="V1208:W1208"/>
    <mergeCell ref="M1209:O1209"/>
    <mergeCell ref="P1209:Q1209"/>
    <mergeCell ref="T1209:U1209"/>
    <mergeCell ref="M1207:O1207"/>
    <mergeCell ref="P1207:Q1207"/>
    <mergeCell ref="R1207:S1207"/>
    <mergeCell ref="R1208:S1208"/>
    <mergeCell ref="R1209:S1209"/>
    <mergeCell ref="T1207:U1207"/>
    <mergeCell ref="F1207:H1209"/>
    <mergeCell ref="I1207:J1207"/>
    <mergeCell ref="I1208:J1208"/>
    <mergeCell ref="I1209:J1209"/>
    <mergeCell ref="K1207:L1207"/>
    <mergeCell ref="K1208:L1208"/>
    <mergeCell ref="K1209:L1209"/>
    <mergeCell ref="A1198:A1209"/>
    <mergeCell ref="B1198:D1209"/>
    <mergeCell ref="F1198:H1200"/>
    <mergeCell ref="I1198:J1198"/>
    <mergeCell ref="I1199:J1199"/>
    <mergeCell ref="I1200:J1200"/>
    <mergeCell ref="M1214:O1214"/>
    <mergeCell ref="P1214:Q1214"/>
    <mergeCell ref="T1214:U1214"/>
    <mergeCell ref="V1214:W1214"/>
    <mergeCell ref="M1215:O1215"/>
    <mergeCell ref="P1215:Q1215"/>
    <mergeCell ref="T1215:U1215"/>
    <mergeCell ref="V1215:W1215"/>
    <mergeCell ref="AF1210:AH1215"/>
    <mergeCell ref="M1211:O1211"/>
    <mergeCell ref="P1211:Q1211"/>
    <mergeCell ref="T1211:U1211"/>
    <mergeCell ref="V1211:W1211"/>
    <mergeCell ref="M1212:O1212"/>
    <mergeCell ref="P1212:Q1212"/>
    <mergeCell ref="T1212:U1212"/>
    <mergeCell ref="V1212:W1212"/>
    <mergeCell ref="M1213:O1213"/>
    <mergeCell ref="AC1210:AD1210"/>
    <mergeCell ref="AC1211:AD1211"/>
    <mergeCell ref="AC1212:AD1212"/>
    <mergeCell ref="AC1213:AD1213"/>
    <mergeCell ref="AC1214:AD1214"/>
    <mergeCell ref="AC1215:AD1215"/>
    <mergeCell ref="R1214:S1214"/>
    <mergeCell ref="R1215:S1215"/>
    <mergeCell ref="T1210:U1210"/>
    <mergeCell ref="V1210:W1210"/>
    <mergeCell ref="X1210:Z1215"/>
    <mergeCell ref="AA1210:AB1215"/>
    <mergeCell ref="T1213:U1213"/>
    <mergeCell ref="V1213:W1213"/>
    <mergeCell ref="M1210:O1210"/>
    <mergeCell ref="P1210:Q1210"/>
    <mergeCell ref="R1210:S1210"/>
    <mergeCell ref="R1211:S1211"/>
    <mergeCell ref="R1212:S1212"/>
    <mergeCell ref="R1213:S1213"/>
    <mergeCell ref="P1213:Q1213"/>
    <mergeCell ref="V1219:W1219"/>
    <mergeCell ref="Y1219:AC1219"/>
    <mergeCell ref="AF1219:AG1219"/>
    <mergeCell ref="A1220:A1222"/>
    <mergeCell ref="B1220:D1222"/>
    <mergeCell ref="F1220:H1222"/>
    <mergeCell ref="I1220:J1220"/>
    <mergeCell ref="I1221:J1221"/>
    <mergeCell ref="I1222:J1222"/>
    <mergeCell ref="K1220:L1220"/>
    <mergeCell ref="I1219:J1219"/>
    <mergeCell ref="K1219:L1219"/>
    <mergeCell ref="M1219:O1219"/>
    <mergeCell ref="P1219:Q1219"/>
    <mergeCell ref="R1219:S1219"/>
    <mergeCell ref="T1219:U1219"/>
    <mergeCell ref="AF1216:AH1218"/>
    <mergeCell ref="M1217:O1217"/>
    <mergeCell ref="P1217:Q1217"/>
    <mergeCell ref="T1217:U1217"/>
    <mergeCell ref="V1217:W1217"/>
    <mergeCell ref="M1218:O1218"/>
    <mergeCell ref="P1218:Q1218"/>
    <mergeCell ref="T1218:U1218"/>
    <mergeCell ref="V1218:W1218"/>
    <mergeCell ref="T1216:U1216"/>
    <mergeCell ref="V1216:W1216"/>
    <mergeCell ref="X1216:Z1218"/>
    <mergeCell ref="AA1216:AB1218"/>
    <mergeCell ref="AC1216:AD1216"/>
    <mergeCell ref="AC1217:AD1217"/>
    <mergeCell ref="AC1218:AD1218"/>
    <mergeCell ref="K1216:L1216"/>
    <mergeCell ref="K1217:L1217"/>
    <mergeCell ref="K1218:L1218"/>
    <mergeCell ref="M1216:O1216"/>
    <mergeCell ref="P1216:Q1216"/>
    <mergeCell ref="R1216:S1216"/>
    <mergeCell ref="R1217:S1217"/>
    <mergeCell ref="R1218:S1218"/>
    <mergeCell ref="A1216:A1218"/>
    <mergeCell ref="B1216:D1218"/>
    <mergeCell ref="F1216:H1218"/>
    <mergeCell ref="I1216:J1216"/>
    <mergeCell ref="I1217:J1217"/>
    <mergeCell ref="I1218:J1218"/>
    <mergeCell ref="A1223:A1231"/>
    <mergeCell ref="B1223:D1231"/>
    <mergeCell ref="F1223:H1231"/>
    <mergeCell ref="I1223:J1223"/>
    <mergeCell ref="I1224:J1224"/>
    <mergeCell ref="I1225:J1225"/>
    <mergeCell ref="I1226:J1226"/>
    <mergeCell ref="I1227:J1227"/>
    <mergeCell ref="I1228:J1228"/>
    <mergeCell ref="I1229:J1229"/>
    <mergeCell ref="AI1220:AI1302"/>
    <mergeCell ref="M1221:O1221"/>
    <mergeCell ref="P1221:Q1221"/>
    <mergeCell ref="T1221:U1221"/>
    <mergeCell ref="V1221:W1221"/>
    <mergeCell ref="M1222:O1222"/>
    <mergeCell ref="P1222:Q1222"/>
    <mergeCell ref="T1222:U1222"/>
    <mergeCell ref="V1222:W1222"/>
    <mergeCell ref="R1230:S1230"/>
    <mergeCell ref="T1220:U1220"/>
    <mergeCell ref="V1220:W1220"/>
    <mergeCell ref="X1220:Z1222"/>
    <mergeCell ref="AA1220:AB1222"/>
    <mergeCell ref="AC1220:AD1222"/>
    <mergeCell ref="AF1220:AH1222"/>
    <mergeCell ref="K1221:L1221"/>
    <mergeCell ref="K1222:L1222"/>
    <mergeCell ref="M1220:O1220"/>
    <mergeCell ref="P1220:Q1220"/>
    <mergeCell ref="R1220:S1220"/>
    <mergeCell ref="R1221:S1221"/>
    <mergeCell ref="R1222:S1222"/>
    <mergeCell ref="AF1223:AH1223"/>
    <mergeCell ref="AF1224:AH1224"/>
    <mergeCell ref="AF1225:AH1225"/>
    <mergeCell ref="AF1226:AH1226"/>
    <mergeCell ref="AF1227:AH1227"/>
    <mergeCell ref="AF1228:AH1228"/>
    <mergeCell ref="R1231:S1231"/>
    <mergeCell ref="T1223:U1223"/>
    <mergeCell ref="V1223:W1223"/>
    <mergeCell ref="X1223:Z1231"/>
    <mergeCell ref="AA1223:AB1231"/>
    <mergeCell ref="AC1223:AD1223"/>
    <mergeCell ref="AC1224:AD1224"/>
    <mergeCell ref="AC1225:AD1225"/>
    <mergeCell ref="AC1226:AD1226"/>
    <mergeCell ref="AC1227:AD1227"/>
    <mergeCell ref="K1231:L1231"/>
    <mergeCell ref="M1223:O1223"/>
    <mergeCell ref="P1223:Q1223"/>
    <mergeCell ref="R1223:S1223"/>
    <mergeCell ref="R1224:S1224"/>
    <mergeCell ref="R1225:S1225"/>
    <mergeCell ref="R1226:S1226"/>
    <mergeCell ref="R1227:S1227"/>
    <mergeCell ref="R1228:S1228"/>
    <mergeCell ref="R1229:S1229"/>
    <mergeCell ref="I1230:J1230"/>
    <mergeCell ref="I1231:J1231"/>
    <mergeCell ref="K1223:L1223"/>
    <mergeCell ref="K1224:L1224"/>
    <mergeCell ref="K1225:L1225"/>
    <mergeCell ref="K1226:L1226"/>
    <mergeCell ref="K1227:L1227"/>
    <mergeCell ref="K1228:L1228"/>
    <mergeCell ref="K1229:L1229"/>
    <mergeCell ref="K1230:L1230"/>
    <mergeCell ref="M1230:O1230"/>
    <mergeCell ref="P1230:Q1230"/>
    <mergeCell ref="T1230:U1230"/>
    <mergeCell ref="V1230:W1230"/>
    <mergeCell ref="M1231:O1231"/>
    <mergeCell ref="P1231:Q1231"/>
    <mergeCell ref="T1231:U1231"/>
    <mergeCell ref="V1231:W1231"/>
    <mergeCell ref="M1228:O1228"/>
    <mergeCell ref="P1228:Q1228"/>
    <mergeCell ref="T1228:U1228"/>
    <mergeCell ref="V1228:W1228"/>
    <mergeCell ref="M1229:O1229"/>
    <mergeCell ref="P1229:Q1229"/>
    <mergeCell ref="T1229:U1229"/>
    <mergeCell ref="V1229:W1229"/>
    <mergeCell ref="V1225:W1225"/>
    <mergeCell ref="M1226:O1226"/>
    <mergeCell ref="P1226:Q1226"/>
    <mergeCell ref="T1226:U1226"/>
    <mergeCell ref="V1226:W1226"/>
    <mergeCell ref="M1227:O1227"/>
    <mergeCell ref="P1227:Q1227"/>
    <mergeCell ref="T1227:U1227"/>
    <mergeCell ref="V1227:W1227"/>
    <mergeCell ref="AF1229:AH1229"/>
    <mergeCell ref="AF1230:AH1230"/>
    <mergeCell ref="AF1231:AH1231"/>
    <mergeCell ref="M1224:O1224"/>
    <mergeCell ref="P1224:Q1224"/>
    <mergeCell ref="T1224:U1224"/>
    <mergeCell ref="V1224:W1224"/>
    <mergeCell ref="M1225:O1225"/>
    <mergeCell ref="P1225:Q1225"/>
    <mergeCell ref="T1225:U1225"/>
    <mergeCell ref="AC1228:AD1228"/>
    <mergeCell ref="AC1229:AD1229"/>
    <mergeCell ref="AC1230:AD1230"/>
    <mergeCell ref="AC1231:AD1231"/>
    <mergeCell ref="AA1235:AB1235"/>
    <mergeCell ref="K1236:L1236"/>
    <mergeCell ref="M1236:O1236"/>
    <mergeCell ref="P1236:Q1236"/>
    <mergeCell ref="T1236:U1236"/>
    <mergeCell ref="V1236:W1236"/>
    <mergeCell ref="X1236:Z1236"/>
    <mergeCell ref="AA1236:AB1236"/>
    <mergeCell ref="P1235:Q1235"/>
    <mergeCell ref="R1235:S1235"/>
    <mergeCell ref="R1236:S1236"/>
    <mergeCell ref="T1235:U1235"/>
    <mergeCell ref="V1235:W1235"/>
    <mergeCell ref="X1235:Z1235"/>
    <mergeCell ref="T1234:U1234"/>
    <mergeCell ref="V1234:W1234"/>
    <mergeCell ref="X1234:Z1234"/>
    <mergeCell ref="AA1234:AB1234"/>
    <mergeCell ref="F1235:H1237"/>
    <mergeCell ref="I1235:J1235"/>
    <mergeCell ref="I1236:J1236"/>
    <mergeCell ref="I1237:J1237"/>
    <mergeCell ref="K1235:L1235"/>
    <mergeCell ref="M1235:O1235"/>
    <mergeCell ref="AC1234:AD1234"/>
    <mergeCell ref="AC1235:AD1235"/>
    <mergeCell ref="AC1236:AD1236"/>
    <mergeCell ref="AC1237:AD1237"/>
    <mergeCell ref="AF1232:AH1237"/>
    <mergeCell ref="K1233:L1233"/>
    <mergeCell ref="M1233:O1233"/>
    <mergeCell ref="P1233:Q1233"/>
    <mergeCell ref="T1233:U1233"/>
    <mergeCell ref="V1233:W1233"/>
    <mergeCell ref="T1232:U1232"/>
    <mergeCell ref="V1232:W1232"/>
    <mergeCell ref="X1232:Z1232"/>
    <mergeCell ref="AA1232:AB1232"/>
    <mergeCell ref="AC1232:AD1232"/>
    <mergeCell ref="AC1233:AD1233"/>
    <mergeCell ref="X1233:Z1233"/>
    <mergeCell ref="AA1233:AB1233"/>
    <mergeCell ref="K1232:L1232"/>
    <mergeCell ref="M1232:O1232"/>
    <mergeCell ref="P1232:Q1232"/>
    <mergeCell ref="R1232:S1232"/>
    <mergeCell ref="R1233:S1233"/>
    <mergeCell ref="R1234:S1234"/>
    <mergeCell ref="K1234:L1234"/>
    <mergeCell ref="M1234:O1234"/>
    <mergeCell ref="P1234:Q1234"/>
    <mergeCell ref="F1232:H1234"/>
    <mergeCell ref="I1232:J1232"/>
    <mergeCell ref="I1233:J1233"/>
    <mergeCell ref="I1234:J1234"/>
    <mergeCell ref="AA1238:AB1238"/>
    <mergeCell ref="AC1238:AE1238"/>
    <mergeCell ref="AF1238:AH1238"/>
    <mergeCell ref="AF1239:AH1239"/>
    <mergeCell ref="AF1240:AH1240"/>
    <mergeCell ref="AF1241:AH1241"/>
    <mergeCell ref="M1238:O1238"/>
    <mergeCell ref="P1238:Q1238"/>
    <mergeCell ref="R1238:S1238"/>
    <mergeCell ref="T1238:U1238"/>
    <mergeCell ref="V1238:W1238"/>
    <mergeCell ref="X1238:Z1238"/>
    <mergeCell ref="B1251:D1251"/>
    <mergeCell ref="B1252:D1252"/>
    <mergeCell ref="B1253:D1253"/>
    <mergeCell ref="F1238:H1238"/>
    <mergeCell ref="I1238:J1238"/>
    <mergeCell ref="K1238:L1238"/>
    <mergeCell ref="F1239:H1243"/>
    <mergeCell ref="I1239:J1239"/>
    <mergeCell ref="I1240:J1240"/>
    <mergeCell ref="I1241:J1241"/>
    <mergeCell ref="B1245:D1245"/>
    <mergeCell ref="B1246:D1246"/>
    <mergeCell ref="B1247:D1247"/>
    <mergeCell ref="B1248:D1248"/>
    <mergeCell ref="B1249:D1249"/>
    <mergeCell ref="B1250:D1250"/>
    <mergeCell ref="X1237:Z1237"/>
    <mergeCell ref="AA1237:AB1237"/>
    <mergeCell ref="A1238:A1253"/>
    <mergeCell ref="B1238:D1238"/>
    <mergeCell ref="B1239:D1239"/>
    <mergeCell ref="B1240:D1240"/>
    <mergeCell ref="B1241:D1241"/>
    <mergeCell ref="B1242:D1242"/>
    <mergeCell ref="B1243:D1243"/>
    <mergeCell ref="B1244:D1244"/>
    <mergeCell ref="K1237:L1237"/>
    <mergeCell ref="M1237:O1237"/>
    <mergeCell ref="P1237:Q1237"/>
    <mergeCell ref="R1237:S1237"/>
    <mergeCell ref="T1237:U1237"/>
    <mergeCell ref="V1237:W1237"/>
    <mergeCell ref="A1232:A1237"/>
    <mergeCell ref="B1232:D1237"/>
    <mergeCell ref="T1239:U1239"/>
    <mergeCell ref="V1239:W1239"/>
    <mergeCell ref="X1239:Z1243"/>
    <mergeCell ref="AA1239:AB1243"/>
    <mergeCell ref="AC1239:AD1239"/>
    <mergeCell ref="AC1240:AD1240"/>
    <mergeCell ref="AC1241:AD1241"/>
    <mergeCell ref="AC1242:AD1242"/>
    <mergeCell ref="AC1243:AD1243"/>
    <mergeCell ref="M1239:O1239"/>
    <mergeCell ref="P1239:Q1239"/>
    <mergeCell ref="R1239:S1239"/>
    <mergeCell ref="R1240:S1240"/>
    <mergeCell ref="R1241:S1241"/>
    <mergeCell ref="R1242:S1242"/>
    <mergeCell ref="I1242:J1242"/>
    <mergeCell ref="I1243:J1243"/>
    <mergeCell ref="K1239:L1239"/>
    <mergeCell ref="K1240:L1240"/>
    <mergeCell ref="K1241:L1241"/>
    <mergeCell ref="K1242:L1242"/>
    <mergeCell ref="K1243:L1243"/>
    <mergeCell ref="AF1248:AH1248"/>
    <mergeCell ref="AF1249:AH1249"/>
    <mergeCell ref="AF1250:AH1250"/>
    <mergeCell ref="AF1251:AH1251"/>
    <mergeCell ref="AF1252:AH1252"/>
    <mergeCell ref="AF1253:AH1253"/>
    <mergeCell ref="AF1242:AH1242"/>
    <mergeCell ref="AF1243:AH1243"/>
    <mergeCell ref="AF1244:AH1244"/>
    <mergeCell ref="AF1245:AH1245"/>
    <mergeCell ref="AF1246:AH1246"/>
    <mergeCell ref="AF1247:AH1247"/>
    <mergeCell ref="M1243:O1243"/>
    <mergeCell ref="P1243:Q1243"/>
    <mergeCell ref="T1243:U1243"/>
    <mergeCell ref="V1243:W1243"/>
    <mergeCell ref="F1244:H1248"/>
    <mergeCell ref="I1244:J1244"/>
    <mergeCell ref="I1245:J1245"/>
    <mergeCell ref="I1246:J1246"/>
    <mergeCell ref="I1247:J1247"/>
    <mergeCell ref="I1248:J1248"/>
    <mergeCell ref="T1241:U1241"/>
    <mergeCell ref="V1241:W1241"/>
    <mergeCell ref="M1242:O1242"/>
    <mergeCell ref="P1242:Q1242"/>
    <mergeCell ref="T1242:U1242"/>
    <mergeCell ref="V1242:W1242"/>
    <mergeCell ref="AC1250:AD1250"/>
    <mergeCell ref="AC1251:AD1251"/>
    <mergeCell ref="AC1252:AD1252"/>
    <mergeCell ref="AC1253:AD1253"/>
    <mergeCell ref="M1240:O1240"/>
    <mergeCell ref="P1240:Q1240"/>
    <mergeCell ref="T1240:U1240"/>
    <mergeCell ref="V1240:W1240"/>
    <mergeCell ref="M1241:O1241"/>
    <mergeCell ref="P1241:Q1241"/>
    <mergeCell ref="AC1244:AD1244"/>
    <mergeCell ref="AC1245:AD1245"/>
    <mergeCell ref="AC1246:AD1246"/>
    <mergeCell ref="AC1247:AD1247"/>
    <mergeCell ref="AC1248:AD1248"/>
    <mergeCell ref="AC1249:AD1249"/>
    <mergeCell ref="R1243:S1243"/>
    <mergeCell ref="T1248:U1248"/>
    <mergeCell ref="V1248:W1248"/>
    <mergeCell ref="F1249:H1253"/>
    <mergeCell ref="I1249:J1249"/>
    <mergeCell ref="I1250:J1250"/>
    <mergeCell ref="I1251:J1251"/>
    <mergeCell ref="I1252:J1252"/>
    <mergeCell ref="I1253:J1253"/>
    <mergeCell ref="K1249:L1249"/>
    <mergeCell ref="K1250:L1250"/>
    <mergeCell ref="T1246:U1246"/>
    <mergeCell ref="V1246:W1246"/>
    <mergeCell ref="M1247:O1247"/>
    <mergeCell ref="P1247:Q1247"/>
    <mergeCell ref="T1247:U1247"/>
    <mergeCell ref="V1247:W1247"/>
    <mergeCell ref="T1244:U1244"/>
    <mergeCell ref="V1244:W1244"/>
    <mergeCell ref="X1244:Z1248"/>
    <mergeCell ref="AA1244:AB1248"/>
    <mergeCell ref="M1245:O1245"/>
    <mergeCell ref="P1245:Q1245"/>
    <mergeCell ref="T1245:U1245"/>
    <mergeCell ref="V1245:W1245"/>
    <mergeCell ref="M1246:O1246"/>
    <mergeCell ref="P1246:Q1246"/>
    <mergeCell ref="P1244:Q1244"/>
    <mergeCell ref="R1244:S1244"/>
    <mergeCell ref="R1245:S1245"/>
    <mergeCell ref="R1246:S1246"/>
    <mergeCell ref="R1247:S1247"/>
    <mergeCell ref="R1248:S1248"/>
    <mergeCell ref="P1248:Q1248"/>
    <mergeCell ref="K1244:L1244"/>
    <mergeCell ref="K1245:L1245"/>
    <mergeCell ref="K1246:L1246"/>
    <mergeCell ref="K1247:L1247"/>
    <mergeCell ref="K1248:L1248"/>
    <mergeCell ref="M1244:O1244"/>
    <mergeCell ref="M1248:O1248"/>
    <mergeCell ref="K1254:L1254"/>
    <mergeCell ref="K1255:L1255"/>
    <mergeCell ref="K1256:L1256"/>
    <mergeCell ref="M1254:O1254"/>
    <mergeCell ref="P1254:Q1254"/>
    <mergeCell ref="P1255:Q1255"/>
    <mergeCell ref="P1256:Q1256"/>
    <mergeCell ref="M1253:O1253"/>
    <mergeCell ref="P1253:Q1253"/>
    <mergeCell ref="T1253:U1253"/>
    <mergeCell ref="V1253:W1253"/>
    <mergeCell ref="A1254:A1271"/>
    <mergeCell ref="B1254:D1271"/>
    <mergeCell ref="F1254:H1256"/>
    <mergeCell ref="I1254:J1254"/>
    <mergeCell ref="I1255:J1255"/>
    <mergeCell ref="I1256:J1256"/>
    <mergeCell ref="T1251:U1251"/>
    <mergeCell ref="V1251:W1251"/>
    <mergeCell ref="M1252:O1252"/>
    <mergeCell ref="P1252:Q1252"/>
    <mergeCell ref="T1252:U1252"/>
    <mergeCell ref="V1252:W1252"/>
    <mergeCell ref="T1249:U1249"/>
    <mergeCell ref="V1249:W1249"/>
    <mergeCell ref="X1249:Z1253"/>
    <mergeCell ref="AA1249:AB1253"/>
    <mergeCell ref="M1250:O1250"/>
    <mergeCell ref="P1250:Q1250"/>
    <mergeCell ref="T1250:U1250"/>
    <mergeCell ref="V1250:W1250"/>
    <mergeCell ref="M1251:O1251"/>
    <mergeCell ref="P1251:Q1251"/>
    <mergeCell ref="K1251:L1251"/>
    <mergeCell ref="K1252:L1252"/>
    <mergeCell ref="K1253:L1253"/>
    <mergeCell ref="M1249:O1249"/>
    <mergeCell ref="P1249:Q1249"/>
    <mergeCell ref="R1249:S1249"/>
    <mergeCell ref="R1250:S1250"/>
    <mergeCell ref="R1251:S1251"/>
    <mergeCell ref="R1252:S1252"/>
    <mergeCell ref="R1253:S1253"/>
    <mergeCell ref="AC1269:AD1269"/>
    <mergeCell ref="AC1270:AD1270"/>
    <mergeCell ref="AC1271:AD1271"/>
    <mergeCell ref="AF1254:AH1271"/>
    <mergeCell ref="M1255:O1255"/>
    <mergeCell ref="V1255:W1255"/>
    <mergeCell ref="M1256:O1256"/>
    <mergeCell ref="V1256:W1256"/>
    <mergeCell ref="M1257:O1257"/>
    <mergeCell ref="P1257:Q1257"/>
    <mergeCell ref="AC1263:AD1263"/>
    <mergeCell ref="AC1264:AD1264"/>
    <mergeCell ref="AC1265:AD1265"/>
    <mergeCell ref="AC1266:AD1266"/>
    <mergeCell ref="AC1267:AD1267"/>
    <mergeCell ref="AC1268:AD1268"/>
    <mergeCell ref="AC1257:AD1257"/>
    <mergeCell ref="AC1258:AD1258"/>
    <mergeCell ref="AC1259:AD1259"/>
    <mergeCell ref="AC1260:AD1260"/>
    <mergeCell ref="AC1261:AD1261"/>
    <mergeCell ref="AC1262:AD1262"/>
    <mergeCell ref="V1254:W1254"/>
    <mergeCell ref="X1254:Z1256"/>
    <mergeCell ref="AA1254:AB1256"/>
    <mergeCell ref="AC1254:AD1254"/>
    <mergeCell ref="AC1255:AD1255"/>
    <mergeCell ref="AC1256:AD1256"/>
    <mergeCell ref="R1254:S1254"/>
    <mergeCell ref="R1255:S1255"/>
    <mergeCell ref="R1256:S1256"/>
    <mergeCell ref="T1254:U1254"/>
    <mergeCell ref="T1255:U1255"/>
    <mergeCell ref="T1256:U1256"/>
    <mergeCell ref="T1260:U1260"/>
    <mergeCell ref="T1261:U1261"/>
    <mergeCell ref="T1262:U1262"/>
    <mergeCell ref="V1260:W1260"/>
    <mergeCell ref="X1260:Z1262"/>
    <mergeCell ref="AA1260:AB1262"/>
    <mergeCell ref="V1261:W1261"/>
    <mergeCell ref="V1262:W1262"/>
    <mergeCell ref="M1260:O1260"/>
    <mergeCell ref="P1260:Q1260"/>
    <mergeCell ref="P1261:Q1261"/>
    <mergeCell ref="P1262:Q1262"/>
    <mergeCell ref="R1260:S1260"/>
    <mergeCell ref="R1261:S1261"/>
    <mergeCell ref="R1262:S1262"/>
    <mergeCell ref="M1261:O1261"/>
    <mergeCell ref="M1262:O1262"/>
    <mergeCell ref="F1260:H1262"/>
    <mergeCell ref="I1260:J1260"/>
    <mergeCell ref="I1261:J1261"/>
    <mergeCell ref="I1262:J1262"/>
    <mergeCell ref="K1260:L1260"/>
    <mergeCell ref="K1261:L1261"/>
    <mergeCell ref="K1262:L1262"/>
    <mergeCell ref="V1257:W1257"/>
    <mergeCell ref="X1257:Z1259"/>
    <mergeCell ref="AA1257:AB1259"/>
    <mergeCell ref="M1258:O1258"/>
    <mergeCell ref="V1258:W1258"/>
    <mergeCell ref="M1259:O1259"/>
    <mergeCell ref="V1259:W1259"/>
    <mergeCell ref="P1258:Q1258"/>
    <mergeCell ref="P1259:Q1259"/>
    <mergeCell ref="R1257:S1257"/>
    <mergeCell ref="R1258:S1258"/>
    <mergeCell ref="R1259:S1259"/>
    <mergeCell ref="T1257:U1257"/>
    <mergeCell ref="T1258:U1258"/>
    <mergeCell ref="T1259:U1259"/>
    <mergeCell ref="F1257:H1259"/>
    <mergeCell ref="I1257:J1257"/>
    <mergeCell ref="I1258:J1258"/>
    <mergeCell ref="I1259:J1259"/>
    <mergeCell ref="K1257:L1257"/>
    <mergeCell ref="K1258:L1258"/>
    <mergeCell ref="K1259:L1259"/>
    <mergeCell ref="T1266:U1266"/>
    <mergeCell ref="T1267:U1267"/>
    <mergeCell ref="T1268:U1268"/>
    <mergeCell ref="V1266:W1266"/>
    <mergeCell ref="X1266:Z1268"/>
    <mergeCell ref="AA1266:AB1268"/>
    <mergeCell ref="V1267:W1267"/>
    <mergeCell ref="V1268:W1268"/>
    <mergeCell ref="M1266:O1266"/>
    <mergeCell ref="P1266:Q1266"/>
    <mergeCell ref="P1267:Q1267"/>
    <mergeCell ref="P1268:Q1268"/>
    <mergeCell ref="R1266:S1266"/>
    <mergeCell ref="R1267:S1267"/>
    <mergeCell ref="R1268:S1268"/>
    <mergeCell ref="M1267:O1267"/>
    <mergeCell ref="M1268:O1268"/>
    <mergeCell ref="F1266:H1268"/>
    <mergeCell ref="I1266:J1266"/>
    <mergeCell ref="I1267:J1267"/>
    <mergeCell ref="I1268:J1268"/>
    <mergeCell ref="K1266:L1266"/>
    <mergeCell ref="K1267:L1267"/>
    <mergeCell ref="K1268:L1268"/>
    <mergeCell ref="T1263:U1263"/>
    <mergeCell ref="T1264:U1264"/>
    <mergeCell ref="T1265:U1265"/>
    <mergeCell ref="V1263:W1263"/>
    <mergeCell ref="X1263:Z1265"/>
    <mergeCell ref="AA1263:AB1265"/>
    <mergeCell ref="V1264:W1264"/>
    <mergeCell ref="V1265:W1265"/>
    <mergeCell ref="M1263:O1263"/>
    <mergeCell ref="P1263:Q1263"/>
    <mergeCell ref="P1264:Q1264"/>
    <mergeCell ref="P1265:Q1265"/>
    <mergeCell ref="R1263:S1263"/>
    <mergeCell ref="R1264:S1264"/>
    <mergeCell ref="R1265:S1265"/>
    <mergeCell ref="M1264:O1264"/>
    <mergeCell ref="M1265:O1265"/>
    <mergeCell ref="F1263:H1265"/>
    <mergeCell ref="I1263:J1263"/>
    <mergeCell ref="I1264:J1264"/>
    <mergeCell ref="I1265:J1265"/>
    <mergeCell ref="K1263:L1263"/>
    <mergeCell ref="K1264:L1264"/>
    <mergeCell ref="K1265:L1265"/>
    <mergeCell ref="M1272:O1272"/>
    <mergeCell ref="P1272:Q1272"/>
    <mergeCell ref="P1273:Q1273"/>
    <mergeCell ref="P1274:Q1274"/>
    <mergeCell ref="P1275:Q1275"/>
    <mergeCell ref="P1276:Q1276"/>
    <mergeCell ref="P1277:Q1277"/>
    <mergeCell ref="A1272:A1280"/>
    <mergeCell ref="B1272:D1280"/>
    <mergeCell ref="F1272:H1280"/>
    <mergeCell ref="I1272:J1272"/>
    <mergeCell ref="K1272:L1272"/>
    <mergeCell ref="K1273:L1273"/>
    <mergeCell ref="K1274:L1274"/>
    <mergeCell ref="K1275:L1275"/>
    <mergeCell ref="K1276:L1276"/>
    <mergeCell ref="K1277:L1277"/>
    <mergeCell ref="T1269:U1269"/>
    <mergeCell ref="T1270:U1270"/>
    <mergeCell ref="T1271:U1271"/>
    <mergeCell ref="V1269:W1269"/>
    <mergeCell ref="X1269:Z1271"/>
    <mergeCell ref="AA1269:AB1271"/>
    <mergeCell ref="V1270:W1270"/>
    <mergeCell ref="V1271:W1271"/>
    <mergeCell ref="M1269:O1269"/>
    <mergeCell ref="P1269:Q1269"/>
    <mergeCell ref="P1270:Q1270"/>
    <mergeCell ref="P1271:Q1271"/>
    <mergeCell ref="R1269:S1269"/>
    <mergeCell ref="R1270:S1270"/>
    <mergeCell ref="R1271:S1271"/>
    <mergeCell ref="M1270:O1270"/>
    <mergeCell ref="M1271:O1271"/>
    <mergeCell ref="F1269:H1271"/>
    <mergeCell ref="I1269:J1269"/>
    <mergeCell ref="I1270:J1270"/>
    <mergeCell ref="I1271:J1271"/>
    <mergeCell ref="K1269:L1269"/>
    <mergeCell ref="K1270:L1270"/>
    <mergeCell ref="K1271:L1271"/>
    <mergeCell ref="AF1272:AH1272"/>
    <mergeCell ref="AF1273:AH1273"/>
    <mergeCell ref="AF1274:AH1274"/>
    <mergeCell ref="AF1275:AH1275"/>
    <mergeCell ref="AF1276:AH1276"/>
    <mergeCell ref="AF1277:AH1277"/>
    <mergeCell ref="AF1278:AH1278"/>
    <mergeCell ref="V1272:W1272"/>
    <mergeCell ref="X1272:Z1277"/>
    <mergeCell ref="AA1272:AB1277"/>
    <mergeCell ref="AC1272:AD1272"/>
    <mergeCell ref="AC1273:AD1273"/>
    <mergeCell ref="AC1274:AD1274"/>
    <mergeCell ref="AC1275:AD1275"/>
    <mergeCell ref="AC1276:AD1276"/>
    <mergeCell ref="AC1277:AD1277"/>
    <mergeCell ref="V1275:W1275"/>
    <mergeCell ref="T1272:U1272"/>
    <mergeCell ref="T1273:U1273"/>
    <mergeCell ref="T1274:U1274"/>
    <mergeCell ref="T1275:U1275"/>
    <mergeCell ref="T1276:U1276"/>
    <mergeCell ref="T1277:U1277"/>
    <mergeCell ref="R1284:S1284"/>
    <mergeCell ref="R1285:S1285"/>
    <mergeCell ref="R1286:S1286"/>
    <mergeCell ref="R1287:S1287"/>
    <mergeCell ref="R1288:S1288"/>
    <mergeCell ref="R1289:S1289"/>
    <mergeCell ref="R1278:S1278"/>
    <mergeCell ref="R1279:S1279"/>
    <mergeCell ref="R1280:S1280"/>
    <mergeCell ref="R1281:S1281"/>
    <mergeCell ref="R1282:S1282"/>
    <mergeCell ref="R1283:S1283"/>
    <mergeCell ref="R1272:S1272"/>
    <mergeCell ref="R1273:S1273"/>
    <mergeCell ref="R1274:S1274"/>
    <mergeCell ref="R1275:S1275"/>
    <mergeCell ref="R1276:S1276"/>
    <mergeCell ref="R1277:S1277"/>
    <mergeCell ref="V1278:W1278"/>
    <mergeCell ref="X1278:Z1280"/>
    <mergeCell ref="AA1278:AB1280"/>
    <mergeCell ref="I1279:J1279"/>
    <mergeCell ref="M1279:O1279"/>
    <mergeCell ref="V1279:W1279"/>
    <mergeCell ref="I1280:J1280"/>
    <mergeCell ref="M1280:O1280"/>
    <mergeCell ref="V1280:W1280"/>
    <mergeCell ref="I1278:J1278"/>
    <mergeCell ref="M1278:O1278"/>
    <mergeCell ref="P1278:Q1278"/>
    <mergeCell ref="P1279:Q1279"/>
    <mergeCell ref="P1280:Q1280"/>
    <mergeCell ref="T1278:U1278"/>
    <mergeCell ref="T1279:U1279"/>
    <mergeCell ref="T1280:U1280"/>
    <mergeCell ref="I1276:J1276"/>
    <mergeCell ref="M1276:O1276"/>
    <mergeCell ref="V1276:W1276"/>
    <mergeCell ref="I1277:J1277"/>
    <mergeCell ref="M1277:O1277"/>
    <mergeCell ref="V1277:W1277"/>
    <mergeCell ref="AF1279:AH1279"/>
    <mergeCell ref="AF1280:AH1280"/>
    <mergeCell ref="I1273:J1273"/>
    <mergeCell ref="M1273:O1273"/>
    <mergeCell ref="V1273:W1273"/>
    <mergeCell ref="I1274:J1274"/>
    <mergeCell ref="M1274:O1274"/>
    <mergeCell ref="V1274:W1274"/>
    <mergeCell ref="I1275:J1275"/>
    <mergeCell ref="M1275:O1275"/>
    <mergeCell ref="AC1278:AD1278"/>
    <mergeCell ref="AC1279:AD1279"/>
    <mergeCell ref="AC1280:AD1280"/>
    <mergeCell ref="K1278:L1278"/>
    <mergeCell ref="K1279:L1279"/>
    <mergeCell ref="K1280:L1280"/>
    <mergeCell ref="AF1281:AH1281"/>
    <mergeCell ref="AF1282:AH1282"/>
    <mergeCell ref="AF1283:AH1283"/>
    <mergeCell ref="AF1284:AH1284"/>
    <mergeCell ref="AF1285:AH1285"/>
    <mergeCell ref="AF1286:AH1286"/>
    <mergeCell ref="AF1287:AH1287"/>
    <mergeCell ref="V1281:W1281"/>
    <mergeCell ref="X1281:Z1286"/>
    <mergeCell ref="AA1281:AB1286"/>
    <mergeCell ref="AC1281:AD1281"/>
    <mergeCell ref="AC1282:AD1282"/>
    <mergeCell ref="AC1283:AD1283"/>
    <mergeCell ref="AC1284:AD1284"/>
    <mergeCell ref="AC1285:AD1285"/>
    <mergeCell ref="AC1286:AD1286"/>
    <mergeCell ref="V1286:W1286"/>
    <mergeCell ref="T1281:U1281"/>
    <mergeCell ref="T1282:U1282"/>
    <mergeCell ref="T1283:U1283"/>
    <mergeCell ref="T1284:U1284"/>
    <mergeCell ref="T1285:U1285"/>
    <mergeCell ref="T1286:U1286"/>
    <mergeCell ref="K1289:L1289"/>
    <mergeCell ref="M1281:O1281"/>
    <mergeCell ref="P1281:Q1281"/>
    <mergeCell ref="P1282:Q1282"/>
    <mergeCell ref="P1283:Q1283"/>
    <mergeCell ref="P1284:Q1284"/>
    <mergeCell ref="P1285:Q1285"/>
    <mergeCell ref="P1286:Q1286"/>
    <mergeCell ref="M1286:O1286"/>
    <mergeCell ref="M1287:O1287"/>
    <mergeCell ref="K1281:L1281"/>
    <mergeCell ref="K1282:L1282"/>
    <mergeCell ref="K1283:L1283"/>
    <mergeCell ref="K1284:L1284"/>
    <mergeCell ref="K1285:L1285"/>
    <mergeCell ref="K1286:L1286"/>
    <mergeCell ref="K1287:L1287"/>
    <mergeCell ref="K1288:L1288"/>
    <mergeCell ref="A1290:A1298"/>
    <mergeCell ref="B1290:D1298"/>
    <mergeCell ref="F1290:H1292"/>
    <mergeCell ref="I1290:J1290"/>
    <mergeCell ref="I1291:J1291"/>
    <mergeCell ref="I1292:J1292"/>
    <mergeCell ref="F1296:H1298"/>
    <mergeCell ref="I1296:J1296"/>
    <mergeCell ref="I1297:J1297"/>
    <mergeCell ref="I1298:J1298"/>
    <mergeCell ref="V1287:W1287"/>
    <mergeCell ref="X1287:Z1289"/>
    <mergeCell ref="AA1287:AB1289"/>
    <mergeCell ref="M1288:O1288"/>
    <mergeCell ref="V1288:W1288"/>
    <mergeCell ref="M1289:O1289"/>
    <mergeCell ref="V1289:W1289"/>
    <mergeCell ref="P1287:Q1287"/>
    <mergeCell ref="P1288:Q1288"/>
    <mergeCell ref="P1289:Q1289"/>
    <mergeCell ref="T1287:U1287"/>
    <mergeCell ref="T1288:U1288"/>
    <mergeCell ref="T1289:U1289"/>
    <mergeCell ref="AF1288:AH1288"/>
    <mergeCell ref="AF1289:AH1289"/>
    <mergeCell ref="M1282:O1282"/>
    <mergeCell ref="V1282:W1282"/>
    <mergeCell ref="M1283:O1283"/>
    <mergeCell ref="V1283:W1283"/>
    <mergeCell ref="M1284:O1284"/>
    <mergeCell ref="V1284:W1284"/>
    <mergeCell ref="M1285:O1285"/>
    <mergeCell ref="V1285:W1285"/>
    <mergeCell ref="AC1287:AD1287"/>
    <mergeCell ref="AC1288:AD1288"/>
    <mergeCell ref="AC1289:AD1289"/>
    <mergeCell ref="I1288:J1288"/>
    <mergeCell ref="I1289:J1289"/>
    <mergeCell ref="A1281:A1289"/>
    <mergeCell ref="B1281:D1289"/>
    <mergeCell ref="F1281:H1289"/>
    <mergeCell ref="I1281:J1281"/>
    <mergeCell ref="I1282:J1282"/>
    <mergeCell ref="I1283:J1283"/>
    <mergeCell ref="I1284:J1284"/>
    <mergeCell ref="I1285:J1285"/>
    <mergeCell ref="I1286:J1286"/>
    <mergeCell ref="I1287:J1287"/>
    <mergeCell ref="AF1290:AH1298"/>
    <mergeCell ref="M1291:O1291"/>
    <mergeCell ref="V1291:W1291"/>
    <mergeCell ref="M1292:O1292"/>
    <mergeCell ref="V1292:W1292"/>
    <mergeCell ref="F1293:H1295"/>
    <mergeCell ref="I1293:J1293"/>
    <mergeCell ref="I1294:J1294"/>
    <mergeCell ref="I1295:J1295"/>
    <mergeCell ref="K1293:L1293"/>
    <mergeCell ref="AC1293:AD1293"/>
    <mergeCell ref="AC1294:AD1294"/>
    <mergeCell ref="AC1295:AD1295"/>
    <mergeCell ref="AC1296:AD1296"/>
    <mergeCell ref="AC1297:AD1297"/>
    <mergeCell ref="AC1298:AD1298"/>
    <mergeCell ref="V1290:W1290"/>
    <mergeCell ref="X1290:Z1292"/>
    <mergeCell ref="AA1290:AB1292"/>
    <mergeCell ref="AC1290:AD1290"/>
    <mergeCell ref="AC1291:AD1291"/>
    <mergeCell ref="AC1292:AD1292"/>
    <mergeCell ref="R1290:S1290"/>
    <mergeCell ref="R1291:S1291"/>
    <mergeCell ref="R1292:S1292"/>
    <mergeCell ref="T1290:U1290"/>
    <mergeCell ref="T1291:U1291"/>
    <mergeCell ref="T1292:U1292"/>
    <mergeCell ref="K1290:L1290"/>
    <mergeCell ref="K1291:L1291"/>
    <mergeCell ref="K1292:L1292"/>
    <mergeCell ref="M1290:O1290"/>
    <mergeCell ref="P1290:Q1290"/>
    <mergeCell ref="P1291:Q1291"/>
    <mergeCell ref="P1292:Q1292"/>
    <mergeCell ref="V1296:W1296"/>
    <mergeCell ref="X1296:Z1298"/>
    <mergeCell ref="AA1296:AB1298"/>
    <mergeCell ref="M1297:O1297"/>
    <mergeCell ref="V1297:W1297"/>
    <mergeCell ref="M1298:O1298"/>
    <mergeCell ref="V1298:W1298"/>
    <mergeCell ref="R1296:S1296"/>
    <mergeCell ref="R1297:S1297"/>
    <mergeCell ref="R1298:S1298"/>
    <mergeCell ref="T1296:U1296"/>
    <mergeCell ref="T1297:U1297"/>
    <mergeCell ref="T1298:U1298"/>
    <mergeCell ref="K1296:L1296"/>
    <mergeCell ref="K1297:L1297"/>
    <mergeCell ref="K1298:L1298"/>
    <mergeCell ref="M1296:O1296"/>
    <mergeCell ref="P1296:Q1296"/>
    <mergeCell ref="P1297:Q1297"/>
    <mergeCell ref="P1298:Q1298"/>
    <mergeCell ref="V1293:W1293"/>
    <mergeCell ref="X1293:Z1295"/>
    <mergeCell ref="AA1293:AB1295"/>
    <mergeCell ref="M1294:O1294"/>
    <mergeCell ref="V1294:W1294"/>
    <mergeCell ref="M1295:O1295"/>
    <mergeCell ref="V1295:W1295"/>
    <mergeCell ref="R1293:S1293"/>
    <mergeCell ref="R1294:S1294"/>
    <mergeCell ref="R1295:S1295"/>
    <mergeCell ref="T1293:U1293"/>
    <mergeCell ref="T1294:U1294"/>
    <mergeCell ref="T1295:U1295"/>
    <mergeCell ref="K1294:L1294"/>
    <mergeCell ref="K1295:L1295"/>
    <mergeCell ref="M1293:O1293"/>
    <mergeCell ref="P1293:Q1293"/>
    <mergeCell ref="P1294:Q1294"/>
    <mergeCell ref="P1295:Q1295"/>
    <mergeCell ref="K1308:L1308"/>
    <mergeCell ref="K1309:L1309"/>
    <mergeCell ref="K1310:L1310"/>
    <mergeCell ref="K1311:L1311"/>
    <mergeCell ref="K1312:L1312"/>
    <mergeCell ref="K1313:L1313"/>
    <mergeCell ref="I1310:J1310"/>
    <mergeCell ref="I1311:J1311"/>
    <mergeCell ref="I1312:J1312"/>
    <mergeCell ref="I1313:J1313"/>
    <mergeCell ref="I1314:J1314"/>
    <mergeCell ref="K1303:L1303"/>
    <mergeCell ref="K1304:L1304"/>
    <mergeCell ref="K1305:L1305"/>
    <mergeCell ref="K1306:L1306"/>
    <mergeCell ref="K1307:L1307"/>
    <mergeCell ref="A1303:A1314"/>
    <mergeCell ref="B1303:D1314"/>
    <mergeCell ref="F1303:H1314"/>
    <mergeCell ref="I1303:J1303"/>
    <mergeCell ref="I1304:J1304"/>
    <mergeCell ref="I1305:J1305"/>
    <mergeCell ref="I1306:J1306"/>
    <mergeCell ref="I1307:J1307"/>
    <mergeCell ref="I1308:J1308"/>
    <mergeCell ref="I1309:J1309"/>
    <mergeCell ref="AF1299:AH1302"/>
    <mergeCell ref="AJ1299:AJ1300"/>
    <mergeCell ref="M1301:O1301"/>
    <mergeCell ref="V1301:W1301"/>
    <mergeCell ref="M1302:O1302"/>
    <mergeCell ref="V1302:W1302"/>
    <mergeCell ref="V1299:W1300"/>
    <mergeCell ref="X1299:Z1302"/>
    <mergeCell ref="AA1299:AB1302"/>
    <mergeCell ref="AC1299:AD1299"/>
    <mergeCell ref="AC1300:AD1300"/>
    <mergeCell ref="AC1301:AD1301"/>
    <mergeCell ref="AC1302:AD1302"/>
    <mergeCell ref="R1299:S1299"/>
    <mergeCell ref="R1300:S1300"/>
    <mergeCell ref="R1301:S1301"/>
    <mergeCell ref="R1302:S1302"/>
    <mergeCell ref="T1299:U1299"/>
    <mergeCell ref="T1300:U1300"/>
    <mergeCell ref="T1301:U1301"/>
    <mergeCell ref="T1302:U1302"/>
    <mergeCell ref="K1299:L1299"/>
    <mergeCell ref="K1300:L1300"/>
    <mergeCell ref="K1301:L1301"/>
    <mergeCell ref="K1302:L1302"/>
    <mergeCell ref="M1299:O1300"/>
    <mergeCell ref="P1299:Q1299"/>
    <mergeCell ref="P1300:Q1300"/>
    <mergeCell ref="P1301:Q1301"/>
    <mergeCell ref="P1302:Q1302"/>
    <mergeCell ref="A1299:A1302"/>
    <mergeCell ref="B1299:D1302"/>
    <mergeCell ref="E1299:E1300"/>
    <mergeCell ref="F1299:H1302"/>
    <mergeCell ref="I1299:J1299"/>
    <mergeCell ref="I1300:J1300"/>
    <mergeCell ref="I1301:J1301"/>
    <mergeCell ref="I1302:J1302"/>
    <mergeCell ref="M1307:O1307"/>
    <mergeCell ref="R1307:S1307"/>
    <mergeCell ref="V1307:W1307"/>
    <mergeCell ref="M1308:O1308"/>
    <mergeCell ref="R1308:S1308"/>
    <mergeCell ref="V1308:W1308"/>
    <mergeCell ref="AF1303:AH1314"/>
    <mergeCell ref="M1304:O1304"/>
    <mergeCell ref="R1304:S1304"/>
    <mergeCell ref="V1304:W1304"/>
    <mergeCell ref="M1305:O1305"/>
    <mergeCell ref="R1305:S1305"/>
    <mergeCell ref="V1305:W1305"/>
    <mergeCell ref="M1306:O1306"/>
    <mergeCell ref="R1306:S1306"/>
    <mergeCell ref="V1306:W1306"/>
    <mergeCell ref="AC1309:AD1309"/>
    <mergeCell ref="AC1310:AD1310"/>
    <mergeCell ref="AC1311:AD1311"/>
    <mergeCell ref="AC1312:AD1312"/>
    <mergeCell ref="AC1313:AD1313"/>
    <mergeCell ref="AC1314:AD1314"/>
    <mergeCell ref="T1314:U1314"/>
    <mergeCell ref="V1303:W1303"/>
    <mergeCell ref="X1303:Z1314"/>
    <mergeCell ref="AA1303:AB1314"/>
    <mergeCell ref="AC1303:AD1303"/>
    <mergeCell ref="AC1304:AD1304"/>
    <mergeCell ref="AC1305:AD1305"/>
    <mergeCell ref="AC1306:AD1306"/>
    <mergeCell ref="AC1307:AD1307"/>
    <mergeCell ref="AC1308:AD1308"/>
    <mergeCell ref="T1308:U1308"/>
    <mergeCell ref="T1309:U1309"/>
    <mergeCell ref="T1310:U1310"/>
    <mergeCell ref="T1311:U1311"/>
    <mergeCell ref="T1312:U1312"/>
    <mergeCell ref="T1313:U1313"/>
    <mergeCell ref="P1311:Q1311"/>
    <mergeCell ref="P1312:Q1312"/>
    <mergeCell ref="P1313:Q1313"/>
    <mergeCell ref="P1314:Q1314"/>
    <mergeCell ref="R1303:S1303"/>
    <mergeCell ref="T1303:U1303"/>
    <mergeCell ref="T1304:U1304"/>
    <mergeCell ref="T1305:U1305"/>
    <mergeCell ref="T1306:U1306"/>
    <mergeCell ref="T1307:U1307"/>
    <mergeCell ref="M1303:O1303"/>
    <mergeCell ref="P1303:Q1303"/>
    <mergeCell ref="P1304:Q1304"/>
    <mergeCell ref="P1305:Q1305"/>
    <mergeCell ref="P1306:Q1306"/>
    <mergeCell ref="P1307:Q1307"/>
    <mergeCell ref="P1308:Q1308"/>
    <mergeCell ref="P1309:Q1309"/>
    <mergeCell ref="P1310:Q1310"/>
    <mergeCell ref="K1315:L1315"/>
    <mergeCell ref="K1316:L1316"/>
    <mergeCell ref="K1317:L1317"/>
    <mergeCell ref="K1318:L1318"/>
    <mergeCell ref="K1319:L1319"/>
    <mergeCell ref="K1320:L1320"/>
    <mergeCell ref="A1315:A1338"/>
    <mergeCell ref="B1315:D1338"/>
    <mergeCell ref="F1315:H1320"/>
    <mergeCell ref="I1315:J1315"/>
    <mergeCell ref="I1316:J1316"/>
    <mergeCell ref="I1317:J1317"/>
    <mergeCell ref="I1318:J1318"/>
    <mergeCell ref="I1319:J1319"/>
    <mergeCell ref="I1320:J1320"/>
    <mergeCell ref="F1321:H1326"/>
    <mergeCell ref="M1313:O1313"/>
    <mergeCell ref="R1313:S1313"/>
    <mergeCell ref="V1313:W1313"/>
    <mergeCell ref="M1314:O1314"/>
    <mergeCell ref="R1314:S1314"/>
    <mergeCell ref="V1314:W1314"/>
    <mergeCell ref="M1311:O1311"/>
    <mergeCell ref="R1311:S1311"/>
    <mergeCell ref="V1311:W1311"/>
    <mergeCell ref="M1312:O1312"/>
    <mergeCell ref="R1312:S1312"/>
    <mergeCell ref="V1312:W1312"/>
    <mergeCell ref="M1309:O1309"/>
    <mergeCell ref="R1309:S1309"/>
    <mergeCell ref="V1309:W1309"/>
    <mergeCell ref="M1310:O1310"/>
    <mergeCell ref="R1310:S1310"/>
    <mergeCell ref="V1310:W1310"/>
    <mergeCell ref="K1314:L1314"/>
    <mergeCell ref="T1318:U1318"/>
    <mergeCell ref="V1318:W1318"/>
    <mergeCell ref="X1318:Z1318"/>
    <mergeCell ref="AA1318:AB1318"/>
    <mergeCell ref="M1319:O1319"/>
    <mergeCell ref="P1319:Q1319"/>
    <mergeCell ref="T1319:U1319"/>
    <mergeCell ref="V1319:W1319"/>
    <mergeCell ref="X1319:Z1319"/>
    <mergeCell ref="AA1319:AB1319"/>
    <mergeCell ref="AF1315:AH1338"/>
    <mergeCell ref="AI1315:AI1339"/>
    <mergeCell ref="M1316:O1316"/>
    <mergeCell ref="P1316:Q1316"/>
    <mergeCell ref="T1316:U1316"/>
    <mergeCell ref="V1316:W1316"/>
    <mergeCell ref="X1316:Z1316"/>
    <mergeCell ref="AA1316:AB1316"/>
    <mergeCell ref="M1317:O1317"/>
    <mergeCell ref="P1317:Q1317"/>
    <mergeCell ref="AC1333:AD1333"/>
    <mergeCell ref="AC1334:AD1334"/>
    <mergeCell ref="AC1335:AD1335"/>
    <mergeCell ref="AC1336:AD1336"/>
    <mergeCell ref="AC1337:AD1337"/>
    <mergeCell ref="AC1338:AD1338"/>
    <mergeCell ref="AC1327:AD1327"/>
    <mergeCell ref="AC1328:AD1328"/>
    <mergeCell ref="AC1329:AD1329"/>
    <mergeCell ref="AC1330:AD1330"/>
    <mergeCell ref="AC1331:AD1331"/>
    <mergeCell ref="AC1332:AD1332"/>
    <mergeCell ref="AC1321:AD1321"/>
    <mergeCell ref="AC1322:AD1322"/>
    <mergeCell ref="AC1323:AD1323"/>
    <mergeCell ref="AC1324:AD1324"/>
    <mergeCell ref="AC1325:AD1325"/>
    <mergeCell ref="AC1326:AD1326"/>
    <mergeCell ref="AC1315:AD1315"/>
    <mergeCell ref="AC1316:AD1316"/>
    <mergeCell ref="AC1317:AD1317"/>
    <mergeCell ref="AC1318:AD1318"/>
    <mergeCell ref="AC1319:AD1319"/>
    <mergeCell ref="AC1320:AD1320"/>
    <mergeCell ref="R1319:S1319"/>
    <mergeCell ref="R1320:S1320"/>
    <mergeCell ref="T1315:U1315"/>
    <mergeCell ref="V1315:W1315"/>
    <mergeCell ref="X1315:Z1315"/>
    <mergeCell ref="AA1315:AB1315"/>
    <mergeCell ref="T1317:U1317"/>
    <mergeCell ref="V1317:W1317"/>
    <mergeCell ref="X1317:Z1317"/>
    <mergeCell ref="AA1317:AB1317"/>
    <mergeCell ref="M1315:O1315"/>
    <mergeCell ref="P1315:Q1315"/>
    <mergeCell ref="R1315:S1315"/>
    <mergeCell ref="R1316:S1316"/>
    <mergeCell ref="R1317:S1317"/>
    <mergeCell ref="R1318:S1318"/>
    <mergeCell ref="M1318:O1318"/>
    <mergeCell ref="P1318:Q1318"/>
    <mergeCell ref="T1321:U1321"/>
    <mergeCell ref="V1321:W1321"/>
    <mergeCell ref="X1321:Z1321"/>
    <mergeCell ref="AA1321:AB1321"/>
    <mergeCell ref="T1322:U1322"/>
    <mergeCell ref="V1322:W1322"/>
    <mergeCell ref="X1322:Z1322"/>
    <mergeCell ref="AA1322:AB1322"/>
    <mergeCell ref="M1321:O1321"/>
    <mergeCell ref="P1321:Q1321"/>
    <mergeCell ref="R1321:S1321"/>
    <mergeCell ref="R1322:S1322"/>
    <mergeCell ref="R1323:S1323"/>
    <mergeCell ref="R1324:S1324"/>
    <mergeCell ref="M1322:O1322"/>
    <mergeCell ref="P1322:Q1322"/>
    <mergeCell ref="M1323:O1323"/>
    <mergeCell ref="P1323:Q1323"/>
    <mergeCell ref="K1321:L1321"/>
    <mergeCell ref="K1322:L1322"/>
    <mergeCell ref="K1323:L1323"/>
    <mergeCell ref="K1324:L1324"/>
    <mergeCell ref="K1325:L1325"/>
    <mergeCell ref="K1326:L1326"/>
    <mergeCell ref="I1321:J1321"/>
    <mergeCell ref="I1322:J1322"/>
    <mergeCell ref="I1323:J1323"/>
    <mergeCell ref="I1324:J1324"/>
    <mergeCell ref="I1325:J1325"/>
    <mergeCell ref="I1326:J1326"/>
    <mergeCell ref="M1320:O1320"/>
    <mergeCell ref="P1320:Q1320"/>
    <mergeCell ref="T1320:U1320"/>
    <mergeCell ref="V1320:W1320"/>
    <mergeCell ref="X1320:Z1320"/>
    <mergeCell ref="AA1320:AB1320"/>
    <mergeCell ref="K1327:L1327"/>
    <mergeCell ref="K1328:L1328"/>
    <mergeCell ref="K1329:L1329"/>
    <mergeCell ref="K1330:L1330"/>
    <mergeCell ref="K1331:L1331"/>
    <mergeCell ref="K1332:L1332"/>
    <mergeCell ref="F1327:H1332"/>
    <mergeCell ref="I1327:J1327"/>
    <mergeCell ref="I1328:J1328"/>
    <mergeCell ref="I1329:J1329"/>
    <mergeCell ref="I1330:J1330"/>
    <mergeCell ref="I1331:J1331"/>
    <mergeCell ref="I1332:J1332"/>
    <mergeCell ref="M1326:O1326"/>
    <mergeCell ref="P1326:Q1326"/>
    <mergeCell ref="T1326:U1326"/>
    <mergeCell ref="V1326:W1326"/>
    <mergeCell ref="X1326:Z1326"/>
    <mergeCell ref="AA1326:AB1326"/>
    <mergeCell ref="M1325:O1325"/>
    <mergeCell ref="P1325:Q1325"/>
    <mergeCell ref="T1325:U1325"/>
    <mergeCell ref="V1325:W1325"/>
    <mergeCell ref="X1325:Z1325"/>
    <mergeCell ref="AA1325:AB1325"/>
    <mergeCell ref="T1323:U1323"/>
    <mergeCell ref="V1323:W1323"/>
    <mergeCell ref="X1323:Z1323"/>
    <mergeCell ref="AA1323:AB1323"/>
    <mergeCell ref="M1324:O1324"/>
    <mergeCell ref="P1324:Q1324"/>
    <mergeCell ref="T1324:U1324"/>
    <mergeCell ref="V1324:W1324"/>
    <mergeCell ref="X1324:Z1324"/>
    <mergeCell ref="AA1324:AB1324"/>
    <mergeCell ref="R1325:S1325"/>
    <mergeCell ref="R1326:S1326"/>
    <mergeCell ref="M1332:O1332"/>
    <mergeCell ref="P1332:Q1332"/>
    <mergeCell ref="T1332:U1332"/>
    <mergeCell ref="V1332:W1332"/>
    <mergeCell ref="X1332:Z1332"/>
    <mergeCell ref="AA1332:AB1332"/>
    <mergeCell ref="M1331:O1331"/>
    <mergeCell ref="P1331:Q1331"/>
    <mergeCell ref="T1331:U1331"/>
    <mergeCell ref="V1331:W1331"/>
    <mergeCell ref="X1331:Z1331"/>
    <mergeCell ref="AA1331:AB1331"/>
    <mergeCell ref="T1329:U1329"/>
    <mergeCell ref="V1329:W1329"/>
    <mergeCell ref="X1329:Z1329"/>
    <mergeCell ref="AA1329:AB1329"/>
    <mergeCell ref="M1330:O1330"/>
    <mergeCell ref="P1330:Q1330"/>
    <mergeCell ref="T1330:U1330"/>
    <mergeCell ref="V1330:W1330"/>
    <mergeCell ref="X1330:Z1330"/>
    <mergeCell ref="AA1330:AB1330"/>
    <mergeCell ref="R1331:S1331"/>
    <mergeCell ref="R1332:S1332"/>
    <mergeCell ref="T1327:U1327"/>
    <mergeCell ref="V1327:W1327"/>
    <mergeCell ref="X1327:Z1327"/>
    <mergeCell ref="AA1327:AB1327"/>
    <mergeCell ref="T1328:U1328"/>
    <mergeCell ref="V1328:W1328"/>
    <mergeCell ref="X1328:Z1328"/>
    <mergeCell ref="AA1328:AB1328"/>
    <mergeCell ref="M1327:O1327"/>
    <mergeCell ref="P1327:Q1327"/>
    <mergeCell ref="R1327:S1327"/>
    <mergeCell ref="R1328:S1328"/>
    <mergeCell ref="R1329:S1329"/>
    <mergeCell ref="R1330:S1330"/>
    <mergeCell ref="M1328:O1328"/>
    <mergeCell ref="P1328:Q1328"/>
    <mergeCell ref="M1329:O1329"/>
    <mergeCell ref="P1329:Q1329"/>
    <mergeCell ref="T1335:U1335"/>
    <mergeCell ref="V1335:W1335"/>
    <mergeCell ref="X1335:Z1335"/>
    <mergeCell ref="AA1335:AB1335"/>
    <mergeCell ref="M1336:O1336"/>
    <mergeCell ref="P1336:Q1336"/>
    <mergeCell ref="T1336:U1336"/>
    <mergeCell ref="V1336:W1336"/>
    <mergeCell ref="X1336:Z1336"/>
    <mergeCell ref="AA1336:AB1336"/>
    <mergeCell ref="R1337:S1337"/>
    <mergeCell ref="R1338:S1338"/>
    <mergeCell ref="T1333:U1333"/>
    <mergeCell ref="V1333:W1333"/>
    <mergeCell ref="X1333:Z1333"/>
    <mergeCell ref="AA1333:AB1333"/>
    <mergeCell ref="T1334:U1334"/>
    <mergeCell ref="V1334:W1334"/>
    <mergeCell ref="X1334:Z1334"/>
    <mergeCell ref="AA1334:AB1334"/>
    <mergeCell ref="M1333:O1333"/>
    <mergeCell ref="P1333:Q1333"/>
    <mergeCell ref="R1333:S1333"/>
    <mergeCell ref="R1334:S1334"/>
    <mergeCell ref="R1335:S1335"/>
    <mergeCell ref="R1336:S1336"/>
    <mergeCell ref="M1334:O1334"/>
    <mergeCell ref="P1334:Q1334"/>
    <mergeCell ref="M1335:O1335"/>
    <mergeCell ref="P1335:Q1335"/>
    <mergeCell ref="K1333:L1333"/>
    <mergeCell ref="K1334:L1334"/>
    <mergeCell ref="K1335:L1335"/>
    <mergeCell ref="K1336:L1336"/>
    <mergeCell ref="K1337:L1337"/>
    <mergeCell ref="K1338:L1338"/>
    <mergeCell ref="AF1339:AH1339"/>
    <mergeCell ref="A1340:A1343"/>
    <mergeCell ref="B1340:D1343"/>
    <mergeCell ref="E1340:E1342"/>
    <mergeCell ref="F1340:H1342"/>
    <mergeCell ref="I1340:J1342"/>
    <mergeCell ref="K1340:L1342"/>
    <mergeCell ref="M1340:O1342"/>
    <mergeCell ref="P1340:Q1342"/>
    <mergeCell ref="R1340:S1342"/>
    <mergeCell ref="R1339:S1339"/>
    <mergeCell ref="T1339:U1339"/>
    <mergeCell ref="V1339:W1339"/>
    <mergeCell ref="X1339:Z1339"/>
    <mergeCell ref="AA1339:AB1339"/>
    <mergeCell ref="AC1339:AD1339"/>
    <mergeCell ref="B1339:D1339"/>
    <mergeCell ref="F1339:H1339"/>
    <mergeCell ref="I1339:J1339"/>
    <mergeCell ref="K1339:L1339"/>
    <mergeCell ref="M1339:O1339"/>
    <mergeCell ref="P1339:Q1339"/>
    <mergeCell ref="M1338:O1338"/>
    <mergeCell ref="P1338:Q1338"/>
    <mergeCell ref="T1338:U1338"/>
    <mergeCell ref="V1338:W1338"/>
    <mergeCell ref="X1338:Z1338"/>
    <mergeCell ref="AA1338:AB1338"/>
    <mergeCell ref="M1337:O1337"/>
    <mergeCell ref="P1337:Q1337"/>
    <mergeCell ref="T1337:U1337"/>
    <mergeCell ref="V1337:W1337"/>
    <mergeCell ref="X1337:Z1337"/>
    <mergeCell ref="AA1337:AB1337"/>
    <mergeCell ref="F1333:H1338"/>
    <mergeCell ref="I1333:J1333"/>
    <mergeCell ref="I1334:J1334"/>
    <mergeCell ref="I1335:J1335"/>
    <mergeCell ref="I1336:J1336"/>
    <mergeCell ref="I1337:J1337"/>
    <mergeCell ref="I1338:J1338"/>
    <mergeCell ref="K1344:L1344"/>
    <mergeCell ref="K1345:L1345"/>
    <mergeCell ref="K1346:L1346"/>
    <mergeCell ref="M1344:O1344"/>
    <mergeCell ref="P1344:Q1344"/>
    <mergeCell ref="R1344:S1344"/>
    <mergeCell ref="R1345:S1345"/>
    <mergeCell ref="R1346:S1346"/>
    <mergeCell ref="T1343:U1343"/>
    <mergeCell ref="V1343:W1343"/>
    <mergeCell ref="X1343:Z1343"/>
    <mergeCell ref="AA1343:AB1343"/>
    <mergeCell ref="A1344:A1346"/>
    <mergeCell ref="B1344:D1346"/>
    <mergeCell ref="F1344:H1346"/>
    <mergeCell ref="I1344:J1344"/>
    <mergeCell ref="I1345:J1345"/>
    <mergeCell ref="I1346:J1346"/>
    <mergeCell ref="AC1343:AD1343"/>
    <mergeCell ref="AF1340:AH1343"/>
    <mergeCell ref="AI1340:AI1346"/>
    <mergeCell ref="AJ1340:AJ1342"/>
    <mergeCell ref="F1343:H1343"/>
    <mergeCell ref="I1343:J1343"/>
    <mergeCell ref="K1343:L1343"/>
    <mergeCell ref="M1343:O1343"/>
    <mergeCell ref="P1343:Q1343"/>
    <mergeCell ref="R1343:S1343"/>
    <mergeCell ref="T1340:U1342"/>
    <mergeCell ref="V1340:W1342"/>
    <mergeCell ref="X1340:Z1342"/>
    <mergeCell ref="AA1340:AB1342"/>
    <mergeCell ref="AC1340:AD1340"/>
    <mergeCell ref="AC1341:AD1341"/>
    <mergeCell ref="AC1342:AD1342"/>
    <mergeCell ref="AA1345:AB1345"/>
    <mergeCell ref="M1346:O1346"/>
    <mergeCell ref="P1346:Q1346"/>
    <mergeCell ref="T1346:U1346"/>
    <mergeCell ref="V1346:W1346"/>
    <mergeCell ref="X1346:Z1346"/>
    <mergeCell ref="AA1346:AB1346"/>
    <mergeCell ref="AA1344:AB1344"/>
    <mergeCell ref="AC1344:AD1344"/>
    <mergeCell ref="AC1345:AD1345"/>
    <mergeCell ref="AC1346:AD1346"/>
    <mergeCell ref="AF1344:AH1346"/>
    <mergeCell ref="M1345:O1345"/>
    <mergeCell ref="P1345:Q1345"/>
    <mergeCell ref="T1345:U1345"/>
    <mergeCell ref="V1345:W1345"/>
    <mergeCell ref="X1345:Z1345"/>
    <mergeCell ref="R1353:S1353"/>
    <mergeCell ref="R1354:S1354"/>
    <mergeCell ref="R1355:S1355"/>
    <mergeCell ref="T1344:U1344"/>
    <mergeCell ref="V1344:W1344"/>
    <mergeCell ref="X1344:Z1344"/>
    <mergeCell ref="V1347:W1347"/>
    <mergeCell ref="X1347:Z1347"/>
    <mergeCell ref="V1349:W1349"/>
    <mergeCell ref="X1349:Z1349"/>
    <mergeCell ref="R1347:S1347"/>
    <mergeCell ref="R1348:S1348"/>
    <mergeCell ref="R1349:S1349"/>
    <mergeCell ref="R1350:S1350"/>
    <mergeCell ref="R1351:S1351"/>
    <mergeCell ref="R1352:S1352"/>
    <mergeCell ref="V1350:W1350"/>
    <mergeCell ref="X1350:Z1350"/>
    <mergeCell ref="AA1350:AB1350"/>
    <mergeCell ref="M1351:O1351"/>
    <mergeCell ref="P1351:Q1351"/>
    <mergeCell ref="T1351:U1351"/>
    <mergeCell ref="V1351:W1351"/>
    <mergeCell ref="X1351:Z1351"/>
    <mergeCell ref="AA1351:AB1351"/>
    <mergeCell ref="K1350:L1350"/>
    <mergeCell ref="K1351:L1351"/>
    <mergeCell ref="K1352:L1352"/>
    <mergeCell ref="M1350:O1350"/>
    <mergeCell ref="P1350:Q1350"/>
    <mergeCell ref="T1350:U1350"/>
    <mergeCell ref="M1352:O1352"/>
    <mergeCell ref="P1352:Q1352"/>
    <mergeCell ref="T1352:U1352"/>
    <mergeCell ref="AC1352:AD1352"/>
    <mergeCell ref="AC1353:AD1353"/>
    <mergeCell ref="AC1354:AD1354"/>
    <mergeCell ref="AC1355:AD1355"/>
    <mergeCell ref="AF1347:AH1355"/>
    <mergeCell ref="M1348:O1348"/>
    <mergeCell ref="P1348:Q1348"/>
    <mergeCell ref="T1348:U1348"/>
    <mergeCell ref="V1348:W1348"/>
    <mergeCell ref="X1348:Z1348"/>
    <mergeCell ref="AA1347:AB1347"/>
    <mergeCell ref="AC1347:AD1347"/>
    <mergeCell ref="AC1348:AD1348"/>
    <mergeCell ref="AC1349:AD1349"/>
    <mergeCell ref="AC1350:AD1350"/>
    <mergeCell ref="AC1351:AD1351"/>
    <mergeCell ref="AA1348:AB1348"/>
    <mergeCell ref="AA1349:AB1349"/>
    <mergeCell ref="K1347:L1347"/>
    <mergeCell ref="K1348:L1348"/>
    <mergeCell ref="K1349:L1349"/>
    <mergeCell ref="M1347:O1347"/>
    <mergeCell ref="P1347:Q1347"/>
    <mergeCell ref="T1347:U1347"/>
    <mergeCell ref="M1349:O1349"/>
    <mergeCell ref="P1349:Q1349"/>
    <mergeCell ref="T1349:U1349"/>
    <mergeCell ref="K1360:L1360"/>
    <mergeCell ref="K1361:L1361"/>
    <mergeCell ref="A1356:A1373"/>
    <mergeCell ref="B1356:D1373"/>
    <mergeCell ref="F1356:H1361"/>
    <mergeCell ref="I1356:J1356"/>
    <mergeCell ref="I1357:J1357"/>
    <mergeCell ref="I1358:J1358"/>
    <mergeCell ref="I1359:J1359"/>
    <mergeCell ref="I1360:J1360"/>
    <mergeCell ref="I1361:J1361"/>
    <mergeCell ref="AA1354:AB1354"/>
    <mergeCell ref="M1355:O1355"/>
    <mergeCell ref="P1355:Q1355"/>
    <mergeCell ref="T1355:U1355"/>
    <mergeCell ref="V1355:W1355"/>
    <mergeCell ref="X1355:Z1355"/>
    <mergeCell ref="AA1355:AB1355"/>
    <mergeCell ref="P1353:Q1353"/>
    <mergeCell ref="T1353:U1353"/>
    <mergeCell ref="V1353:W1353"/>
    <mergeCell ref="X1353:Z1353"/>
    <mergeCell ref="AA1353:AB1353"/>
    <mergeCell ref="M1354:O1354"/>
    <mergeCell ref="P1354:Q1354"/>
    <mergeCell ref="T1354:U1354"/>
    <mergeCell ref="V1354:W1354"/>
    <mergeCell ref="X1354:Z1354"/>
    <mergeCell ref="V1352:W1352"/>
    <mergeCell ref="X1352:Z1352"/>
    <mergeCell ref="AA1352:AB1352"/>
    <mergeCell ref="I1353:J1353"/>
    <mergeCell ref="I1354:J1354"/>
    <mergeCell ref="I1355:J1355"/>
    <mergeCell ref="K1353:L1353"/>
    <mergeCell ref="K1354:L1354"/>
    <mergeCell ref="K1355:L1355"/>
    <mergeCell ref="M1353:O1353"/>
    <mergeCell ref="A1347:A1355"/>
    <mergeCell ref="B1347:D1355"/>
    <mergeCell ref="F1347:H1355"/>
    <mergeCell ref="I1347:J1347"/>
    <mergeCell ref="I1348:J1348"/>
    <mergeCell ref="I1349:J1349"/>
    <mergeCell ref="I1350:J1350"/>
    <mergeCell ref="I1351:J1351"/>
    <mergeCell ref="I1352:J1352"/>
    <mergeCell ref="M1361:O1361"/>
    <mergeCell ref="V1361:W1361"/>
    <mergeCell ref="F1362:H1367"/>
    <mergeCell ref="I1362:J1362"/>
    <mergeCell ref="I1363:J1363"/>
    <mergeCell ref="I1364:J1364"/>
    <mergeCell ref="I1365:J1365"/>
    <mergeCell ref="I1366:J1366"/>
    <mergeCell ref="I1367:J1367"/>
    <mergeCell ref="K1362:L1362"/>
    <mergeCell ref="AF1356:AH1373"/>
    <mergeCell ref="AI1356:AI1397"/>
    <mergeCell ref="M1357:O1357"/>
    <mergeCell ref="V1357:W1357"/>
    <mergeCell ref="M1358:O1358"/>
    <mergeCell ref="V1358:W1358"/>
    <mergeCell ref="M1359:O1359"/>
    <mergeCell ref="V1359:W1359"/>
    <mergeCell ref="M1360:O1360"/>
    <mergeCell ref="V1360:W1360"/>
    <mergeCell ref="AC1368:AD1368"/>
    <mergeCell ref="AC1369:AD1369"/>
    <mergeCell ref="AC1370:AD1370"/>
    <mergeCell ref="AC1371:AD1371"/>
    <mergeCell ref="AC1372:AD1372"/>
    <mergeCell ref="AC1373:AD1373"/>
    <mergeCell ref="AC1362:AD1362"/>
    <mergeCell ref="AC1363:AD1363"/>
    <mergeCell ref="AC1364:AD1364"/>
    <mergeCell ref="AC1365:AD1365"/>
    <mergeCell ref="AC1366:AD1366"/>
    <mergeCell ref="AC1367:AD1367"/>
    <mergeCell ref="V1356:W1356"/>
    <mergeCell ref="X1356:Z1361"/>
    <mergeCell ref="AA1356:AB1361"/>
    <mergeCell ref="AC1356:AD1356"/>
    <mergeCell ref="AC1357:AD1357"/>
    <mergeCell ref="AC1358:AD1358"/>
    <mergeCell ref="AC1359:AD1359"/>
    <mergeCell ref="AC1360:AD1360"/>
    <mergeCell ref="AC1361:AD1361"/>
    <mergeCell ref="T1356:U1356"/>
    <mergeCell ref="T1357:U1357"/>
    <mergeCell ref="T1358:U1358"/>
    <mergeCell ref="T1359:U1359"/>
    <mergeCell ref="T1360:U1360"/>
    <mergeCell ref="T1361:U1361"/>
    <mergeCell ref="P1361:Q1361"/>
    <mergeCell ref="R1356:S1356"/>
    <mergeCell ref="R1357:S1357"/>
    <mergeCell ref="R1358:S1358"/>
    <mergeCell ref="R1359:S1359"/>
    <mergeCell ref="R1360:S1360"/>
    <mergeCell ref="R1361:S1361"/>
    <mergeCell ref="M1356:O1356"/>
    <mergeCell ref="P1356:Q1356"/>
    <mergeCell ref="P1357:Q1357"/>
    <mergeCell ref="P1358:Q1358"/>
    <mergeCell ref="P1359:Q1359"/>
    <mergeCell ref="P1360:Q1360"/>
    <mergeCell ref="K1356:L1356"/>
    <mergeCell ref="K1357:L1357"/>
    <mergeCell ref="K1358:L1358"/>
    <mergeCell ref="K1359:L1359"/>
    <mergeCell ref="V1366:W1366"/>
    <mergeCell ref="M1367:O1367"/>
    <mergeCell ref="V1367:W1367"/>
    <mergeCell ref="F1368:H1373"/>
    <mergeCell ref="I1368:J1368"/>
    <mergeCell ref="I1369:J1369"/>
    <mergeCell ref="I1370:J1370"/>
    <mergeCell ref="I1371:J1371"/>
    <mergeCell ref="I1372:J1372"/>
    <mergeCell ref="I1373:J1373"/>
    <mergeCell ref="V1362:W1362"/>
    <mergeCell ref="X1362:Z1367"/>
    <mergeCell ref="AA1362:AB1367"/>
    <mergeCell ref="M1363:O1363"/>
    <mergeCell ref="V1363:W1363"/>
    <mergeCell ref="M1364:O1364"/>
    <mergeCell ref="V1364:W1364"/>
    <mergeCell ref="M1365:O1365"/>
    <mergeCell ref="V1365:W1365"/>
    <mergeCell ref="M1366:O1366"/>
    <mergeCell ref="T1362:U1362"/>
    <mergeCell ref="T1363:U1363"/>
    <mergeCell ref="T1364:U1364"/>
    <mergeCell ref="T1365:U1365"/>
    <mergeCell ref="T1366:U1366"/>
    <mergeCell ref="T1367:U1367"/>
    <mergeCell ref="R1362:S1362"/>
    <mergeCell ref="R1363:S1363"/>
    <mergeCell ref="R1364:S1364"/>
    <mergeCell ref="R1365:S1365"/>
    <mergeCell ref="R1366:S1366"/>
    <mergeCell ref="R1367:S1367"/>
    <mergeCell ref="P1362:Q1362"/>
    <mergeCell ref="P1363:Q1363"/>
    <mergeCell ref="P1364:Q1364"/>
    <mergeCell ref="P1365:Q1365"/>
    <mergeCell ref="P1366:Q1366"/>
    <mergeCell ref="P1367:Q1367"/>
    <mergeCell ref="K1363:L1363"/>
    <mergeCell ref="K1364:L1364"/>
    <mergeCell ref="K1365:L1365"/>
    <mergeCell ref="K1366:L1366"/>
    <mergeCell ref="K1367:L1367"/>
    <mergeCell ref="M1362:O1362"/>
    <mergeCell ref="V1372:W1372"/>
    <mergeCell ref="M1373:O1373"/>
    <mergeCell ref="V1373:W1373"/>
    <mergeCell ref="A1374:A1379"/>
    <mergeCell ref="B1374:D1379"/>
    <mergeCell ref="F1374:H1376"/>
    <mergeCell ref="I1374:J1374"/>
    <mergeCell ref="I1375:J1375"/>
    <mergeCell ref="I1376:J1376"/>
    <mergeCell ref="K1374:L1374"/>
    <mergeCell ref="V1368:W1368"/>
    <mergeCell ref="X1368:Z1373"/>
    <mergeCell ref="AA1368:AB1373"/>
    <mergeCell ref="M1369:O1369"/>
    <mergeCell ref="V1369:W1369"/>
    <mergeCell ref="M1370:O1370"/>
    <mergeCell ref="V1370:W1370"/>
    <mergeCell ref="M1371:O1371"/>
    <mergeCell ref="V1371:W1371"/>
    <mergeCell ref="M1372:O1372"/>
    <mergeCell ref="T1368:U1368"/>
    <mergeCell ref="T1369:U1369"/>
    <mergeCell ref="T1370:U1370"/>
    <mergeCell ref="T1371:U1371"/>
    <mergeCell ref="T1372:U1372"/>
    <mergeCell ref="T1373:U1373"/>
    <mergeCell ref="P1373:Q1373"/>
    <mergeCell ref="R1368:S1368"/>
    <mergeCell ref="R1369:S1369"/>
    <mergeCell ref="R1370:S1370"/>
    <mergeCell ref="R1371:S1371"/>
    <mergeCell ref="R1372:S1372"/>
    <mergeCell ref="R1373:S1373"/>
    <mergeCell ref="M1368:O1368"/>
    <mergeCell ref="P1368:Q1368"/>
    <mergeCell ref="P1369:Q1369"/>
    <mergeCell ref="P1370:Q1370"/>
    <mergeCell ref="P1371:Q1371"/>
    <mergeCell ref="P1372:Q1372"/>
    <mergeCell ref="K1368:L1368"/>
    <mergeCell ref="K1369:L1369"/>
    <mergeCell ref="K1370:L1370"/>
    <mergeCell ref="K1371:L1371"/>
    <mergeCell ref="K1372:L1372"/>
    <mergeCell ref="K1373:L1373"/>
    <mergeCell ref="T1377:U1377"/>
    <mergeCell ref="T1378:U1378"/>
    <mergeCell ref="T1379:U1379"/>
    <mergeCell ref="V1377:W1377"/>
    <mergeCell ref="X1377:Z1379"/>
    <mergeCell ref="AA1377:AB1379"/>
    <mergeCell ref="V1378:W1378"/>
    <mergeCell ref="V1379:W1379"/>
    <mergeCell ref="M1377:O1377"/>
    <mergeCell ref="P1377:Q1377"/>
    <mergeCell ref="P1378:Q1378"/>
    <mergeCell ref="P1379:Q1379"/>
    <mergeCell ref="R1377:S1377"/>
    <mergeCell ref="R1378:S1378"/>
    <mergeCell ref="R1379:S1379"/>
    <mergeCell ref="M1378:O1378"/>
    <mergeCell ref="M1379:O1379"/>
    <mergeCell ref="F1377:H1379"/>
    <mergeCell ref="I1377:J1377"/>
    <mergeCell ref="I1378:J1378"/>
    <mergeCell ref="I1379:J1379"/>
    <mergeCell ref="K1377:L1377"/>
    <mergeCell ref="K1378:L1378"/>
    <mergeCell ref="K1379:L1379"/>
    <mergeCell ref="AC1377:AD1377"/>
    <mergeCell ref="AC1378:AD1378"/>
    <mergeCell ref="AC1379:AD1379"/>
    <mergeCell ref="AF1374:AH1374"/>
    <mergeCell ref="AF1375:AH1375"/>
    <mergeCell ref="AF1376:AH1376"/>
    <mergeCell ref="AF1377:AH1377"/>
    <mergeCell ref="AF1378:AH1378"/>
    <mergeCell ref="AF1379:AH1379"/>
    <mergeCell ref="V1374:W1374"/>
    <mergeCell ref="X1374:Z1376"/>
    <mergeCell ref="AA1374:AB1376"/>
    <mergeCell ref="AC1374:AD1374"/>
    <mergeCell ref="AC1375:AD1375"/>
    <mergeCell ref="AC1376:AD1376"/>
    <mergeCell ref="V1375:W1375"/>
    <mergeCell ref="V1376:W1376"/>
    <mergeCell ref="R1374:S1374"/>
    <mergeCell ref="R1375:S1375"/>
    <mergeCell ref="R1376:S1376"/>
    <mergeCell ref="T1374:U1374"/>
    <mergeCell ref="T1375:U1375"/>
    <mergeCell ref="T1376:U1376"/>
    <mergeCell ref="K1375:L1375"/>
    <mergeCell ref="K1376:L1376"/>
    <mergeCell ref="M1374:O1374"/>
    <mergeCell ref="P1374:Q1374"/>
    <mergeCell ref="P1375:Q1375"/>
    <mergeCell ref="P1376:Q1376"/>
    <mergeCell ref="M1375:O1375"/>
    <mergeCell ref="M1376:O1376"/>
    <mergeCell ref="T1384:U1384"/>
    <mergeCell ref="V1384:W1384"/>
    <mergeCell ref="M1385:O1385"/>
    <mergeCell ref="T1385:U1385"/>
    <mergeCell ref="V1385:W1385"/>
    <mergeCell ref="A1386:A1397"/>
    <mergeCell ref="B1386:D1397"/>
    <mergeCell ref="F1386:H1391"/>
    <mergeCell ref="I1386:J1386"/>
    <mergeCell ref="I1387:J1387"/>
    <mergeCell ref="T1381:U1381"/>
    <mergeCell ref="V1381:W1381"/>
    <mergeCell ref="M1382:O1382"/>
    <mergeCell ref="T1382:U1382"/>
    <mergeCell ref="V1382:W1382"/>
    <mergeCell ref="M1383:O1383"/>
    <mergeCell ref="T1383:U1383"/>
    <mergeCell ref="V1383:W1383"/>
    <mergeCell ref="AF1380:AH1380"/>
    <mergeCell ref="AF1381:AH1381"/>
    <mergeCell ref="AF1382:AH1382"/>
    <mergeCell ref="AF1383:AH1383"/>
    <mergeCell ref="AF1384:AH1384"/>
    <mergeCell ref="AF1385:AH1385"/>
    <mergeCell ref="T1380:U1380"/>
    <mergeCell ref="V1380:W1380"/>
    <mergeCell ref="X1380:Z1385"/>
    <mergeCell ref="AA1380:AB1385"/>
    <mergeCell ref="AC1380:AD1380"/>
    <mergeCell ref="AC1381:AD1381"/>
    <mergeCell ref="AC1382:AD1382"/>
    <mergeCell ref="AC1383:AD1383"/>
    <mergeCell ref="AC1384:AD1384"/>
    <mergeCell ref="AC1385:AD1385"/>
    <mergeCell ref="P1385:Q1385"/>
    <mergeCell ref="R1380:S1380"/>
    <mergeCell ref="R1381:S1381"/>
    <mergeCell ref="R1382:S1382"/>
    <mergeCell ref="R1383:S1383"/>
    <mergeCell ref="R1384:S1384"/>
    <mergeCell ref="R1385:S1385"/>
    <mergeCell ref="M1380:O1380"/>
    <mergeCell ref="P1380:Q1380"/>
    <mergeCell ref="P1381:Q1381"/>
    <mergeCell ref="P1382:Q1382"/>
    <mergeCell ref="P1383:Q1383"/>
    <mergeCell ref="P1384:Q1384"/>
    <mergeCell ref="M1381:O1381"/>
    <mergeCell ref="M1384:O1384"/>
    <mergeCell ref="K1380:L1380"/>
    <mergeCell ref="K1381:L1381"/>
    <mergeCell ref="K1382:L1382"/>
    <mergeCell ref="K1383:L1383"/>
    <mergeCell ref="K1384:L1384"/>
    <mergeCell ref="K1385:L1385"/>
    <mergeCell ref="A1380:A1385"/>
    <mergeCell ref="B1380:D1385"/>
    <mergeCell ref="F1380:H1385"/>
    <mergeCell ref="I1380:J1380"/>
    <mergeCell ref="I1381:J1381"/>
    <mergeCell ref="I1382:J1382"/>
    <mergeCell ref="I1383:J1383"/>
    <mergeCell ref="I1384:J1384"/>
    <mergeCell ref="I1385:J1385"/>
    <mergeCell ref="I1392:J1392"/>
    <mergeCell ref="I1393:J1393"/>
    <mergeCell ref="I1394:J1394"/>
    <mergeCell ref="I1395:J1395"/>
    <mergeCell ref="I1396:J1396"/>
    <mergeCell ref="I1397:J1397"/>
    <mergeCell ref="AF1386:AH1397"/>
    <mergeCell ref="M1387:O1387"/>
    <mergeCell ref="V1387:W1387"/>
    <mergeCell ref="M1388:O1388"/>
    <mergeCell ref="V1388:W1388"/>
    <mergeCell ref="M1389:O1389"/>
    <mergeCell ref="V1389:W1389"/>
    <mergeCell ref="M1390:O1390"/>
    <mergeCell ref="V1390:W1390"/>
    <mergeCell ref="M1391:O1391"/>
    <mergeCell ref="AC1392:AD1392"/>
    <mergeCell ref="AC1393:AD1393"/>
    <mergeCell ref="AC1394:AD1394"/>
    <mergeCell ref="AC1395:AD1395"/>
    <mergeCell ref="AC1396:AD1396"/>
    <mergeCell ref="AC1397:AD1397"/>
    <mergeCell ref="V1386:W1386"/>
    <mergeCell ref="X1386:Z1391"/>
    <mergeCell ref="AA1386:AB1391"/>
    <mergeCell ref="AC1386:AD1386"/>
    <mergeCell ref="AC1387:AD1387"/>
    <mergeCell ref="AC1388:AD1388"/>
    <mergeCell ref="AC1389:AD1389"/>
    <mergeCell ref="AC1390:AD1390"/>
    <mergeCell ref="AC1391:AD1391"/>
    <mergeCell ref="V1391:W1391"/>
    <mergeCell ref="T1386:U1386"/>
    <mergeCell ref="T1387:U1387"/>
    <mergeCell ref="T1388:U1388"/>
    <mergeCell ref="T1389:U1389"/>
    <mergeCell ref="T1390:U1390"/>
    <mergeCell ref="T1391:U1391"/>
    <mergeCell ref="P1391:Q1391"/>
    <mergeCell ref="R1386:S1386"/>
    <mergeCell ref="R1387:S1387"/>
    <mergeCell ref="R1388:S1388"/>
    <mergeCell ref="R1389:S1389"/>
    <mergeCell ref="R1390:S1390"/>
    <mergeCell ref="R1391:S1391"/>
    <mergeCell ref="M1386:O1386"/>
    <mergeCell ref="P1386:Q1386"/>
    <mergeCell ref="P1387:Q1387"/>
    <mergeCell ref="P1388:Q1388"/>
    <mergeCell ref="P1389:Q1389"/>
    <mergeCell ref="P1390:Q1390"/>
    <mergeCell ref="I1388:J1388"/>
    <mergeCell ref="I1389:J1389"/>
    <mergeCell ref="I1390:J1390"/>
    <mergeCell ref="I1391:J1391"/>
    <mergeCell ref="K1386:L1386"/>
    <mergeCell ref="K1387:L1387"/>
    <mergeCell ref="K1388:L1388"/>
    <mergeCell ref="K1389:L1389"/>
    <mergeCell ref="K1390:L1390"/>
    <mergeCell ref="K1391:L1391"/>
    <mergeCell ref="AC1400:AD1400"/>
    <mergeCell ref="AC1401:AD1401"/>
    <mergeCell ref="AC1402:AD1402"/>
    <mergeCell ref="AF1398:AH1402"/>
    <mergeCell ref="I1399:J1399"/>
    <mergeCell ref="K1399:L1399"/>
    <mergeCell ref="M1399:O1399"/>
    <mergeCell ref="P1399:Q1399"/>
    <mergeCell ref="R1399:S1399"/>
    <mergeCell ref="T1399:U1399"/>
    <mergeCell ref="R1398:S1398"/>
    <mergeCell ref="T1398:U1398"/>
    <mergeCell ref="V1398:W1398"/>
    <mergeCell ref="X1398:Z1399"/>
    <mergeCell ref="AA1398:AB1399"/>
    <mergeCell ref="AC1398:AD1398"/>
    <mergeCell ref="AC1399:AD1399"/>
    <mergeCell ref="V1399:W1399"/>
    <mergeCell ref="V1396:W1396"/>
    <mergeCell ref="M1397:O1397"/>
    <mergeCell ref="V1397:W1397"/>
    <mergeCell ref="A1398:A1402"/>
    <mergeCell ref="B1398:D1402"/>
    <mergeCell ref="F1398:H1399"/>
    <mergeCell ref="I1398:J1398"/>
    <mergeCell ref="K1398:L1398"/>
    <mergeCell ref="M1398:O1398"/>
    <mergeCell ref="P1398:Q1398"/>
    <mergeCell ref="V1392:W1392"/>
    <mergeCell ref="X1392:Z1397"/>
    <mergeCell ref="AA1392:AB1397"/>
    <mergeCell ref="M1393:O1393"/>
    <mergeCell ref="V1393:W1393"/>
    <mergeCell ref="M1394:O1394"/>
    <mergeCell ref="V1394:W1394"/>
    <mergeCell ref="M1395:O1395"/>
    <mergeCell ref="V1395:W1395"/>
    <mergeCell ref="M1396:O1396"/>
    <mergeCell ref="T1392:U1392"/>
    <mergeCell ref="T1393:U1393"/>
    <mergeCell ref="T1394:U1394"/>
    <mergeCell ref="T1395:U1395"/>
    <mergeCell ref="T1396:U1396"/>
    <mergeCell ref="T1397:U1397"/>
    <mergeCell ref="P1397:Q1397"/>
    <mergeCell ref="R1392:S1392"/>
    <mergeCell ref="R1393:S1393"/>
    <mergeCell ref="R1394:S1394"/>
    <mergeCell ref="R1395:S1395"/>
    <mergeCell ref="R1396:S1396"/>
    <mergeCell ref="R1397:S1397"/>
    <mergeCell ref="M1392:O1392"/>
    <mergeCell ref="P1392:Q1392"/>
    <mergeCell ref="P1393:Q1393"/>
    <mergeCell ref="P1394:Q1394"/>
    <mergeCell ref="P1395:Q1395"/>
    <mergeCell ref="P1396:Q1396"/>
    <mergeCell ref="K1392:L1392"/>
    <mergeCell ref="K1393:L1393"/>
    <mergeCell ref="K1394:L1394"/>
    <mergeCell ref="K1395:L1395"/>
    <mergeCell ref="K1396:L1396"/>
    <mergeCell ref="K1397:L1397"/>
    <mergeCell ref="F1392:H1397"/>
    <mergeCell ref="M1403:O1403"/>
    <mergeCell ref="P1403:Q1403"/>
    <mergeCell ref="P1404:Q1404"/>
    <mergeCell ref="P1405:Q1405"/>
    <mergeCell ref="P1406:Q1406"/>
    <mergeCell ref="P1407:Q1407"/>
    <mergeCell ref="T1402:U1402"/>
    <mergeCell ref="V1402:W1402"/>
    <mergeCell ref="X1402:Z1402"/>
    <mergeCell ref="AA1402:AB1402"/>
    <mergeCell ref="A1403:A1414"/>
    <mergeCell ref="B1403:D1414"/>
    <mergeCell ref="F1403:H1403"/>
    <mergeCell ref="I1403:J1403"/>
    <mergeCell ref="K1403:L1403"/>
    <mergeCell ref="K1404:L1404"/>
    <mergeCell ref="T1401:U1401"/>
    <mergeCell ref="V1401:W1401"/>
    <mergeCell ref="X1401:Z1401"/>
    <mergeCell ref="AA1401:AB1401"/>
    <mergeCell ref="F1402:H1402"/>
    <mergeCell ref="I1402:J1402"/>
    <mergeCell ref="K1402:L1402"/>
    <mergeCell ref="M1402:O1402"/>
    <mergeCell ref="P1402:Q1402"/>
    <mergeCell ref="R1402:S1402"/>
    <mergeCell ref="T1400:U1400"/>
    <mergeCell ref="V1400:W1400"/>
    <mergeCell ref="X1400:Z1400"/>
    <mergeCell ref="AA1400:AB1400"/>
    <mergeCell ref="F1401:H1401"/>
    <mergeCell ref="I1401:J1401"/>
    <mergeCell ref="K1401:L1401"/>
    <mergeCell ref="M1401:O1401"/>
    <mergeCell ref="P1401:Q1401"/>
    <mergeCell ref="R1401:S1401"/>
    <mergeCell ref="F1400:H1400"/>
    <mergeCell ref="I1400:J1400"/>
    <mergeCell ref="K1400:L1400"/>
    <mergeCell ref="M1400:O1400"/>
    <mergeCell ref="P1400:Q1400"/>
    <mergeCell ref="R1400:S1400"/>
    <mergeCell ref="F1408:H1408"/>
    <mergeCell ref="I1408:J1408"/>
    <mergeCell ref="M1408:O1408"/>
    <mergeCell ref="V1408:W1408"/>
    <mergeCell ref="F1409:H1409"/>
    <mergeCell ref="I1409:J1409"/>
    <mergeCell ref="K1409:L1409"/>
    <mergeCell ref="P1409:Q1409"/>
    <mergeCell ref="F1406:H1406"/>
    <mergeCell ref="I1406:J1406"/>
    <mergeCell ref="M1406:O1406"/>
    <mergeCell ref="V1406:W1406"/>
    <mergeCell ref="F1407:H1407"/>
    <mergeCell ref="I1407:J1407"/>
    <mergeCell ref="M1407:O1407"/>
    <mergeCell ref="V1407:W1407"/>
    <mergeCell ref="AF1403:AH1414"/>
    <mergeCell ref="AI1403:AI1426"/>
    <mergeCell ref="F1404:H1404"/>
    <mergeCell ref="I1404:J1404"/>
    <mergeCell ref="M1404:O1404"/>
    <mergeCell ref="V1404:W1404"/>
    <mergeCell ref="F1405:H1405"/>
    <mergeCell ref="I1405:J1405"/>
    <mergeCell ref="M1405:O1405"/>
    <mergeCell ref="V1405:W1405"/>
    <mergeCell ref="AC1409:AD1409"/>
    <mergeCell ref="AC1410:AD1410"/>
    <mergeCell ref="AC1411:AD1411"/>
    <mergeCell ref="AC1412:AD1412"/>
    <mergeCell ref="AC1413:AD1413"/>
    <mergeCell ref="AC1414:AD1414"/>
    <mergeCell ref="V1403:W1403"/>
    <mergeCell ref="X1403:Z1408"/>
    <mergeCell ref="AA1403:AB1408"/>
    <mergeCell ref="AC1403:AD1403"/>
    <mergeCell ref="AC1404:AD1404"/>
    <mergeCell ref="AC1405:AD1405"/>
    <mergeCell ref="AC1406:AD1406"/>
    <mergeCell ref="AC1407:AD1407"/>
    <mergeCell ref="AC1408:AD1408"/>
    <mergeCell ref="T1403:U1403"/>
    <mergeCell ref="T1404:U1404"/>
    <mergeCell ref="T1405:U1405"/>
    <mergeCell ref="T1406:U1406"/>
    <mergeCell ref="T1407:U1407"/>
    <mergeCell ref="T1408:U1408"/>
    <mergeCell ref="R1409:S1409"/>
    <mergeCell ref="R1410:S1410"/>
    <mergeCell ref="R1411:S1411"/>
    <mergeCell ref="R1412:S1412"/>
    <mergeCell ref="R1413:S1413"/>
    <mergeCell ref="R1414:S1414"/>
    <mergeCell ref="P1408:Q1408"/>
    <mergeCell ref="R1403:S1403"/>
    <mergeCell ref="R1404:S1404"/>
    <mergeCell ref="R1405:S1405"/>
    <mergeCell ref="R1406:S1406"/>
    <mergeCell ref="R1407:S1407"/>
    <mergeCell ref="R1408:S1408"/>
    <mergeCell ref="K1405:L1405"/>
    <mergeCell ref="K1406:L1406"/>
    <mergeCell ref="K1407:L1407"/>
    <mergeCell ref="K1408:L1408"/>
    <mergeCell ref="F1414:H1414"/>
    <mergeCell ref="I1414:J1414"/>
    <mergeCell ref="M1414:O1414"/>
    <mergeCell ref="V1414:W1414"/>
    <mergeCell ref="A1415:A1426"/>
    <mergeCell ref="B1415:D1426"/>
    <mergeCell ref="F1415:H1420"/>
    <mergeCell ref="I1415:J1415"/>
    <mergeCell ref="K1415:L1415"/>
    <mergeCell ref="K1416:L1416"/>
    <mergeCell ref="V1411:W1411"/>
    <mergeCell ref="F1412:H1412"/>
    <mergeCell ref="I1412:J1412"/>
    <mergeCell ref="M1412:O1412"/>
    <mergeCell ref="V1412:W1412"/>
    <mergeCell ref="F1413:H1413"/>
    <mergeCell ref="I1413:J1413"/>
    <mergeCell ref="M1413:O1413"/>
    <mergeCell ref="V1413:W1413"/>
    <mergeCell ref="T1414:U1414"/>
    <mergeCell ref="V1409:W1409"/>
    <mergeCell ref="X1409:Z1414"/>
    <mergeCell ref="AA1409:AB1414"/>
    <mergeCell ref="F1410:H1410"/>
    <mergeCell ref="I1410:J1410"/>
    <mergeCell ref="M1410:O1410"/>
    <mergeCell ref="V1410:W1410"/>
    <mergeCell ref="F1411:H1411"/>
    <mergeCell ref="I1411:J1411"/>
    <mergeCell ref="P1410:Q1410"/>
    <mergeCell ref="P1411:Q1411"/>
    <mergeCell ref="P1412:Q1412"/>
    <mergeCell ref="P1413:Q1413"/>
    <mergeCell ref="P1414:Q1414"/>
    <mergeCell ref="T1409:U1409"/>
    <mergeCell ref="T1410:U1410"/>
    <mergeCell ref="T1411:U1411"/>
    <mergeCell ref="T1412:U1412"/>
    <mergeCell ref="T1413:U1413"/>
    <mergeCell ref="K1410:L1410"/>
    <mergeCell ref="K1411:L1411"/>
    <mergeCell ref="K1412:L1412"/>
    <mergeCell ref="K1413:L1413"/>
    <mergeCell ref="K1414:L1414"/>
    <mergeCell ref="M1409:O1409"/>
    <mergeCell ref="M1411:O1411"/>
    <mergeCell ref="I1420:J1420"/>
    <mergeCell ref="M1420:O1420"/>
    <mergeCell ref="R1420:S1420"/>
    <mergeCell ref="V1420:W1420"/>
    <mergeCell ref="F1421:H1426"/>
    <mergeCell ref="I1421:J1421"/>
    <mergeCell ref="K1421:L1421"/>
    <mergeCell ref="K1422:L1422"/>
    <mergeCell ref="K1423:L1423"/>
    <mergeCell ref="K1424:L1424"/>
    <mergeCell ref="M1418:O1418"/>
    <mergeCell ref="R1418:S1418"/>
    <mergeCell ref="V1418:W1418"/>
    <mergeCell ref="I1419:J1419"/>
    <mergeCell ref="M1419:O1419"/>
    <mergeCell ref="R1419:S1419"/>
    <mergeCell ref="V1419:W1419"/>
    <mergeCell ref="AF1415:AH1426"/>
    <mergeCell ref="I1416:J1416"/>
    <mergeCell ref="M1416:O1416"/>
    <mergeCell ref="R1416:S1416"/>
    <mergeCell ref="V1416:W1416"/>
    <mergeCell ref="I1417:J1417"/>
    <mergeCell ref="M1417:O1417"/>
    <mergeCell ref="R1417:S1417"/>
    <mergeCell ref="V1417:W1417"/>
    <mergeCell ref="I1418:J1418"/>
    <mergeCell ref="AC1421:AD1421"/>
    <mergeCell ref="AC1422:AD1422"/>
    <mergeCell ref="AC1423:AD1423"/>
    <mergeCell ref="AC1424:AD1424"/>
    <mergeCell ref="AC1425:AD1425"/>
    <mergeCell ref="AC1426:AD1426"/>
    <mergeCell ref="V1415:W1415"/>
    <mergeCell ref="X1415:Z1420"/>
    <mergeCell ref="AA1415:AB1420"/>
    <mergeCell ref="AC1415:AD1415"/>
    <mergeCell ref="AC1416:AD1416"/>
    <mergeCell ref="AC1417:AD1417"/>
    <mergeCell ref="AC1418:AD1418"/>
    <mergeCell ref="AC1419:AD1419"/>
    <mergeCell ref="AC1420:AD1420"/>
    <mergeCell ref="P1420:Q1420"/>
    <mergeCell ref="R1415:S1415"/>
    <mergeCell ref="T1415:U1415"/>
    <mergeCell ref="T1416:U1416"/>
    <mergeCell ref="T1417:U1417"/>
    <mergeCell ref="T1418:U1418"/>
    <mergeCell ref="T1419:U1419"/>
    <mergeCell ref="T1420:U1420"/>
    <mergeCell ref="K1417:L1417"/>
    <mergeCell ref="K1418:L1418"/>
    <mergeCell ref="K1419:L1419"/>
    <mergeCell ref="K1420:L1420"/>
    <mergeCell ref="M1415:O1415"/>
    <mergeCell ref="P1415:Q1415"/>
    <mergeCell ref="P1416:Q1416"/>
    <mergeCell ref="P1417:Q1417"/>
    <mergeCell ref="P1418:Q1418"/>
    <mergeCell ref="P1419:Q1419"/>
    <mergeCell ref="I1426:J1426"/>
    <mergeCell ref="M1426:O1426"/>
    <mergeCell ref="R1426:S1426"/>
    <mergeCell ref="V1426:W1426"/>
    <mergeCell ref="A1427:A1432"/>
    <mergeCell ref="B1427:D1432"/>
    <mergeCell ref="F1427:H1427"/>
    <mergeCell ref="I1427:J1427"/>
    <mergeCell ref="K1427:L1427"/>
    <mergeCell ref="M1427:O1427"/>
    <mergeCell ref="V1423:W1423"/>
    <mergeCell ref="I1424:J1424"/>
    <mergeCell ref="M1424:O1424"/>
    <mergeCell ref="R1424:S1424"/>
    <mergeCell ref="V1424:W1424"/>
    <mergeCell ref="I1425:J1425"/>
    <mergeCell ref="M1425:O1425"/>
    <mergeCell ref="R1425:S1425"/>
    <mergeCell ref="V1425:W1425"/>
    <mergeCell ref="T1426:U1426"/>
    <mergeCell ref="V1421:W1421"/>
    <mergeCell ref="X1421:Z1426"/>
    <mergeCell ref="AA1421:AB1426"/>
    <mergeCell ref="I1422:J1422"/>
    <mergeCell ref="M1422:O1422"/>
    <mergeCell ref="R1422:S1422"/>
    <mergeCell ref="V1422:W1422"/>
    <mergeCell ref="I1423:J1423"/>
    <mergeCell ref="M1423:O1423"/>
    <mergeCell ref="R1421:S1421"/>
    <mergeCell ref="T1421:U1421"/>
    <mergeCell ref="T1422:U1422"/>
    <mergeCell ref="T1423:U1423"/>
    <mergeCell ref="T1424:U1424"/>
    <mergeCell ref="T1425:U1425"/>
    <mergeCell ref="R1423:S1423"/>
    <mergeCell ref="K1425:L1425"/>
    <mergeCell ref="K1426:L1426"/>
    <mergeCell ref="M1421:O1421"/>
    <mergeCell ref="P1421:Q1421"/>
    <mergeCell ref="P1422:Q1422"/>
    <mergeCell ref="P1423:Q1423"/>
    <mergeCell ref="P1424:Q1424"/>
    <mergeCell ref="P1425:Q1425"/>
    <mergeCell ref="P1426:Q1426"/>
    <mergeCell ref="V1430:W1430"/>
    <mergeCell ref="X1430:Z1430"/>
    <mergeCell ref="AA1430:AB1430"/>
    <mergeCell ref="F1431:H1431"/>
    <mergeCell ref="I1431:J1431"/>
    <mergeCell ref="K1431:L1431"/>
    <mergeCell ref="M1431:O1431"/>
    <mergeCell ref="P1431:Q1431"/>
    <mergeCell ref="T1431:U1431"/>
    <mergeCell ref="V1431:W1431"/>
    <mergeCell ref="F1430:H1430"/>
    <mergeCell ref="I1430:J1430"/>
    <mergeCell ref="K1430:L1430"/>
    <mergeCell ref="M1430:O1430"/>
    <mergeCell ref="P1430:Q1430"/>
    <mergeCell ref="T1430:U1430"/>
    <mergeCell ref="AA1428:AB1428"/>
    <mergeCell ref="F1429:H1429"/>
    <mergeCell ref="I1429:J1429"/>
    <mergeCell ref="K1429:L1429"/>
    <mergeCell ref="M1429:O1429"/>
    <mergeCell ref="P1429:Q1429"/>
    <mergeCell ref="T1429:U1429"/>
    <mergeCell ref="V1429:W1429"/>
    <mergeCell ref="X1429:Z1429"/>
    <mergeCell ref="AA1429:AB1429"/>
    <mergeCell ref="AC1432:AD1432"/>
    <mergeCell ref="AF1427:AH1432"/>
    <mergeCell ref="F1428:H1428"/>
    <mergeCell ref="I1428:J1428"/>
    <mergeCell ref="K1428:L1428"/>
    <mergeCell ref="M1428:O1428"/>
    <mergeCell ref="P1428:Q1428"/>
    <mergeCell ref="T1428:U1428"/>
    <mergeCell ref="V1428:W1428"/>
    <mergeCell ref="X1428:Z1428"/>
    <mergeCell ref="R1432:S1432"/>
    <mergeCell ref="T1427:U1427"/>
    <mergeCell ref="V1427:W1427"/>
    <mergeCell ref="X1427:Z1427"/>
    <mergeCell ref="AA1427:AB1427"/>
    <mergeCell ref="AC1427:AD1427"/>
    <mergeCell ref="AC1428:AD1428"/>
    <mergeCell ref="AC1429:AD1429"/>
    <mergeCell ref="AC1430:AD1430"/>
    <mergeCell ref="AC1431:AD1431"/>
    <mergeCell ref="P1427:Q1427"/>
    <mergeCell ref="R1427:S1427"/>
    <mergeCell ref="R1428:S1428"/>
    <mergeCell ref="R1429:S1429"/>
    <mergeCell ref="R1430:S1430"/>
    <mergeCell ref="R1431:S1431"/>
    <mergeCell ref="AC1444:AD1444"/>
    <mergeCell ref="AC1445:AD1445"/>
    <mergeCell ref="AC1446:AD1446"/>
    <mergeCell ref="AC1435:AD1435"/>
    <mergeCell ref="AC1436:AD1436"/>
    <mergeCell ref="AC1437:AD1437"/>
    <mergeCell ref="AC1438:AD1438"/>
    <mergeCell ref="AC1439:AD1439"/>
    <mergeCell ref="AC1440:AD1440"/>
    <mergeCell ref="T1433:U1433"/>
    <mergeCell ref="V1433:W1433"/>
    <mergeCell ref="X1433:Z1433"/>
    <mergeCell ref="AA1433:AB1433"/>
    <mergeCell ref="AC1433:AD1433"/>
    <mergeCell ref="AC1434:AD1434"/>
    <mergeCell ref="X1434:Z1434"/>
    <mergeCell ref="AA1434:AB1434"/>
    <mergeCell ref="AA1432:AB1432"/>
    <mergeCell ref="A1433:A1446"/>
    <mergeCell ref="B1433:D1446"/>
    <mergeCell ref="F1433:H1433"/>
    <mergeCell ref="I1433:J1433"/>
    <mergeCell ref="K1433:L1433"/>
    <mergeCell ref="M1433:O1433"/>
    <mergeCell ref="P1433:Q1433"/>
    <mergeCell ref="R1433:S1433"/>
    <mergeCell ref="R1434:S1434"/>
    <mergeCell ref="X1431:Z1431"/>
    <mergeCell ref="AA1431:AB1431"/>
    <mergeCell ref="F1432:H1432"/>
    <mergeCell ref="I1432:J1432"/>
    <mergeCell ref="K1432:L1432"/>
    <mergeCell ref="M1432:O1432"/>
    <mergeCell ref="P1432:Q1432"/>
    <mergeCell ref="T1432:U1432"/>
    <mergeCell ref="V1432:W1432"/>
    <mergeCell ref="X1432:Z1432"/>
    <mergeCell ref="X1437:Z1437"/>
    <mergeCell ref="AA1437:AB1437"/>
    <mergeCell ref="F1438:H1438"/>
    <mergeCell ref="I1438:J1438"/>
    <mergeCell ref="K1438:L1438"/>
    <mergeCell ref="M1438:O1438"/>
    <mergeCell ref="P1438:Q1438"/>
    <mergeCell ref="R1438:S1438"/>
    <mergeCell ref="F1437:H1437"/>
    <mergeCell ref="I1437:J1437"/>
    <mergeCell ref="K1437:L1437"/>
    <mergeCell ref="M1437:O1437"/>
    <mergeCell ref="P1437:Q1437"/>
    <mergeCell ref="T1437:U1437"/>
    <mergeCell ref="F1436:H1436"/>
    <mergeCell ref="I1436:J1436"/>
    <mergeCell ref="K1436:L1436"/>
    <mergeCell ref="M1436:O1436"/>
    <mergeCell ref="P1436:Q1436"/>
    <mergeCell ref="T1436:U1436"/>
    <mergeCell ref="R1436:S1436"/>
    <mergeCell ref="R1437:S1437"/>
    <mergeCell ref="T1435:U1435"/>
    <mergeCell ref="V1435:W1435"/>
    <mergeCell ref="X1435:Z1435"/>
    <mergeCell ref="AA1435:AB1435"/>
    <mergeCell ref="V1436:W1436"/>
    <mergeCell ref="X1436:Z1436"/>
    <mergeCell ref="AA1436:AB1436"/>
    <mergeCell ref="V1437:W1437"/>
    <mergeCell ref="F1435:H1435"/>
    <mergeCell ref="I1435:J1435"/>
    <mergeCell ref="K1435:L1435"/>
    <mergeCell ref="M1435:O1435"/>
    <mergeCell ref="P1435:Q1435"/>
    <mergeCell ref="R1435:S1435"/>
    <mergeCell ref="F1441:H1441"/>
    <mergeCell ref="I1441:J1441"/>
    <mergeCell ref="K1441:L1441"/>
    <mergeCell ref="M1441:O1441"/>
    <mergeCell ref="P1441:Q1441"/>
    <mergeCell ref="T1441:U1441"/>
    <mergeCell ref="R1441:S1441"/>
    <mergeCell ref="R1442:S1442"/>
    <mergeCell ref="T1440:U1440"/>
    <mergeCell ref="V1440:W1440"/>
    <mergeCell ref="X1440:Z1440"/>
    <mergeCell ref="AA1440:AB1440"/>
    <mergeCell ref="V1441:W1441"/>
    <mergeCell ref="X1441:Z1441"/>
    <mergeCell ref="AA1441:AB1441"/>
    <mergeCell ref="V1442:W1442"/>
    <mergeCell ref="T1439:U1439"/>
    <mergeCell ref="V1439:W1439"/>
    <mergeCell ref="X1439:Z1439"/>
    <mergeCell ref="AA1439:AB1439"/>
    <mergeCell ref="F1440:H1440"/>
    <mergeCell ref="I1440:J1440"/>
    <mergeCell ref="K1440:L1440"/>
    <mergeCell ref="M1440:O1440"/>
    <mergeCell ref="P1440:Q1440"/>
    <mergeCell ref="R1440:S1440"/>
    <mergeCell ref="R1439:S1439"/>
    <mergeCell ref="T1438:U1438"/>
    <mergeCell ref="V1438:W1438"/>
    <mergeCell ref="X1438:Z1438"/>
    <mergeCell ref="AA1438:AB1438"/>
    <mergeCell ref="F1439:H1439"/>
    <mergeCell ref="I1439:J1439"/>
    <mergeCell ref="K1439:L1439"/>
    <mergeCell ref="M1439:O1439"/>
    <mergeCell ref="P1439:Q1439"/>
    <mergeCell ref="T1444:U1444"/>
    <mergeCell ref="V1444:W1444"/>
    <mergeCell ref="X1444:Z1444"/>
    <mergeCell ref="AA1444:AB1444"/>
    <mergeCell ref="F1445:H1445"/>
    <mergeCell ref="I1445:J1445"/>
    <mergeCell ref="K1445:L1445"/>
    <mergeCell ref="M1445:O1445"/>
    <mergeCell ref="P1445:Q1445"/>
    <mergeCell ref="R1445:S1445"/>
    <mergeCell ref="R1444:S1444"/>
    <mergeCell ref="T1443:U1443"/>
    <mergeCell ref="V1443:W1443"/>
    <mergeCell ref="X1443:Z1443"/>
    <mergeCell ref="AA1443:AB1443"/>
    <mergeCell ref="F1444:H1444"/>
    <mergeCell ref="I1444:J1444"/>
    <mergeCell ref="K1444:L1444"/>
    <mergeCell ref="M1444:O1444"/>
    <mergeCell ref="P1444:Q1444"/>
    <mergeCell ref="X1442:Z1442"/>
    <mergeCell ref="AA1442:AB1442"/>
    <mergeCell ref="F1443:H1443"/>
    <mergeCell ref="I1443:J1443"/>
    <mergeCell ref="K1443:L1443"/>
    <mergeCell ref="M1443:O1443"/>
    <mergeCell ref="P1443:Q1443"/>
    <mergeCell ref="R1443:S1443"/>
    <mergeCell ref="F1442:H1442"/>
    <mergeCell ref="I1442:J1442"/>
    <mergeCell ref="K1442:L1442"/>
    <mergeCell ref="M1442:O1442"/>
    <mergeCell ref="P1442:Q1442"/>
    <mergeCell ref="T1442:U1442"/>
    <mergeCell ref="K1451:L1451"/>
    <mergeCell ref="K1452:L1452"/>
    <mergeCell ref="K1453:L1453"/>
    <mergeCell ref="AF1447:AH1447"/>
    <mergeCell ref="AI1447:AI1515"/>
    <mergeCell ref="A1448:A1453"/>
    <mergeCell ref="B1448:D1453"/>
    <mergeCell ref="F1448:H1453"/>
    <mergeCell ref="I1448:J1448"/>
    <mergeCell ref="I1449:J1449"/>
    <mergeCell ref="I1450:J1450"/>
    <mergeCell ref="I1451:J1451"/>
    <mergeCell ref="I1452:J1452"/>
    <mergeCell ref="R1447:S1447"/>
    <mergeCell ref="T1447:U1447"/>
    <mergeCell ref="V1447:W1447"/>
    <mergeCell ref="X1447:Z1447"/>
    <mergeCell ref="AA1447:AB1447"/>
    <mergeCell ref="AC1447:AD1447"/>
    <mergeCell ref="T1446:U1446"/>
    <mergeCell ref="V1446:W1446"/>
    <mergeCell ref="X1446:Z1446"/>
    <mergeCell ref="AA1446:AB1446"/>
    <mergeCell ref="B1447:D1447"/>
    <mergeCell ref="F1447:H1447"/>
    <mergeCell ref="I1447:J1447"/>
    <mergeCell ref="K1447:L1447"/>
    <mergeCell ref="M1447:O1447"/>
    <mergeCell ref="P1447:Q1447"/>
    <mergeCell ref="R1446:S1446"/>
    <mergeCell ref="T1445:U1445"/>
    <mergeCell ref="V1445:W1445"/>
    <mergeCell ref="X1445:Z1445"/>
    <mergeCell ref="AA1445:AB1445"/>
    <mergeCell ref="F1446:H1446"/>
    <mergeCell ref="I1446:J1446"/>
    <mergeCell ref="K1446:L1446"/>
    <mergeCell ref="M1446:O1446"/>
    <mergeCell ref="P1446:Q1446"/>
    <mergeCell ref="AF1445:AH1445"/>
    <mergeCell ref="AF1446:AH1446"/>
    <mergeCell ref="AI1433:AI1446"/>
    <mergeCell ref="F1434:H1434"/>
    <mergeCell ref="I1434:J1434"/>
    <mergeCell ref="K1434:L1434"/>
    <mergeCell ref="M1434:O1434"/>
    <mergeCell ref="P1434:Q1434"/>
    <mergeCell ref="T1434:U1434"/>
    <mergeCell ref="V1434:W1434"/>
    <mergeCell ref="AF1439:AH1439"/>
    <mergeCell ref="AF1440:AH1440"/>
    <mergeCell ref="AF1441:AH1441"/>
    <mergeCell ref="AF1442:AH1442"/>
    <mergeCell ref="AF1443:AH1443"/>
    <mergeCell ref="AF1444:AH1444"/>
    <mergeCell ref="AF1433:AH1433"/>
    <mergeCell ref="AF1434:AH1434"/>
    <mergeCell ref="AF1435:AH1435"/>
    <mergeCell ref="AF1436:AH1436"/>
    <mergeCell ref="AF1437:AH1437"/>
    <mergeCell ref="AF1438:AH1438"/>
    <mergeCell ref="AC1441:AD1441"/>
    <mergeCell ref="AC1442:AD1442"/>
    <mergeCell ref="AC1443:AD1443"/>
    <mergeCell ref="P1454:Q1454"/>
    <mergeCell ref="R1454:S1454"/>
    <mergeCell ref="T1454:U1454"/>
    <mergeCell ref="V1454:W1454"/>
    <mergeCell ref="X1454:Z1459"/>
    <mergeCell ref="AA1454:AB1459"/>
    <mergeCell ref="T1455:U1455"/>
    <mergeCell ref="V1455:W1455"/>
    <mergeCell ref="T1456:U1456"/>
    <mergeCell ref="V1456:W1456"/>
    <mergeCell ref="M1453:O1453"/>
    <mergeCell ref="P1453:Q1453"/>
    <mergeCell ref="T1453:U1453"/>
    <mergeCell ref="V1453:W1453"/>
    <mergeCell ref="A1454:A1477"/>
    <mergeCell ref="B1454:D1477"/>
    <mergeCell ref="F1454:H1454"/>
    <mergeCell ref="I1454:J1454"/>
    <mergeCell ref="K1454:L1454"/>
    <mergeCell ref="M1454:O1454"/>
    <mergeCell ref="M1451:O1451"/>
    <mergeCell ref="P1451:Q1451"/>
    <mergeCell ref="T1451:U1451"/>
    <mergeCell ref="V1451:W1451"/>
    <mergeCell ref="M1452:O1452"/>
    <mergeCell ref="P1452:Q1452"/>
    <mergeCell ref="T1452:U1452"/>
    <mergeCell ref="V1452:W1452"/>
    <mergeCell ref="AF1448:AH1448"/>
    <mergeCell ref="AF1449:AH1449"/>
    <mergeCell ref="AF1450:AH1450"/>
    <mergeCell ref="AF1451:AH1451"/>
    <mergeCell ref="AF1452:AH1452"/>
    <mergeCell ref="AF1453:AH1453"/>
    <mergeCell ref="AC1448:AD1448"/>
    <mergeCell ref="AC1449:AD1449"/>
    <mergeCell ref="AC1450:AD1450"/>
    <mergeCell ref="AC1451:AD1451"/>
    <mergeCell ref="AC1452:AD1452"/>
    <mergeCell ref="AC1453:AD1453"/>
    <mergeCell ref="R1452:S1452"/>
    <mergeCell ref="R1453:S1453"/>
    <mergeCell ref="T1448:U1448"/>
    <mergeCell ref="V1448:W1448"/>
    <mergeCell ref="X1448:Z1453"/>
    <mergeCell ref="AA1448:AB1453"/>
    <mergeCell ref="T1449:U1449"/>
    <mergeCell ref="V1449:W1449"/>
    <mergeCell ref="T1450:U1450"/>
    <mergeCell ref="V1450:W1450"/>
    <mergeCell ref="M1448:O1448"/>
    <mergeCell ref="P1448:Q1448"/>
    <mergeCell ref="R1448:S1448"/>
    <mergeCell ref="R1449:S1449"/>
    <mergeCell ref="R1450:S1450"/>
    <mergeCell ref="R1451:S1451"/>
    <mergeCell ref="M1449:O1449"/>
    <mergeCell ref="P1449:Q1449"/>
    <mergeCell ref="M1450:O1450"/>
    <mergeCell ref="P1450:Q1450"/>
    <mergeCell ref="I1453:J1453"/>
    <mergeCell ref="K1448:L1448"/>
    <mergeCell ref="K1449:L1449"/>
    <mergeCell ref="K1450:L1450"/>
    <mergeCell ref="AF1477:AH1477"/>
    <mergeCell ref="AF1466:AH1466"/>
    <mergeCell ref="AF1467:AH1467"/>
    <mergeCell ref="AF1468:AH1468"/>
    <mergeCell ref="AF1469:AH1469"/>
    <mergeCell ref="AF1470:AH1470"/>
    <mergeCell ref="AF1471:AH1471"/>
    <mergeCell ref="AF1460:AH1460"/>
    <mergeCell ref="AF1461:AH1461"/>
    <mergeCell ref="AF1462:AH1462"/>
    <mergeCell ref="AF1463:AH1463"/>
    <mergeCell ref="AF1464:AH1464"/>
    <mergeCell ref="AF1465:AH1465"/>
    <mergeCell ref="AF1454:AH1454"/>
    <mergeCell ref="AF1455:AH1455"/>
    <mergeCell ref="AF1456:AH1456"/>
    <mergeCell ref="AF1457:AH1457"/>
    <mergeCell ref="AF1458:AH1458"/>
    <mergeCell ref="AF1459:AH1459"/>
    <mergeCell ref="AC1472:AD1472"/>
    <mergeCell ref="AC1473:AD1473"/>
    <mergeCell ref="AC1474:AD1474"/>
    <mergeCell ref="AC1475:AD1475"/>
    <mergeCell ref="AC1476:AD1476"/>
    <mergeCell ref="AC1477:AD1477"/>
    <mergeCell ref="AC1466:AD1466"/>
    <mergeCell ref="AC1467:AD1467"/>
    <mergeCell ref="AC1468:AD1468"/>
    <mergeCell ref="AC1469:AD1469"/>
    <mergeCell ref="AC1470:AD1470"/>
    <mergeCell ref="AC1471:AD1471"/>
    <mergeCell ref="AC1460:AD1460"/>
    <mergeCell ref="AC1461:AD1461"/>
    <mergeCell ref="AC1462:AD1462"/>
    <mergeCell ref="AC1463:AD1463"/>
    <mergeCell ref="AC1464:AD1464"/>
    <mergeCell ref="AC1465:AD1465"/>
    <mergeCell ref="AC1454:AD1454"/>
    <mergeCell ref="AC1455:AD1455"/>
    <mergeCell ref="AC1456:AD1456"/>
    <mergeCell ref="AC1457:AD1457"/>
    <mergeCell ref="AC1458:AD1458"/>
    <mergeCell ref="AC1459:AD1459"/>
    <mergeCell ref="T1457:U1457"/>
    <mergeCell ref="V1457:W1457"/>
    <mergeCell ref="F1458:H1458"/>
    <mergeCell ref="I1458:J1458"/>
    <mergeCell ref="K1458:L1458"/>
    <mergeCell ref="M1458:O1458"/>
    <mergeCell ref="P1458:Q1458"/>
    <mergeCell ref="R1458:S1458"/>
    <mergeCell ref="T1458:U1458"/>
    <mergeCell ref="V1458:W1458"/>
    <mergeCell ref="F1457:H1457"/>
    <mergeCell ref="I1457:J1457"/>
    <mergeCell ref="K1457:L1457"/>
    <mergeCell ref="M1457:O1457"/>
    <mergeCell ref="P1457:Q1457"/>
    <mergeCell ref="R1457:S1457"/>
    <mergeCell ref="F1456:H1456"/>
    <mergeCell ref="I1456:J1456"/>
    <mergeCell ref="K1456:L1456"/>
    <mergeCell ref="M1456:O1456"/>
    <mergeCell ref="P1456:Q1456"/>
    <mergeCell ref="R1456:S1456"/>
    <mergeCell ref="F1455:H1455"/>
    <mergeCell ref="I1455:J1455"/>
    <mergeCell ref="K1455:L1455"/>
    <mergeCell ref="M1455:O1455"/>
    <mergeCell ref="P1455:Q1455"/>
    <mergeCell ref="R1455:S1455"/>
    <mergeCell ref="AF1472:AH1472"/>
    <mergeCell ref="AF1473:AH1473"/>
    <mergeCell ref="AF1474:AH1474"/>
    <mergeCell ref="AF1475:AH1475"/>
    <mergeCell ref="AF1476:AH1476"/>
    <mergeCell ref="T1462:U1462"/>
    <mergeCell ref="V1462:W1462"/>
    <mergeCell ref="F1463:H1463"/>
    <mergeCell ref="I1463:J1463"/>
    <mergeCell ref="K1463:L1463"/>
    <mergeCell ref="M1463:O1463"/>
    <mergeCell ref="P1463:Q1463"/>
    <mergeCell ref="R1463:S1463"/>
    <mergeCell ref="T1463:U1463"/>
    <mergeCell ref="V1463:W1463"/>
    <mergeCell ref="F1462:H1462"/>
    <mergeCell ref="I1462:J1462"/>
    <mergeCell ref="K1462:L1462"/>
    <mergeCell ref="M1462:O1462"/>
    <mergeCell ref="P1462:Q1462"/>
    <mergeCell ref="R1462:S1462"/>
    <mergeCell ref="X1460:Z1465"/>
    <mergeCell ref="AA1460:AB1465"/>
    <mergeCell ref="F1461:H1461"/>
    <mergeCell ref="I1461:J1461"/>
    <mergeCell ref="K1461:L1461"/>
    <mergeCell ref="M1461:O1461"/>
    <mergeCell ref="P1461:Q1461"/>
    <mergeCell ref="R1461:S1461"/>
    <mergeCell ref="T1461:U1461"/>
    <mergeCell ref="V1461:W1461"/>
    <mergeCell ref="T1459:U1459"/>
    <mergeCell ref="V1459:W1459"/>
    <mergeCell ref="F1460:H1460"/>
    <mergeCell ref="I1460:J1460"/>
    <mergeCell ref="K1460:L1460"/>
    <mergeCell ref="M1460:O1460"/>
    <mergeCell ref="P1460:Q1460"/>
    <mergeCell ref="R1460:S1460"/>
    <mergeCell ref="T1460:U1460"/>
    <mergeCell ref="V1460:W1460"/>
    <mergeCell ref="F1459:H1459"/>
    <mergeCell ref="I1459:J1459"/>
    <mergeCell ref="K1459:L1459"/>
    <mergeCell ref="M1459:O1459"/>
    <mergeCell ref="P1459:Q1459"/>
    <mergeCell ref="R1459:S1459"/>
    <mergeCell ref="T1467:U1467"/>
    <mergeCell ref="V1467:W1467"/>
    <mergeCell ref="F1468:H1468"/>
    <mergeCell ref="I1468:J1468"/>
    <mergeCell ref="K1468:L1468"/>
    <mergeCell ref="M1468:O1468"/>
    <mergeCell ref="P1468:Q1468"/>
    <mergeCell ref="R1468:S1468"/>
    <mergeCell ref="T1468:U1468"/>
    <mergeCell ref="V1468:W1468"/>
    <mergeCell ref="T1466:U1466"/>
    <mergeCell ref="V1466:W1466"/>
    <mergeCell ref="X1466:Z1471"/>
    <mergeCell ref="AA1466:AB1471"/>
    <mergeCell ref="F1467:H1467"/>
    <mergeCell ref="I1467:J1467"/>
    <mergeCell ref="K1467:L1467"/>
    <mergeCell ref="M1467:O1467"/>
    <mergeCell ref="P1467:Q1467"/>
    <mergeCell ref="R1467:S1467"/>
    <mergeCell ref="F1466:H1466"/>
    <mergeCell ref="I1466:J1466"/>
    <mergeCell ref="K1466:L1466"/>
    <mergeCell ref="M1466:O1466"/>
    <mergeCell ref="P1466:Q1466"/>
    <mergeCell ref="R1466:S1466"/>
    <mergeCell ref="T1464:U1464"/>
    <mergeCell ref="V1464:W1464"/>
    <mergeCell ref="F1465:H1465"/>
    <mergeCell ref="I1465:J1465"/>
    <mergeCell ref="K1465:L1465"/>
    <mergeCell ref="M1465:O1465"/>
    <mergeCell ref="P1465:Q1465"/>
    <mergeCell ref="R1465:S1465"/>
    <mergeCell ref="T1465:U1465"/>
    <mergeCell ref="V1465:W1465"/>
    <mergeCell ref="F1464:H1464"/>
    <mergeCell ref="I1464:J1464"/>
    <mergeCell ref="K1464:L1464"/>
    <mergeCell ref="M1464:O1464"/>
    <mergeCell ref="P1464:Q1464"/>
    <mergeCell ref="R1464:S1464"/>
    <mergeCell ref="AA1472:AB1477"/>
    <mergeCell ref="F1473:H1473"/>
    <mergeCell ref="I1473:J1473"/>
    <mergeCell ref="K1473:L1473"/>
    <mergeCell ref="M1473:O1473"/>
    <mergeCell ref="P1473:Q1473"/>
    <mergeCell ref="R1473:S1473"/>
    <mergeCell ref="T1473:U1473"/>
    <mergeCell ref="V1473:W1473"/>
    <mergeCell ref="T1471:U1471"/>
    <mergeCell ref="V1471:W1471"/>
    <mergeCell ref="F1472:H1472"/>
    <mergeCell ref="I1472:J1472"/>
    <mergeCell ref="K1472:L1472"/>
    <mergeCell ref="M1472:O1472"/>
    <mergeCell ref="P1472:Q1472"/>
    <mergeCell ref="R1472:S1472"/>
    <mergeCell ref="T1472:U1472"/>
    <mergeCell ref="V1472:W1472"/>
    <mergeCell ref="F1471:H1471"/>
    <mergeCell ref="I1471:J1471"/>
    <mergeCell ref="K1471:L1471"/>
    <mergeCell ref="M1471:O1471"/>
    <mergeCell ref="P1471:Q1471"/>
    <mergeCell ref="R1471:S1471"/>
    <mergeCell ref="T1469:U1469"/>
    <mergeCell ref="V1469:W1469"/>
    <mergeCell ref="F1470:H1470"/>
    <mergeCell ref="I1470:J1470"/>
    <mergeCell ref="K1470:L1470"/>
    <mergeCell ref="M1470:O1470"/>
    <mergeCell ref="P1470:Q1470"/>
    <mergeCell ref="R1470:S1470"/>
    <mergeCell ref="T1470:U1470"/>
    <mergeCell ref="V1470:W1470"/>
    <mergeCell ref="F1469:H1469"/>
    <mergeCell ref="I1469:J1469"/>
    <mergeCell ref="K1469:L1469"/>
    <mergeCell ref="M1469:O1469"/>
    <mergeCell ref="P1469:Q1469"/>
    <mergeCell ref="R1469:S1469"/>
    <mergeCell ref="T1476:U1476"/>
    <mergeCell ref="V1476:W1476"/>
    <mergeCell ref="F1477:H1477"/>
    <mergeCell ref="I1477:J1477"/>
    <mergeCell ref="K1477:L1477"/>
    <mergeCell ref="M1477:O1477"/>
    <mergeCell ref="P1477:Q1477"/>
    <mergeCell ref="R1477:S1477"/>
    <mergeCell ref="T1477:U1477"/>
    <mergeCell ref="V1477:W1477"/>
    <mergeCell ref="F1476:H1476"/>
    <mergeCell ref="I1476:J1476"/>
    <mergeCell ref="K1476:L1476"/>
    <mergeCell ref="M1476:O1476"/>
    <mergeCell ref="P1476:Q1476"/>
    <mergeCell ref="R1476:S1476"/>
    <mergeCell ref="T1474:U1474"/>
    <mergeCell ref="V1474:W1474"/>
    <mergeCell ref="F1475:H1475"/>
    <mergeCell ref="I1475:J1475"/>
    <mergeCell ref="K1475:L1475"/>
    <mergeCell ref="M1475:O1475"/>
    <mergeCell ref="P1475:Q1475"/>
    <mergeCell ref="R1475:S1475"/>
    <mergeCell ref="T1475:U1475"/>
    <mergeCell ref="V1475:W1475"/>
    <mergeCell ref="F1474:H1474"/>
    <mergeCell ref="I1474:J1474"/>
    <mergeCell ref="K1474:L1474"/>
    <mergeCell ref="M1474:O1474"/>
    <mergeCell ref="P1474:Q1474"/>
    <mergeCell ref="R1474:S1474"/>
    <mergeCell ref="X1472:Z1477"/>
    <mergeCell ref="I1483:J1483"/>
    <mergeCell ref="M1483:O1483"/>
    <mergeCell ref="P1483:Q1483"/>
    <mergeCell ref="T1483:U1483"/>
    <mergeCell ref="V1483:W1483"/>
    <mergeCell ref="F1484:H1489"/>
    <mergeCell ref="I1484:J1484"/>
    <mergeCell ref="K1484:L1484"/>
    <mergeCell ref="K1485:L1485"/>
    <mergeCell ref="K1486:L1486"/>
    <mergeCell ref="I1481:J1481"/>
    <mergeCell ref="M1481:O1481"/>
    <mergeCell ref="P1481:Q1481"/>
    <mergeCell ref="T1481:U1481"/>
    <mergeCell ref="V1481:W1481"/>
    <mergeCell ref="I1482:J1482"/>
    <mergeCell ref="M1482:O1482"/>
    <mergeCell ref="P1482:Q1482"/>
    <mergeCell ref="T1482:U1482"/>
    <mergeCell ref="V1482:W1482"/>
    <mergeCell ref="AF1478:AH1495"/>
    <mergeCell ref="I1479:J1479"/>
    <mergeCell ref="M1479:O1479"/>
    <mergeCell ref="P1479:Q1479"/>
    <mergeCell ref="T1479:U1479"/>
    <mergeCell ref="V1479:W1479"/>
    <mergeCell ref="I1480:J1480"/>
    <mergeCell ref="M1480:O1480"/>
    <mergeCell ref="P1480:Q1480"/>
    <mergeCell ref="T1480:U1480"/>
    <mergeCell ref="AC1490:AD1490"/>
    <mergeCell ref="AC1491:AD1491"/>
    <mergeCell ref="AC1492:AD1492"/>
    <mergeCell ref="AC1493:AD1493"/>
    <mergeCell ref="AC1494:AD1494"/>
    <mergeCell ref="AC1495:AD1495"/>
    <mergeCell ref="AC1484:AD1484"/>
    <mergeCell ref="AC1485:AD1485"/>
    <mergeCell ref="AC1486:AD1486"/>
    <mergeCell ref="AC1487:AD1487"/>
    <mergeCell ref="AC1488:AD1488"/>
    <mergeCell ref="AC1489:AD1489"/>
    <mergeCell ref="AC1478:AD1478"/>
    <mergeCell ref="AC1479:AD1479"/>
    <mergeCell ref="AC1480:AD1480"/>
    <mergeCell ref="AC1481:AD1481"/>
    <mergeCell ref="AC1482:AD1482"/>
    <mergeCell ref="AC1483:AD1483"/>
    <mergeCell ref="R1482:S1482"/>
    <mergeCell ref="R1483:S1483"/>
    <mergeCell ref="T1478:U1478"/>
    <mergeCell ref="V1478:W1478"/>
    <mergeCell ref="X1478:Z1483"/>
    <mergeCell ref="AA1478:AB1483"/>
    <mergeCell ref="V1480:W1480"/>
    <mergeCell ref="M1478:O1478"/>
    <mergeCell ref="P1478:Q1478"/>
    <mergeCell ref="R1478:S1478"/>
    <mergeCell ref="R1479:S1479"/>
    <mergeCell ref="R1480:S1480"/>
    <mergeCell ref="R1481:S1481"/>
    <mergeCell ref="F1478:H1483"/>
    <mergeCell ref="I1478:J1478"/>
    <mergeCell ref="K1478:L1478"/>
    <mergeCell ref="I1488:J1488"/>
    <mergeCell ref="M1488:O1488"/>
    <mergeCell ref="P1488:Q1488"/>
    <mergeCell ref="T1488:U1488"/>
    <mergeCell ref="V1488:W1488"/>
    <mergeCell ref="I1489:J1489"/>
    <mergeCell ref="M1489:O1489"/>
    <mergeCell ref="P1489:Q1489"/>
    <mergeCell ref="T1489:U1489"/>
    <mergeCell ref="V1489:W1489"/>
    <mergeCell ref="I1486:J1486"/>
    <mergeCell ref="M1486:O1486"/>
    <mergeCell ref="P1486:Q1486"/>
    <mergeCell ref="T1486:U1486"/>
    <mergeCell ref="V1486:W1486"/>
    <mergeCell ref="I1487:J1487"/>
    <mergeCell ref="M1487:O1487"/>
    <mergeCell ref="P1487:Q1487"/>
    <mergeCell ref="T1487:U1487"/>
    <mergeCell ref="V1487:W1487"/>
    <mergeCell ref="R1489:S1489"/>
    <mergeCell ref="T1484:U1484"/>
    <mergeCell ref="V1484:W1484"/>
    <mergeCell ref="X1484:Z1489"/>
    <mergeCell ref="AA1484:AB1489"/>
    <mergeCell ref="I1485:J1485"/>
    <mergeCell ref="M1485:O1485"/>
    <mergeCell ref="P1485:Q1485"/>
    <mergeCell ref="T1485:U1485"/>
    <mergeCell ref="V1485:W1485"/>
    <mergeCell ref="K1487:L1487"/>
    <mergeCell ref="K1488:L1488"/>
    <mergeCell ref="K1489:L1489"/>
    <mergeCell ref="M1484:O1484"/>
    <mergeCell ref="P1484:Q1484"/>
    <mergeCell ref="R1484:S1484"/>
    <mergeCell ref="R1485:S1485"/>
    <mergeCell ref="R1486:S1486"/>
    <mergeCell ref="R1487:S1487"/>
    <mergeCell ref="R1488:S1488"/>
    <mergeCell ref="K1499:L1499"/>
    <mergeCell ref="K1500:L1500"/>
    <mergeCell ref="K1501:L1501"/>
    <mergeCell ref="M1495:O1495"/>
    <mergeCell ref="P1495:Q1495"/>
    <mergeCell ref="V1495:W1495"/>
    <mergeCell ref="A1496:A1501"/>
    <mergeCell ref="B1496:D1501"/>
    <mergeCell ref="F1496:H1501"/>
    <mergeCell ref="I1496:J1496"/>
    <mergeCell ref="I1497:J1497"/>
    <mergeCell ref="I1498:J1498"/>
    <mergeCell ref="I1499:J1499"/>
    <mergeCell ref="V1492:W1492"/>
    <mergeCell ref="I1493:J1493"/>
    <mergeCell ref="M1493:O1493"/>
    <mergeCell ref="P1493:Q1493"/>
    <mergeCell ref="V1493:W1493"/>
    <mergeCell ref="I1494:J1494"/>
    <mergeCell ref="M1494:O1494"/>
    <mergeCell ref="P1494:Q1494"/>
    <mergeCell ref="V1494:W1494"/>
    <mergeCell ref="V1490:W1490"/>
    <mergeCell ref="X1490:Z1495"/>
    <mergeCell ref="AA1490:AB1495"/>
    <mergeCell ref="I1491:J1491"/>
    <mergeCell ref="M1491:O1491"/>
    <mergeCell ref="P1491:Q1491"/>
    <mergeCell ref="V1491:W1491"/>
    <mergeCell ref="I1492:J1492"/>
    <mergeCell ref="M1492:O1492"/>
    <mergeCell ref="P1492:Q1492"/>
    <mergeCell ref="R1494:S1494"/>
    <mergeCell ref="R1495:S1495"/>
    <mergeCell ref="T1490:U1490"/>
    <mergeCell ref="T1491:U1491"/>
    <mergeCell ref="T1492:U1492"/>
    <mergeCell ref="T1493:U1493"/>
    <mergeCell ref="T1494:U1494"/>
    <mergeCell ref="T1495:U1495"/>
    <mergeCell ref="M1490:O1490"/>
    <mergeCell ref="P1490:Q1490"/>
    <mergeCell ref="R1490:S1490"/>
    <mergeCell ref="R1491:S1491"/>
    <mergeCell ref="R1492:S1492"/>
    <mergeCell ref="R1493:S1493"/>
    <mergeCell ref="F1490:H1495"/>
    <mergeCell ref="I1490:J1490"/>
    <mergeCell ref="K1490:L1490"/>
    <mergeCell ref="K1491:L1491"/>
    <mergeCell ref="K1492:L1492"/>
    <mergeCell ref="K1493:L1493"/>
    <mergeCell ref="K1494:L1494"/>
    <mergeCell ref="K1495:L1495"/>
    <mergeCell ref="I1495:J1495"/>
    <mergeCell ref="A1478:A1495"/>
    <mergeCell ref="B1478:D1495"/>
    <mergeCell ref="K1479:L1479"/>
    <mergeCell ref="K1480:L1480"/>
    <mergeCell ref="K1481:L1481"/>
    <mergeCell ref="K1482:L1482"/>
    <mergeCell ref="K1483:L1483"/>
    <mergeCell ref="I1505:J1505"/>
    <mergeCell ref="I1506:J1506"/>
    <mergeCell ref="I1507:J1507"/>
    <mergeCell ref="K1502:L1502"/>
    <mergeCell ref="K1503:L1503"/>
    <mergeCell ref="K1504:L1504"/>
    <mergeCell ref="K1505:L1505"/>
    <mergeCell ref="K1506:L1506"/>
    <mergeCell ref="K1507:L1507"/>
    <mergeCell ref="M1501:O1501"/>
    <mergeCell ref="P1501:Q1501"/>
    <mergeCell ref="T1501:U1501"/>
    <mergeCell ref="V1501:W1501"/>
    <mergeCell ref="A1502:A1507"/>
    <mergeCell ref="B1502:D1507"/>
    <mergeCell ref="F1502:H1507"/>
    <mergeCell ref="I1502:J1502"/>
    <mergeCell ref="I1503:J1503"/>
    <mergeCell ref="I1504:J1504"/>
    <mergeCell ref="M1499:O1499"/>
    <mergeCell ref="P1499:Q1499"/>
    <mergeCell ref="T1499:U1499"/>
    <mergeCell ref="V1499:W1499"/>
    <mergeCell ref="M1500:O1500"/>
    <mergeCell ref="P1500:Q1500"/>
    <mergeCell ref="T1500:U1500"/>
    <mergeCell ref="V1500:W1500"/>
    <mergeCell ref="AF1496:AH1496"/>
    <mergeCell ref="AF1497:AH1497"/>
    <mergeCell ref="AF1498:AH1498"/>
    <mergeCell ref="AF1499:AH1499"/>
    <mergeCell ref="AF1500:AH1500"/>
    <mergeCell ref="AF1501:AH1501"/>
    <mergeCell ref="AC1496:AD1496"/>
    <mergeCell ref="AC1497:AD1497"/>
    <mergeCell ref="AC1498:AD1498"/>
    <mergeCell ref="AC1499:AD1499"/>
    <mergeCell ref="AC1500:AD1500"/>
    <mergeCell ref="AC1501:AD1501"/>
    <mergeCell ref="R1500:S1500"/>
    <mergeCell ref="R1501:S1501"/>
    <mergeCell ref="T1496:U1496"/>
    <mergeCell ref="V1496:W1496"/>
    <mergeCell ref="X1496:Z1501"/>
    <mergeCell ref="AA1496:AB1501"/>
    <mergeCell ref="T1497:U1497"/>
    <mergeCell ref="V1497:W1497"/>
    <mergeCell ref="T1498:U1498"/>
    <mergeCell ref="V1498:W1498"/>
    <mergeCell ref="M1496:O1496"/>
    <mergeCell ref="P1496:Q1496"/>
    <mergeCell ref="R1496:S1496"/>
    <mergeCell ref="R1497:S1497"/>
    <mergeCell ref="R1498:S1498"/>
    <mergeCell ref="R1499:S1499"/>
    <mergeCell ref="M1497:O1497"/>
    <mergeCell ref="P1497:Q1497"/>
    <mergeCell ref="M1498:O1498"/>
    <mergeCell ref="P1498:Q1498"/>
    <mergeCell ref="I1500:J1500"/>
    <mergeCell ref="I1501:J1501"/>
    <mergeCell ref="K1496:L1496"/>
    <mergeCell ref="K1497:L1497"/>
    <mergeCell ref="K1498:L1498"/>
    <mergeCell ref="M1507:O1507"/>
    <mergeCell ref="P1507:Q1507"/>
    <mergeCell ref="T1507:U1507"/>
    <mergeCell ref="V1507:W1507"/>
    <mergeCell ref="X1507:Z1507"/>
    <mergeCell ref="AA1507:AB1507"/>
    <mergeCell ref="V1505:W1505"/>
    <mergeCell ref="X1505:Z1505"/>
    <mergeCell ref="AA1505:AB1505"/>
    <mergeCell ref="M1506:O1506"/>
    <mergeCell ref="P1506:Q1506"/>
    <mergeCell ref="T1506:U1506"/>
    <mergeCell ref="V1506:W1506"/>
    <mergeCell ref="X1506:Z1506"/>
    <mergeCell ref="AA1506:AB1506"/>
    <mergeCell ref="AF1502:AH1507"/>
    <mergeCell ref="M1503:O1503"/>
    <mergeCell ref="P1503:Q1503"/>
    <mergeCell ref="T1503:U1503"/>
    <mergeCell ref="V1503:W1503"/>
    <mergeCell ref="X1503:Z1503"/>
    <mergeCell ref="AA1503:AB1503"/>
    <mergeCell ref="M1504:O1504"/>
    <mergeCell ref="P1504:Q1504"/>
    <mergeCell ref="T1504:U1504"/>
    <mergeCell ref="AC1502:AD1502"/>
    <mergeCell ref="AC1503:AD1503"/>
    <mergeCell ref="AC1504:AD1504"/>
    <mergeCell ref="AC1505:AD1505"/>
    <mergeCell ref="AC1506:AD1506"/>
    <mergeCell ref="AC1507:AD1507"/>
    <mergeCell ref="R1506:S1506"/>
    <mergeCell ref="R1507:S1507"/>
    <mergeCell ref="T1502:U1502"/>
    <mergeCell ref="V1502:W1502"/>
    <mergeCell ref="X1502:Z1502"/>
    <mergeCell ref="AA1502:AB1502"/>
    <mergeCell ref="V1504:W1504"/>
    <mergeCell ref="X1504:Z1504"/>
    <mergeCell ref="AA1504:AB1504"/>
    <mergeCell ref="T1505:U1505"/>
    <mergeCell ref="M1502:O1502"/>
    <mergeCell ref="P1502:Q1502"/>
    <mergeCell ref="R1502:S1502"/>
    <mergeCell ref="R1503:S1503"/>
    <mergeCell ref="R1504:S1504"/>
    <mergeCell ref="R1505:S1505"/>
    <mergeCell ref="M1505:O1505"/>
    <mergeCell ref="P1505:Q1505"/>
    <mergeCell ref="AF1511:AH1515"/>
    <mergeCell ref="F1512:H1512"/>
    <mergeCell ref="I1512:J1512"/>
    <mergeCell ref="K1512:L1512"/>
    <mergeCell ref="M1512:O1512"/>
    <mergeCell ref="P1512:Q1512"/>
    <mergeCell ref="R1512:S1512"/>
    <mergeCell ref="T1512:U1512"/>
    <mergeCell ref="V1512:W1512"/>
    <mergeCell ref="X1512:Z1512"/>
    <mergeCell ref="AA1511:AB1511"/>
    <mergeCell ref="AC1511:AD1511"/>
    <mergeCell ref="AC1512:AD1512"/>
    <mergeCell ref="AC1513:AD1513"/>
    <mergeCell ref="AC1514:AD1514"/>
    <mergeCell ref="AC1515:AD1515"/>
    <mergeCell ref="AA1512:AB1512"/>
    <mergeCell ref="M1511:O1511"/>
    <mergeCell ref="P1511:Q1511"/>
    <mergeCell ref="R1511:S1511"/>
    <mergeCell ref="T1511:U1511"/>
    <mergeCell ref="V1511:W1511"/>
    <mergeCell ref="X1511:Z1511"/>
    <mergeCell ref="AF1508:AH1510"/>
    <mergeCell ref="M1509:O1509"/>
    <mergeCell ref="V1509:W1509"/>
    <mergeCell ref="M1510:O1510"/>
    <mergeCell ref="V1510:W1510"/>
    <mergeCell ref="A1511:A1515"/>
    <mergeCell ref="B1511:D1515"/>
    <mergeCell ref="F1511:H1511"/>
    <mergeCell ref="I1511:J1511"/>
    <mergeCell ref="K1511:L1511"/>
    <mergeCell ref="V1508:W1508"/>
    <mergeCell ref="X1508:Z1510"/>
    <mergeCell ref="AA1508:AB1510"/>
    <mergeCell ref="AC1508:AD1508"/>
    <mergeCell ref="AC1509:AD1509"/>
    <mergeCell ref="AC1510:AD1510"/>
    <mergeCell ref="R1508:S1508"/>
    <mergeCell ref="R1509:S1509"/>
    <mergeCell ref="R1510:S1510"/>
    <mergeCell ref="T1508:U1508"/>
    <mergeCell ref="T1509:U1509"/>
    <mergeCell ref="T1510:U1510"/>
    <mergeCell ref="K1508:L1508"/>
    <mergeCell ref="K1509:L1509"/>
    <mergeCell ref="K1510:L1510"/>
    <mergeCell ref="M1508:O1508"/>
    <mergeCell ref="P1508:Q1508"/>
    <mergeCell ref="P1509:Q1509"/>
    <mergeCell ref="P1510:Q1510"/>
    <mergeCell ref="A1508:A1510"/>
    <mergeCell ref="B1508:D1510"/>
    <mergeCell ref="F1508:H1510"/>
    <mergeCell ref="I1508:J1508"/>
    <mergeCell ref="I1509:J1509"/>
    <mergeCell ref="I1510:J1510"/>
    <mergeCell ref="T1515:U1515"/>
    <mergeCell ref="V1515:W1515"/>
    <mergeCell ref="X1515:Z1515"/>
    <mergeCell ref="AA1515:AB1515"/>
    <mergeCell ref="A1516:A1528"/>
    <mergeCell ref="B1516:D1528"/>
    <mergeCell ref="F1516:H1516"/>
    <mergeCell ref="I1516:J1516"/>
    <mergeCell ref="K1516:L1516"/>
    <mergeCell ref="M1516:O1516"/>
    <mergeCell ref="T1514:U1514"/>
    <mergeCell ref="V1514:W1514"/>
    <mergeCell ref="X1514:Z1514"/>
    <mergeCell ref="AA1514:AB1514"/>
    <mergeCell ref="F1515:H1515"/>
    <mergeCell ref="I1515:J1515"/>
    <mergeCell ref="K1515:L1515"/>
    <mergeCell ref="M1515:O1515"/>
    <mergeCell ref="P1515:Q1515"/>
    <mergeCell ref="R1515:S1515"/>
    <mergeCell ref="T1513:U1513"/>
    <mergeCell ref="V1513:W1513"/>
    <mergeCell ref="X1513:Z1513"/>
    <mergeCell ref="AA1513:AB1513"/>
    <mergeCell ref="F1514:H1514"/>
    <mergeCell ref="I1514:J1514"/>
    <mergeCell ref="K1514:L1514"/>
    <mergeCell ref="M1514:O1514"/>
    <mergeCell ref="P1514:Q1514"/>
    <mergeCell ref="R1514:S1514"/>
    <mergeCell ref="F1513:H1513"/>
    <mergeCell ref="I1513:J1513"/>
    <mergeCell ref="K1513:L1513"/>
    <mergeCell ref="M1513:O1513"/>
    <mergeCell ref="P1513:Q1513"/>
    <mergeCell ref="R1513:S1513"/>
    <mergeCell ref="AF1528:AH1528"/>
    <mergeCell ref="F1517:H1522"/>
    <mergeCell ref="I1517:J1517"/>
    <mergeCell ref="K1517:L1517"/>
    <mergeCell ref="M1517:O1517"/>
    <mergeCell ref="P1517:Q1517"/>
    <mergeCell ref="R1517:S1517"/>
    <mergeCell ref="AC1528:AD1528"/>
    <mergeCell ref="AF1516:AH1516"/>
    <mergeCell ref="AF1517:AH1517"/>
    <mergeCell ref="AF1518:AH1518"/>
    <mergeCell ref="AF1519:AH1519"/>
    <mergeCell ref="AF1520:AH1520"/>
    <mergeCell ref="AF1521:AH1521"/>
    <mergeCell ref="AF1522:AH1522"/>
    <mergeCell ref="AF1523:AH1523"/>
    <mergeCell ref="AF1524:AH1524"/>
    <mergeCell ref="AC1522:AD1522"/>
    <mergeCell ref="AC1523:AD1523"/>
    <mergeCell ref="AC1524:AD1524"/>
    <mergeCell ref="AC1525:AD1525"/>
    <mergeCell ref="AC1526:AD1526"/>
    <mergeCell ref="AC1527:AD1527"/>
    <mergeCell ref="AC1516:AD1516"/>
    <mergeCell ref="AC1517:AD1517"/>
    <mergeCell ref="AC1518:AD1518"/>
    <mergeCell ref="AC1519:AD1519"/>
    <mergeCell ref="AC1520:AD1520"/>
    <mergeCell ref="AC1521:AD1521"/>
    <mergeCell ref="P1516:Q1516"/>
    <mergeCell ref="R1516:S1516"/>
    <mergeCell ref="T1516:U1516"/>
    <mergeCell ref="V1516:W1516"/>
    <mergeCell ref="X1516:Z1516"/>
    <mergeCell ref="AA1516:AB1516"/>
    <mergeCell ref="X1519:Z1519"/>
    <mergeCell ref="AA1519:AB1519"/>
    <mergeCell ref="I1520:J1520"/>
    <mergeCell ref="K1520:L1520"/>
    <mergeCell ref="M1520:O1520"/>
    <mergeCell ref="P1520:Q1520"/>
    <mergeCell ref="R1520:S1520"/>
    <mergeCell ref="T1520:U1520"/>
    <mergeCell ref="V1520:W1520"/>
    <mergeCell ref="X1520:Z1520"/>
    <mergeCell ref="V1518:W1518"/>
    <mergeCell ref="X1518:Z1518"/>
    <mergeCell ref="AA1518:AB1518"/>
    <mergeCell ref="I1519:J1519"/>
    <mergeCell ref="K1519:L1519"/>
    <mergeCell ref="M1519:O1519"/>
    <mergeCell ref="P1519:Q1519"/>
    <mergeCell ref="R1519:S1519"/>
    <mergeCell ref="T1519:U1519"/>
    <mergeCell ref="V1519:W1519"/>
    <mergeCell ref="T1517:U1517"/>
    <mergeCell ref="V1517:W1517"/>
    <mergeCell ref="X1517:Z1517"/>
    <mergeCell ref="AA1517:AB1517"/>
    <mergeCell ref="I1518:J1518"/>
    <mergeCell ref="K1518:L1518"/>
    <mergeCell ref="M1518:O1518"/>
    <mergeCell ref="P1518:Q1518"/>
    <mergeCell ref="R1518:S1518"/>
    <mergeCell ref="T1518:U1518"/>
    <mergeCell ref="AF1525:AH1525"/>
    <mergeCell ref="AF1526:AH1526"/>
    <mergeCell ref="AF1527:AH1527"/>
    <mergeCell ref="V1523:W1523"/>
    <mergeCell ref="X1523:Z1523"/>
    <mergeCell ref="AA1523:AB1523"/>
    <mergeCell ref="I1524:J1524"/>
    <mergeCell ref="K1524:L1524"/>
    <mergeCell ref="M1524:O1524"/>
    <mergeCell ref="P1524:Q1524"/>
    <mergeCell ref="R1524:S1524"/>
    <mergeCell ref="T1524:U1524"/>
    <mergeCell ref="V1524:W1524"/>
    <mergeCell ref="V1522:W1522"/>
    <mergeCell ref="X1522:Z1522"/>
    <mergeCell ref="AA1522:AB1522"/>
    <mergeCell ref="F1523:H1528"/>
    <mergeCell ref="I1523:J1523"/>
    <mergeCell ref="K1523:L1523"/>
    <mergeCell ref="M1523:O1523"/>
    <mergeCell ref="P1523:Q1523"/>
    <mergeCell ref="R1523:S1523"/>
    <mergeCell ref="T1523:U1523"/>
    <mergeCell ref="I1522:J1522"/>
    <mergeCell ref="K1522:L1522"/>
    <mergeCell ref="M1522:O1522"/>
    <mergeCell ref="P1522:Q1522"/>
    <mergeCell ref="R1522:S1522"/>
    <mergeCell ref="T1522:U1522"/>
    <mergeCell ref="AA1520:AB1520"/>
    <mergeCell ref="I1521:J1521"/>
    <mergeCell ref="K1521:L1521"/>
    <mergeCell ref="M1521:O1521"/>
    <mergeCell ref="P1521:Q1521"/>
    <mergeCell ref="R1521:S1521"/>
    <mergeCell ref="T1521:U1521"/>
    <mergeCell ref="V1521:W1521"/>
    <mergeCell ref="X1521:Z1521"/>
    <mergeCell ref="AA1521:AB1521"/>
    <mergeCell ref="T1528:U1528"/>
    <mergeCell ref="V1528:W1528"/>
    <mergeCell ref="X1528:Z1528"/>
    <mergeCell ref="AA1528:AB1528"/>
    <mergeCell ref="X1529:Z1529"/>
    <mergeCell ref="AA1529:AB1529"/>
    <mergeCell ref="X1530:Z1530"/>
    <mergeCell ref="AA1530:AB1530"/>
    <mergeCell ref="V1527:W1527"/>
    <mergeCell ref="X1527:Z1527"/>
    <mergeCell ref="AA1527:AB1527"/>
    <mergeCell ref="I1528:J1528"/>
    <mergeCell ref="K1528:L1528"/>
    <mergeCell ref="M1528:O1528"/>
    <mergeCell ref="P1528:Q1528"/>
    <mergeCell ref="R1528:S1528"/>
    <mergeCell ref="I1527:J1527"/>
    <mergeCell ref="K1527:L1527"/>
    <mergeCell ref="M1527:O1527"/>
    <mergeCell ref="P1527:Q1527"/>
    <mergeCell ref="R1527:S1527"/>
    <mergeCell ref="T1527:U1527"/>
    <mergeCell ref="AA1525:AB1525"/>
    <mergeCell ref="I1526:J1526"/>
    <mergeCell ref="K1526:L1526"/>
    <mergeCell ref="M1526:O1526"/>
    <mergeCell ref="P1526:Q1526"/>
    <mergeCell ref="R1526:S1526"/>
    <mergeCell ref="T1526:U1526"/>
    <mergeCell ref="V1526:W1526"/>
    <mergeCell ref="X1526:Z1526"/>
    <mergeCell ref="AA1526:AB1526"/>
    <mergeCell ref="X1524:Z1524"/>
    <mergeCell ref="AA1524:AB1524"/>
    <mergeCell ref="I1525:J1525"/>
    <mergeCell ref="K1525:L1525"/>
    <mergeCell ref="M1525:O1525"/>
    <mergeCell ref="P1525:Q1525"/>
    <mergeCell ref="R1525:S1525"/>
    <mergeCell ref="T1525:U1525"/>
    <mergeCell ref="V1525:W1525"/>
    <mergeCell ref="X1525:Z1525"/>
    <mergeCell ref="T1531:U1531"/>
    <mergeCell ref="V1531:W1531"/>
    <mergeCell ref="X1531:Z1531"/>
    <mergeCell ref="AA1531:AB1531"/>
    <mergeCell ref="F1532:H1532"/>
    <mergeCell ref="I1532:J1532"/>
    <mergeCell ref="K1532:L1532"/>
    <mergeCell ref="M1532:O1532"/>
    <mergeCell ref="P1532:Q1532"/>
    <mergeCell ref="T1532:U1532"/>
    <mergeCell ref="I1531:J1531"/>
    <mergeCell ref="K1531:L1531"/>
    <mergeCell ref="M1531:O1531"/>
    <mergeCell ref="P1531:Q1531"/>
    <mergeCell ref="R1531:S1531"/>
    <mergeCell ref="R1532:S1532"/>
    <mergeCell ref="I1530:J1530"/>
    <mergeCell ref="K1530:L1530"/>
    <mergeCell ref="M1530:O1530"/>
    <mergeCell ref="P1530:Q1530"/>
    <mergeCell ref="T1530:U1530"/>
    <mergeCell ref="V1530:W1530"/>
    <mergeCell ref="AC1529:AD1529"/>
    <mergeCell ref="AC1530:AD1530"/>
    <mergeCell ref="AC1531:AD1531"/>
    <mergeCell ref="AC1532:AD1532"/>
    <mergeCell ref="AF1529:AH1532"/>
    <mergeCell ref="AI1529:AI1552"/>
    <mergeCell ref="AC1536:AD1536"/>
    <mergeCell ref="AC1537:AD1537"/>
    <mergeCell ref="AC1538:AD1538"/>
    <mergeCell ref="AC1539:AD1539"/>
    <mergeCell ref="I1529:J1529"/>
    <mergeCell ref="K1529:L1529"/>
    <mergeCell ref="M1529:O1529"/>
    <mergeCell ref="P1529:Q1529"/>
    <mergeCell ref="T1529:U1529"/>
    <mergeCell ref="V1529:W1529"/>
    <mergeCell ref="F1529:H1529"/>
    <mergeCell ref="F1530:H1530"/>
    <mergeCell ref="F1531:H1531"/>
    <mergeCell ref="R1529:S1529"/>
    <mergeCell ref="R1530:S1530"/>
    <mergeCell ref="AC1546:AD1546"/>
    <mergeCell ref="AC1547:AD1547"/>
    <mergeCell ref="AC1548:AD1548"/>
    <mergeCell ref="AC1549:AD1549"/>
    <mergeCell ref="AC1550:AD1550"/>
    <mergeCell ref="AF1533:AH1550"/>
    <mergeCell ref="AC1540:AD1540"/>
    <mergeCell ref="AC1541:AD1541"/>
    <mergeCell ref="AC1542:AD1542"/>
    <mergeCell ref="AC1543:AD1543"/>
    <mergeCell ref="AC1544:AD1544"/>
    <mergeCell ref="AC1545:AD1545"/>
    <mergeCell ref="V1533:W1533"/>
    <mergeCell ref="X1533:Z1533"/>
    <mergeCell ref="AA1533:AB1533"/>
    <mergeCell ref="AC1533:AD1533"/>
    <mergeCell ref="AC1534:AD1534"/>
    <mergeCell ref="AC1535:AD1535"/>
    <mergeCell ref="AA1534:AB1534"/>
    <mergeCell ref="AA1535:AB1535"/>
    <mergeCell ref="M1533:O1533"/>
    <mergeCell ref="P1533:Q1533"/>
    <mergeCell ref="R1533:S1533"/>
    <mergeCell ref="R1534:S1534"/>
    <mergeCell ref="R1535:S1535"/>
    <mergeCell ref="T1533:U1533"/>
    <mergeCell ref="V1532:W1532"/>
    <mergeCell ref="X1532:Z1532"/>
    <mergeCell ref="AA1532:AB1532"/>
    <mergeCell ref="A1533:A1550"/>
    <mergeCell ref="B1533:D1550"/>
    <mergeCell ref="F1533:H1535"/>
    <mergeCell ref="I1533:J1533"/>
    <mergeCell ref="I1534:J1534"/>
    <mergeCell ref="I1535:J1535"/>
    <mergeCell ref="K1533:L1533"/>
    <mergeCell ref="A1529:A1532"/>
    <mergeCell ref="B1529:D1529"/>
    <mergeCell ref="B1530:D1530"/>
    <mergeCell ref="B1531:D1531"/>
    <mergeCell ref="B1532:D1532"/>
    <mergeCell ref="T1536:U1536"/>
    <mergeCell ref="V1536:W1536"/>
    <mergeCell ref="X1536:Z1536"/>
    <mergeCell ref="AA1536:AB1536"/>
    <mergeCell ref="T1537:U1537"/>
    <mergeCell ref="V1537:W1537"/>
    <mergeCell ref="X1537:Z1537"/>
    <mergeCell ref="AA1537:AB1537"/>
    <mergeCell ref="M1536:O1536"/>
    <mergeCell ref="P1536:Q1536"/>
    <mergeCell ref="R1536:S1536"/>
    <mergeCell ref="R1537:S1537"/>
    <mergeCell ref="R1538:S1538"/>
    <mergeCell ref="R1539:S1539"/>
    <mergeCell ref="M1537:O1537"/>
    <mergeCell ref="P1537:Q1537"/>
    <mergeCell ref="M1538:O1538"/>
    <mergeCell ref="P1538:Q1538"/>
    <mergeCell ref="F1536:H1538"/>
    <mergeCell ref="I1536:J1536"/>
    <mergeCell ref="I1537:J1537"/>
    <mergeCell ref="I1538:J1538"/>
    <mergeCell ref="K1536:L1536"/>
    <mergeCell ref="K1537:L1537"/>
    <mergeCell ref="K1538:L1538"/>
    <mergeCell ref="K1535:L1535"/>
    <mergeCell ref="M1535:O1535"/>
    <mergeCell ref="P1535:Q1535"/>
    <mergeCell ref="T1535:U1535"/>
    <mergeCell ref="V1535:W1535"/>
    <mergeCell ref="X1535:Z1535"/>
    <mergeCell ref="K1534:L1534"/>
    <mergeCell ref="M1534:O1534"/>
    <mergeCell ref="P1534:Q1534"/>
    <mergeCell ref="T1534:U1534"/>
    <mergeCell ref="V1534:W1534"/>
    <mergeCell ref="X1534:Z1534"/>
    <mergeCell ref="X1541:Z1541"/>
    <mergeCell ref="AA1541:AB1541"/>
    <mergeCell ref="F1542:H1544"/>
    <mergeCell ref="I1542:J1542"/>
    <mergeCell ref="I1543:J1543"/>
    <mergeCell ref="I1544:J1544"/>
    <mergeCell ref="K1542:L1542"/>
    <mergeCell ref="K1543:L1543"/>
    <mergeCell ref="K1544:L1544"/>
    <mergeCell ref="M1542:O1542"/>
    <mergeCell ref="AA1539:AB1539"/>
    <mergeCell ref="M1540:O1540"/>
    <mergeCell ref="P1540:Q1540"/>
    <mergeCell ref="T1540:U1540"/>
    <mergeCell ref="V1540:W1540"/>
    <mergeCell ref="X1540:Z1540"/>
    <mergeCell ref="AA1540:AB1540"/>
    <mergeCell ref="K1541:L1541"/>
    <mergeCell ref="M1539:O1539"/>
    <mergeCell ref="P1539:Q1539"/>
    <mergeCell ref="T1539:U1539"/>
    <mergeCell ref="V1539:W1539"/>
    <mergeCell ref="X1539:Z1539"/>
    <mergeCell ref="M1541:O1541"/>
    <mergeCell ref="P1541:Q1541"/>
    <mergeCell ref="T1541:U1541"/>
    <mergeCell ref="V1541:W1541"/>
    <mergeCell ref="T1538:U1538"/>
    <mergeCell ref="V1538:W1538"/>
    <mergeCell ref="X1538:Z1538"/>
    <mergeCell ref="AA1538:AB1538"/>
    <mergeCell ref="F1539:H1541"/>
    <mergeCell ref="I1539:J1539"/>
    <mergeCell ref="I1540:J1540"/>
    <mergeCell ref="I1541:J1541"/>
    <mergeCell ref="K1539:L1539"/>
    <mergeCell ref="K1540:L1540"/>
    <mergeCell ref="R1540:S1540"/>
    <mergeCell ref="R1541:S1541"/>
    <mergeCell ref="M1545:O1545"/>
    <mergeCell ref="P1545:Q1545"/>
    <mergeCell ref="T1545:U1545"/>
    <mergeCell ref="V1545:W1545"/>
    <mergeCell ref="X1545:Z1545"/>
    <mergeCell ref="AA1545:AB1545"/>
    <mergeCell ref="F1545:H1547"/>
    <mergeCell ref="I1545:J1545"/>
    <mergeCell ref="I1546:J1546"/>
    <mergeCell ref="I1547:J1547"/>
    <mergeCell ref="K1545:L1545"/>
    <mergeCell ref="K1546:L1546"/>
    <mergeCell ref="K1547:L1547"/>
    <mergeCell ref="AA1543:AB1543"/>
    <mergeCell ref="M1544:O1544"/>
    <mergeCell ref="P1544:Q1544"/>
    <mergeCell ref="T1544:U1544"/>
    <mergeCell ref="V1544:W1544"/>
    <mergeCell ref="X1544:Z1544"/>
    <mergeCell ref="AA1544:AB1544"/>
    <mergeCell ref="R1547:S1547"/>
    <mergeCell ref="T1542:U1542"/>
    <mergeCell ref="V1542:W1542"/>
    <mergeCell ref="X1542:Z1542"/>
    <mergeCell ref="AA1542:AB1542"/>
    <mergeCell ref="M1543:O1543"/>
    <mergeCell ref="P1543:Q1543"/>
    <mergeCell ref="T1543:U1543"/>
    <mergeCell ref="V1543:W1543"/>
    <mergeCell ref="X1543:Z1543"/>
    <mergeCell ref="P1542:Q1542"/>
    <mergeCell ref="R1542:S1542"/>
    <mergeCell ref="R1543:S1543"/>
    <mergeCell ref="R1544:S1544"/>
    <mergeCell ref="R1545:S1545"/>
    <mergeCell ref="R1546:S1546"/>
    <mergeCell ref="V1548:W1548"/>
    <mergeCell ref="X1548:Z1548"/>
    <mergeCell ref="AA1548:AB1548"/>
    <mergeCell ref="M1549:O1549"/>
    <mergeCell ref="P1549:Q1549"/>
    <mergeCell ref="T1549:U1549"/>
    <mergeCell ref="V1549:W1549"/>
    <mergeCell ref="X1549:Z1549"/>
    <mergeCell ref="AA1549:AB1549"/>
    <mergeCell ref="M1548:O1548"/>
    <mergeCell ref="P1548:Q1548"/>
    <mergeCell ref="R1548:S1548"/>
    <mergeCell ref="R1549:S1549"/>
    <mergeCell ref="R1550:S1550"/>
    <mergeCell ref="T1548:U1548"/>
    <mergeCell ref="M1550:O1550"/>
    <mergeCell ref="P1550:Q1550"/>
    <mergeCell ref="T1550:U1550"/>
    <mergeCell ref="F1548:H1550"/>
    <mergeCell ref="I1548:J1548"/>
    <mergeCell ref="I1549:J1549"/>
    <mergeCell ref="I1550:J1550"/>
    <mergeCell ref="K1548:L1548"/>
    <mergeCell ref="K1549:L1549"/>
    <mergeCell ref="K1550:L1550"/>
    <mergeCell ref="M1547:O1547"/>
    <mergeCell ref="P1547:Q1547"/>
    <mergeCell ref="T1547:U1547"/>
    <mergeCell ref="V1547:W1547"/>
    <mergeCell ref="X1547:Z1547"/>
    <mergeCell ref="AA1547:AB1547"/>
    <mergeCell ref="M1546:O1546"/>
    <mergeCell ref="P1546:Q1546"/>
    <mergeCell ref="T1546:U1546"/>
    <mergeCell ref="V1546:W1546"/>
    <mergeCell ref="X1546:Z1546"/>
    <mergeCell ref="AA1546:AB1546"/>
    <mergeCell ref="AA1552:AB1552"/>
    <mergeCell ref="A1553:A1571"/>
    <mergeCell ref="B1553:D1571"/>
    <mergeCell ref="F1553:H1553"/>
    <mergeCell ref="I1553:J1553"/>
    <mergeCell ref="K1553:L1553"/>
    <mergeCell ref="M1553:O1553"/>
    <mergeCell ref="P1553:Q1553"/>
    <mergeCell ref="R1553:S1553"/>
    <mergeCell ref="T1553:U1553"/>
    <mergeCell ref="X1551:Z1551"/>
    <mergeCell ref="AA1551:AB1551"/>
    <mergeCell ref="AC1551:AD1552"/>
    <mergeCell ref="AE1551:AE1552"/>
    <mergeCell ref="AF1551:AH1552"/>
    <mergeCell ref="M1552:O1552"/>
    <mergeCell ref="P1552:Q1552"/>
    <mergeCell ref="T1552:U1552"/>
    <mergeCell ref="V1552:W1552"/>
    <mergeCell ref="X1552:Z1552"/>
    <mergeCell ref="M1551:O1551"/>
    <mergeCell ref="P1551:Q1551"/>
    <mergeCell ref="R1551:S1551"/>
    <mergeCell ref="R1552:S1552"/>
    <mergeCell ref="T1551:U1551"/>
    <mergeCell ref="V1551:W1551"/>
    <mergeCell ref="V1550:W1550"/>
    <mergeCell ref="X1550:Z1550"/>
    <mergeCell ref="AA1550:AB1550"/>
    <mergeCell ref="A1551:A1552"/>
    <mergeCell ref="B1551:D1552"/>
    <mergeCell ref="F1551:H1552"/>
    <mergeCell ref="I1551:J1551"/>
    <mergeCell ref="I1552:J1552"/>
    <mergeCell ref="K1551:L1551"/>
    <mergeCell ref="K1552:L1552"/>
    <mergeCell ref="T1555:U1555"/>
    <mergeCell ref="V1555:W1555"/>
    <mergeCell ref="X1555:Z1555"/>
    <mergeCell ref="AA1555:AB1555"/>
    <mergeCell ref="F1556:H1556"/>
    <mergeCell ref="I1556:J1556"/>
    <mergeCell ref="K1556:L1556"/>
    <mergeCell ref="M1556:O1556"/>
    <mergeCell ref="P1556:Q1556"/>
    <mergeCell ref="R1556:S1556"/>
    <mergeCell ref="R1555:S1555"/>
    <mergeCell ref="T1554:U1554"/>
    <mergeCell ref="V1554:W1554"/>
    <mergeCell ref="X1554:Z1554"/>
    <mergeCell ref="AA1554:AB1554"/>
    <mergeCell ref="F1555:H1555"/>
    <mergeCell ref="I1555:J1555"/>
    <mergeCell ref="K1555:L1555"/>
    <mergeCell ref="M1555:O1555"/>
    <mergeCell ref="P1555:Q1555"/>
    <mergeCell ref="F1554:H1554"/>
    <mergeCell ref="I1554:J1554"/>
    <mergeCell ref="K1554:L1554"/>
    <mergeCell ref="M1554:O1554"/>
    <mergeCell ref="P1554:Q1554"/>
    <mergeCell ref="R1554:S1554"/>
    <mergeCell ref="AC1568:AD1568"/>
    <mergeCell ref="AC1569:AD1569"/>
    <mergeCell ref="AC1570:AD1570"/>
    <mergeCell ref="AC1571:AD1571"/>
    <mergeCell ref="AF1553:AH1571"/>
    <mergeCell ref="AI1553:AI1602"/>
    <mergeCell ref="AC1576:AD1576"/>
    <mergeCell ref="AC1577:AD1577"/>
    <mergeCell ref="AC1578:AD1578"/>
    <mergeCell ref="AC1579:AD1579"/>
    <mergeCell ref="AC1562:AD1562"/>
    <mergeCell ref="AC1563:AD1563"/>
    <mergeCell ref="AC1564:AD1564"/>
    <mergeCell ref="AC1565:AD1565"/>
    <mergeCell ref="AC1566:AD1566"/>
    <mergeCell ref="AC1567:AD1567"/>
    <mergeCell ref="AC1556:AD1556"/>
    <mergeCell ref="AC1557:AD1557"/>
    <mergeCell ref="AC1558:AD1558"/>
    <mergeCell ref="AC1559:AD1559"/>
    <mergeCell ref="AC1560:AD1560"/>
    <mergeCell ref="AC1561:AD1561"/>
    <mergeCell ref="V1553:W1553"/>
    <mergeCell ref="X1553:Z1553"/>
    <mergeCell ref="AA1553:AB1553"/>
    <mergeCell ref="AC1553:AD1553"/>
    <mergeCell ref="AC1554:AD1554"/>
    <mergeCell ref="AC1555:AD1555"/>
    <mergeCell ref="T1559:U1559"/>
    <mergeCell ref="V1559:W1559"/>
    <mergeCell ref="X1559:Z1559"/>
    <mergeCell ref="AA1559:AB1559"/>
    <mergeCell ref="F1560:H1560"/>
    <mergeCell ref="I1560:J1560"/>
    <mergeCell ref="K1560:L1560"/>
    <mergeCell ref="M1560:O1560"/>
    <mergeCell ref="P1560:Q1560"/>
    <mergeCell ref="R1560:S1560"/>
    <mergeCell ref="T1558:U1558"/>
    <mergeCell ref="V1558:W1558"/>
    <mergeCell ref="X1558:Z1558"/>
    <mergeCell ref="AA1558:AB1558"/>
    <mergeCell ref="F1559:H1559"/>
    <mergeCell ref="I1559:J1559"/>
    <mergeCell ref="K1559:L1559"/>
    <mergeCell ref="M1559:O1559"/>
    <mergeCell ref="P1559:Q1559"/>
    <mergeCell ref="R1559:S1559"/>
    <mergeCell ref="R1558:S1558"/>
    <mergeCell ref="T1557:U1557"/>
    <mergeCell ref="V1557:W1557"/>
    <mergeCell ref="X1557:Z1557"/>
    <mergeCell ref="AA1557:AB1557"/>
    <mergeCell ref="F1558:H1558"/>
    <mergeCell ref="I1558:J1558"/>
    <mergeCell ref="K1558:L1558"/>
    <mergeCell ref="M1558:O1558"/>
    <mergeCell ref="P1558:Q1558"/>
    <mergeCell ref="T1556:U1556"/>
    <mergeCell ref="V1556:W1556"/>
    <mergeCell ref="X1556:Z1556"/>
    <mergeCell ref="AA1556:AB1556"/>
    <mergeCell ref="F1557:H1557"/>
    <mergeCell ref="I1557:J1557"/>
    <mergeCell ref="K1557:L1557"/>
    <mergeCell ref="M1557:O1557"/>
    <mergeCell ref="P1557:Q1557"/>
    <mergeCell ref="R1557:S1557"/>
    <mergeCell ref="T1563:U1563"/>
    <mergeCell ref="V1563:W1563"/>
    <mergeCell ref="X1563:Z1563"/>
    <mergeCell ref="AA1563:AB1563"/>
    <mergeCell ref="F1564:H1564"/>
    <mergeCell ref="I1564:J1564"/>
    <mergeCell ref="K1564:L1564"/>
    <mergeCell ref="M1564:O1564"/>
    <mergeCell ref="P1564:Q1564"/>
    <mergeCell ref="T1562:U1562"/>
    <mergeCell ref="V1562:W1562"/>
    <mergeCell ref="X1562:Z1562"/>
    <mergeCell ref="AA1562:AB1562"/>
    <mergeCell ref="F1563:H1563"/>
    <mergeCell ref="I1563:J1563"/>
    <mergeCell ref="K1563:L1563"/>
    <mergeCell ref="M1563:O1563"/>
    <mergeCell ref="P1563:Q1563"/>
    <mergeCell ref="R1563:S1563"/>
    <mergeCell ref="T1561:U1561"/>
    <mergeCell ref="V1561:W1561"/>
    <mergeCell ref="X1561:Z1561"/>
    <mergeCell ref="AA1561:AB1561"/>
    <mergeCell ref="F1562:H1562"/>
    <mergeCell ref="I1562:J1562"/>
    <mergeCell ref="K1562:L1562"/>
    <mergeCell ref="M1562:O1562"/>
    <mergeCell ref="P1562:Q1562"/>
    <mergeCell ref="R1562:S1562"/>
    <mergeCell ref="R1561:S1561"/>
    <mergeCell ref="T1560:U1560"/>
    <mergeCell ref="V1560:W1560"/>
    <mergeCell ref="X1560:Z1560"/>
    <mergeCell ref="AA1560:AB1560"/>
    <mergeCell ref="F1561:H1561"/>
    <mergeCell ref="I1561:J1561"/>
    <mergeCell ref="K1561:L1561"/>
    <mergeCell ref="M1561:O1561"/>
    <mergeCell ref="P1561:Q1561"/>
    <mergeCell ref="T1567:U1567"/>
    <mergeCell ref="V1567:W1567"/>
    <mergeCell ref="X1567:Z1567"/>
    <mergeCell ref="AA1567:AB1567"/>
    <mergeCell ref="F1568:H1568"/>
    <mergeCell ref="I1568:J1568"/>
    <mergeCell ref="K1568:L1568"/>
    <mergeCell ref="M1568:O1568"/>
    <mergeCell ref="P1568:Q1568"/>
    <mergeCell ref="R1568:S1568"/>
    <mergeCell ref="R1567:S1567"/>
    <mergeCell ref="T1566:U1566"/>
    <mergeCell ref="V1566:W1566"/>
    <mergeCell ref="X1566:Z1566"/>
    <mergeCell ref="AA1566:AB1566"/>
    <mergeCell ref="F1567:H1567"/>
    <mergeCell ref="I1567:J1567"/>
    <mergeCell ref="K1567:L1567"/>
    <mergeCell ref="M1567:O1567"/>
    <mergeCell ref="P1567:Q1567"/>
    <mergeCell ref="T1565:U1565"/>
    <mergeCell ref="V1565:W1565"/>
    <mergeCell ref="X1565:Z1565"/>
    <mergeCell ref="AA1565:AB1565"/>
    <mergeCell ref="F1566:H1566"/>
    <mergeCell ref="I1566:J1566"/>
    <mergeCell ref="K1566:L1566"/>
    <mergeCell ref="M1566:O1566"/>
    <mergeCell ref="P1566:Q1566"/>
    <mergeCell ref="R1566:S1566"/>
    <mergeCell ref="T1564:U1564"/>
    <mergeCell ref="V1564:W1564"/>
    <mergeCell ref="X1564:Z1564"/>
    <mergeCell ref="AA1564:AB1564"/>
    <mergeCell ref="F1565:H1565"/>
    <mergeCell ref="I1565:J1565"/>
    <mergeCell ref="K1565:L1565"/>
    <mergeCell ref="M1565:O1565"/>
    <mergeCell ref="P1565:Q1565"/>
    <mergeCell ref="R1565:S1565"/>
    <mergeCell ref="R1564:S1564"/>
    <mergeCell ref="T1571:U1571"/>
    <mergeCell ref="V1571:W1571"/>
    <mergeCell ref="X1571:Z1571"/>
    <mergeCell ref="AA1571:AB1571"/>
    <mergeCell ref="A1572:A1595"/>
    <mergeCell ref="B1572:D1595"/>
    <mergeCell ref="F1572:H1579"/>
    <mergeCell ref="I1572:J1572"/>
    <mergeCell ref="K1572:L1572"/>
    <mergeCell ref="K1573:L1573"/>
    <mergeCell ref="T1570:U1570"/>
    <mergeCell ref="V1570:W1570"/>
    <mergeCell ref="X1570:Z1570"/>
    <mergeCell ref="AA1570:AB1570"/>
    <mergeCell ref="F1571:H1571"/>
    <mergeCell ref="I1571:J1571"/>
    <mergeCell ref="K1571:L1571"/>
    <mergeCell ref="M1571:O1571"/>
    <mergeCell ref="P1571:Q1571"/>
    <mergeCell ref="R1571:S1571"/>
    <mergeCell ref="R1570:S1570"/>
    <mergeCell ref="T1569:U1569"/>
    <mergeCell ref="V1569:W1569"/>
    <mergeCell ref="X1569:Z1569"/>
    <mergeCell ref="AA1569:AB1569"/>
    <mergeCell ref="F1570:H1570"/>
    <mergeCell ref="I1570:J1570"/>
    <mergeCell ref="K1570:L1570"/>
    <mergeCell ref="M1570:O1570"/>
    <mergeCell ref="P1570:Q1570"/>
    <mergeCell ref="T1568:U1568"/>
    <mergeCell ref="V1568:W1568"/>
    <mergeCell ref="X1568:Z1568"/>
    <mergeCell ref="AA1568:AB1568"/>
    <mergeCell ref="F1569:H1569"/>
    <mergeCell ref="I1569:J1569"/>
    <mergeCell ref="K1569:L1569"/>
    <mergeCell ref="M1569:O1569"/>
    <mergeCell ref="P1569:Q1569"/>
    <mergeCell ref="R1569:S1569"/>
    <mergeCell ref="I1574:J1574"/>
    <mergeCell ref="M1574:O1574"/>
    <mergeCell ref="P1574:Q1574"/>
    <mergeCell ref="T1574:U1574"/>
    <mergeCell ref="V1574:W1574"/>
    <mergeCell ref="X1574:Z1574"/>
    <mergeCell ref="AC1592:AD1592"/>
    <mergeCell ref="AC1593:AD1593"/>
    <mergeCell ref="AC1594:AD1594"/>
    <mergeCell ref="AC1595:AD1595"/>
    <mergeCell ref="AF1572:AH1595"/>
    <mergeCell ref="I1573:J1573"/>
    <mergeCell ref="M1573:O1573"/>
    <mergeCell ref="P1573:Q1573"/>
    <mergeCell ref="T1573:U1573"/>
    <mergeCell ref="V1573:W1573"/>
    <mergeCell ref="AC1586:AD1586"/>
    <mergeCell ref="AC1587:AD1587"/>
    <mergeCell ref="AC1588:AD1588"/>
    <mergeCell ref="AC1589:AD1589"/>
    <mergeCell ref="AC1590:AD1590"/>
    <mergeCell ref="AC1591:AD1591"/>
    <mergeCell ref="AC1580:AD1580"/>
    <mergeCell ref="AC1581:AD1581"/>
    <mergeCell ref="AC1582:AD1582"/>
    <mergeCell ref="AC1583:AD1583"/>
    <mergeCell ref="AC1584:AD1584"/>
    <mergeCell ref="AC1585:AD1585"/>
    <mergeCell ref="X1572:Z1572"/>
    <mergeCell ref="AA1572:AB1572"/>
    <mergeCell ref="AC1572:AD1572"/>
    <mergeCell ref="AC1573:AD1573"/>
    <mergeCell ref="AC1574:AD1574"/>
    <mergeCell ref="AC1575:AD1575"/>
    <mergeCell ref="X1573:Z1573"/>
    <mergeCell ref="AA1573:AB1573"/>
    <mergeCell ref="AA1574:AB1574"/>
    <mergeCell ref="AA1575:AB1575"/>
    <mergeCell ref="R1576:S1576"/>
    <mergeCell ref="R1577:S1577"/>
    <mergeCell ref="R1578:S1578"/>
    <mergeCell ref="R1579:S1579"/>
    <mergeCell ref="T1572:U1572"/>
    <mergeCell ref="V1572:W1572"/>
    <mergeCell ref="M1572:O1572"/>
    <mergeCell ref="P1572:Q1572"/>
    <mergeCell ref="R1572:S1572"/>
    <mergeCell ref="R1573:S1573"/>
    <mergeCell ref="R1574:S1574"/>
    <mergeCell ref="R1575:S1575"/>
    <mergeCell ref="K1574:L1574"/>
    <mergeCell ref="K1575:L1575"/>
    <mergeCell ref="K1576:L1576"/>
    <mergeCell ref="K1577:L1577"/>
    <mergeCell ref="K1578:L1578"/>
    <mergeCell ref="K1579:L1579"/>
    <mergeCell ref="AA1578:AB1578"/>
    <mergeCell ref="I1579:J1579"/>
    <mergeCell ref="M1579:O1579"/>
    <mergeCell ref="P1579:Q1579"/>
    <mergeCell ref="T1579:U1579"/>
    <mergeCell ref="V1579:W1579"/>
    <mergeCell ref="X1579:Z1579"/>
    <mergeCell ref="AA1579:AB1579"/>
    <mergeCell ref="I1578:J1578"/>
    <mergeCell ref="M1578:O1578"/>
    <mergeCell ref="P1578:Q1578"/>
    <mergeCell ref="T1578:U1578"/>
    <mergeCell ref="V1578:W1578"/>
    <mergeCell ref="X1578:Z1578"/>
    <mergeCell ref="AA1576:AB1576"/>
    <mergeCell ref="I1577:J1577"/>
    <mergeCell ref="M1577:O1577"/>
    <mergeCell ref="P1577:Q1577"/>
    <mergeCell ref="T1577:U1577"/>
    <mergeCell ref="V1577:W1577"/>
    <mergeCell ref="X1577:Z1577"/>
    <mergeCell ref="AA1577:AB1577"/>
    <mergeCell ref="I1576:J1576"/>
    <mergeCell ref="M1576:O1576"/>
    <mergeCell ref="P1576:Q1576"/>
    <mergeCell ref="T1576:U1576"/>
    <mergeCell ref="V1576:W1576"/>
    <mergeCell ref="X1576:Z1576"/>
    <mergeCell ref="I1575:J1575"/>
    <mergeCell ref="M1575:O1575"/>
    <mergeCell ref="P1575:Q1575"/>
    <mergeCell ref="T1575:U1575"/>
    <mergeCell ref="V1575:W1575"/>
    <mergeCell ref="X1575:Z1575"/>
    <mergeCell ref="AA1584:AB1584"/>
    <mergeCell ref="I1585:J1585"/>
    <mergeCell ref="M1585:O1585"/>
    <mergeCell ref="P1585:Q1585"/>
    <mergeCell ref="T1585:U1585"/>
    <mergeCell ref="V1585:W1585"/>
    <mergeCell ref="X1585:Z1585"/>
    <mergeCell ref="AA1585:AB1585"/>
    <mergeCell ref="I1584:J1584"/>
    <mergeCell ref="M1584:O1584"/>
    <mergeCell ref="P1584:Q1584"/>
    <mergeCell ref="T1584:U1584"/>
    <mergeCell ref="V1584:W1584"/>
    <mergeCell ref="X1584:Z1584"/>
    <mergeCell ref="AA1582:AB1582"/>
    <mergeCell ref="I1583:J1583"/>
    <mergeCell ref="M1583:O1583"/>
    <mergeCell ref="P1583:Q1583"/>
    <mergeCell ref="T1583:U1583"/>
    <mergeCell ref="V1583:W1583"/>
    <mergeCell ref="X1583:Z1583"/>
    <mergeCell ref="AA1583:AB1583"/>
    <mergeCell ref="I1582:J1582"/>
    <mergeCell ref="M1582:O1582"/>
    <mergeCell ref="P1582:Q1582"/>
    <mergeCell ref="T1582:U1582"/>
    <mergeCell ref="V1582:W1582"/>
    <mergeCell ref="X1582:Z1582"/>
    <mergeCell ref="X1580:Z1580"/>
    <mergeCell ref="AA1580:AB1580"/>
    <mergeCell ref="I1581:J1581"/>
    <mergeCell ref="M1581:O1581"/>
    <mergeCell ref="P1581:Q1581"/>
    <mergeCell ref="T1581:U1581"/>
    <mergeCell ref="V1581:W1581"/>
    <mergeCell ref="X1581:Z1581"/>
    <mergeCell ref="AA1581:AB1581"/>
    <mergeCell ref="R1584:S1584"/>
    <mergeCell ref="R1585:S1585"/>
    <mergeCell ref="T1580:U1580"/>
    <mergeCell ref="V1580:W1580"/>
    <mergeCell ref="M1580:O1580"/>
    <mergeCell ref="P1580:Q1580"/>
    <mergeCell ref="R1580:S1580"/>
    <mergeCell ref="R1581:S1581"/>
    <mergeCell ref="R1582:S1582"/>
    <mergeCell ref="R1583:S1583"/>
    <mergeCell ref="I1580:J1580"/>
    <mergeCell ref="K1580:L1580"/>
    <mergeCell ref="K1581:L1581"/>
    <mergeCell ref="K1582:L1582"/>
    <mergeCell ref="K1583:L1583"/>
    <mergeCell ref="K1584:L1584"/>
    <mergeCell ref="K1585:L1585"/>
    <mergeCell ref="X1588:Z1588"/>
    <mergeCell ref="AA1588:AB1588"/>
    <mergeCell ref="I1589:J1589"/>
    <mergeCell ref="M1589:O1589"/>
    <mergeCell ref="P1589:Q1589"/>
    <mergeCell ref="T1589:U1589"/>
    <mergeCell ref="V1589:W1589"/>
    <mergeCell ref="X1589:Z1589"/>
    <mergeCell ref="AA1589:AB1589"/>
    <mergeCell ref="R1592:S1592"/>
    <mergeCell ref="R1593:S1593"/>
    <mergeCell ref="R1594:S1594"/>
    <mergeCell ref="R1595:S1595"/>
    <mergeCell ref="T1588:U1588"/>
    <mergeCell ref="V1588:W1588"/>
    <mergeCell ref="M1588:O1588"/>
    <mergeCell ref="P1588:Q1588"/>
    <mergeCell ref="R1588:S1588"/>
    <mergeCell ref="R1589:S1589"/>
    <mergeCell ref="R1590:S1590"/>
    <mergeCell ref="R1591:S1591"/>
    <mergeCell ref="F1588:H1595"/>
    <mergeCell ref="I1588:J1588"/>
    <mergeCell ref="K1588:L1588"/>
    <mergeCell ref="K1589:L1589"/>
    <mergeCell ref="K1590:L1590"/>
    <mergeCell ref="K1591:L1591"/>
    <mergeCell ref="K1592:L1592"/>
    <mergeCell ref="K1593:L1593"/>
    <mergeCell ref="K1594:L1594"/>
    <mergeCell ref="K1595:L1595"/>
    <mergeCell ref="AA1586:AB1586"/>
    <mergeCell ref="I1587:J1587"/>
    <mergeCell ref="M1587:O1587"/>
    <mergeCell ref="P1587:Q1587"/>
    <mergeCell ref="T1587:U1587"/>
    <mergeCell ref="V1587:W1587"/>
    <mergeCell ref="X1587:Z1587"/>
    <mergeCell ref="AA1587:AB1587"/>
    <mergeCell ref="I1586:J1586"/>
    <mergeCell ref="M1586:O1586"/>
    <mergeCell ref="P1586:Q1586"/>
    <mergeCell ref="T1586:U1586"/>
    <mergeCell ref="V1586:W1586"/>
    <mergeCell ref="X1586:Z1586"/>
    <mergeCell ref="R1586:S1586"/>
    <mergeCell ref="R1587:S1587"/>
    <mergeCell ref="F1580:H1587"/>
    <mergeCell ref="K1586:L1586"/>
    <mergeCell ref="K1587:L1587"/>
    <mergeCell ref="AA1594:AB1594"/>
    <mergeCell ref="I1595:J1595"/>
    <mergeCell ref="M1595:O1595"/>
    <mergeCell ref="P1595:Q1595"/>
    <mergeCell ref="T1595:U1595"/>
    <mergeCell ref="V1595:W1595"/>
    <mergeCell ref="X1595:Z1595"/>
    <mergeCell ref="AA1595:AB1595"/>
    <mergeCell ref="I1594:J1594"/>
    <mergeCell ref="M1594:O1594"/>
    <mergeCell ref="P1594:Q1594"/>
    <mergeCell ref="T1594:U1594"/>
    <mergeCell ref="V1594:W1594"/>
    <mergeCell ref="X1594:Z1594"/>
    <mergeCell ref="AA1592:AB1592"/>
    <mergeCell ref="I1593:J1593"/>
    <mergeCell ref="M1593:O1593"/>
    <mergeCell ref="P1593:Q1593"/>
    <mergeCell ref="T1593:U1593"/>
    <mergeCell ref="V1593:W1593"/>
    <mergeCell ref="X1593:Z1593"/>
    <mergeCell ref="AA1593:AB1593"/>
    <mergeCell ref="I1592:J1592"/>
    <mergeCell ref="M1592:O1592"/>
    <mergeCell ref="P1592:Q1592"/>
    <mergeCell ref="T1592:U1592"/>
    <mergeCell ref="V1592:W1592"/>
    <mergeCell ref="X1592:Z1592"/>
    <mergeCell ref="AA1590:AB1590"/>
    <mergeCell ref="I1591:J1591"/>
    <mergeCell ref="M1591:O1591"/>
    <mergeCell ref="P1591:Q1591"/>
    <mergeCell ref="T1591:U1591"/>
    <mergeCell ref="V1591:W1591"/>
    <mergeCell ref="X1591:Z1591"/>
    <mergeCell ref="AA1591:AB1591"/>
    <mergeCell ref="I1590:J1590"/>
    <mergeCell ref="M1590:O1590"/>
    <mergeCell ref="P1590:Q1590"/>
    <mergeCell ref="T1590:U1590"/>
    <mergeCell ref="V1590:W1590"/>
    <mergeCell ref="X1590:Z1590"/>
    <mergeCell ref="V1601:W1602"/>
    <mergeCell ref="X1601:Z1602"/>
    <mergeCell ref="AA1601:AB1602"/>
    <mergeCell ref="AJ1601:AJ1602"/>
    <mergeCell ref="A1603:A1617"/>
    <mergeCell ref="B1603:D1617"/>
    <mergeCell ref="F1603:H1605"/>
    <mergeCell ref="I1603:J1603"/>
    <mergeCell ref="I1604:J1604"/>
    <mergeCell ref="I1605:J1605"/>
    <mergeCell ref="AJ1599:AJ1600"/>
    <mergeCell ref="E1601:E1602"/>
    <mergeCell ref="F1601:H1602"/>
    <mergeCell ref="I1601:J1601"/>
    <mergeCell ref="I1602:J1602"/>
    <mergeCell ref="K1601:L1602"/>
    <mergeCell ref="M1601:O1602"/>
    <mergeCell ref="P1601:Q1602"/>
    <mergeCell ref="R1601:S1602"/>
    <mergeCell ref="T1601:U1602"/>
    <mergeCell ref="P1599:Q1600"/>
    <mergeCell ref="R1599:S1600"/>
    <mergeCell ref="T1599:U1600"/>
    <mergeCell ref="V1599:W1600"/>
    <mergeCell ref="X1599:Z1600"/>
    <mergeCell ref="AA1599:AB1600"/>
    <mergeCell ref="AC1601:AD1601"/>
    <mergeCell ref="AC1602:AD1602"/>
    <mergeCell ref="AF1596:AH1602"/>
    <mergeCell ref="AJ1596:AJ1598"/>
    <mergeCell ref="E1599:E1600"/>
    <mergeCell ref="F1599:H1600"/>
    <mergeCell ref="I1599:J1599"/>
    <mergeCell ref="I1600:J1600"/>
    <mergeCell ref="K1599:L1600"/>
    <mergeCell ref="M1599:O1600"/>
    <mergeCell ref="AA1596:AB1598"/>
    <mergeCell ref="AC1596:AD1596"/>
    <mergeCell ref="AC1597:AD1597"/>
    <mergeCell ref="AC1598:AD1598"/>
    <mergeCell ref="AC1599:AD1599"/>
    <mergeCell ref="AC1600:AD1600"/>
    <mergeCell ref="M1596:O1598"/>
    <mergeCell ref="P1596:Q1598"/>
    <mergeCell ref="R1596:S1598"/>
    <mergeCell ref="T1596:U1598"/>
    <mergeCell ref="V1596:W1598"/>
    <mergeCell ref="X1596:Z1598"/>
    <mergeCell ref="E1596:E1598"/>
    <mergeCell ref="F1596:H1598"/>
    <mergeCell ref="I1596:J1596"/>
    <mergeCell ref="I1597:J1597"/>
    <mergeCell ref="I1598:J1598"/>
    <mergeCell ref="K1596:L1598"/>
    <mergeCell ref="A1596:A1602"/>
    <mergeCell ref="B1596:D1596"/>
    <mergeCell ref="B1597:D1597"/>
    <mergeCell ref="B1598:D1598"/>
    <mergeCell ref="B1599:D1599"/>
    <mergeCell ref="B1600:D1600"/>
    <mergeCell ref="B1601:D1601"/>
    <mergeCell ref="B1602:D1602"/>
    <mergeCell ref="AA1606:AB1606"/>
    <mergeCell ref="M1607:O1607"/>
    <mergeCell ref="P1607:Q1607"/>
    <mergeCell ref="T1607:U1607"/>
    <mergeCell ref="V1607:W1607"/>
    <mergeCell ref="X1607:Z1607"/>
    <mergeCell ref="AA1607:AB1607"/>
    <mergeCell ref="P1606:Q1606"/>
    <mergeCell ref="R1606:S1606"/>
    <mergeCell ref="R1607:S1607"/>
    <mergeCell ref="T1606:U1606"/>
    <mergeCell ref="V1606:W1606"/>
    <mergeCell ref="X1606:Z1606"/>
    <mergeCell ref="T1605:U1605"/>
    <mergeCell ref="V1605:W1605"/>
    <mergeCell ref="X1605:Z1605"/>
    <mergeCell ref="AA1605:AB1605"/>
    <mergeCell ref="F1606:H1607"/>
    <mergeCell ref="I1606:J1606"/>
    <mergeCell ref="I1607:J1607"/>
    <mergeCell ref="K1606:L1606"/>
    <mergeCell ref="K1607:L1607"/>
    <mergeCell ref="M1606:O1606"/>
    <mergeCell ref="AC1617:AD1617"/>
    <mergeCell ref="AF1603:AH1617"/>
    <mergeCell ref="M1604:O1604"/>
    <mergeCell ref="P1604:Q1604"/>
    <mergeCell ref="T1604:U1604"/>
    <mergeCell ref="V1604:W1604"/>
    <mergeCell ref="X1604:Z1604"/>
    <mergeCell ref="AA1604:AB1604"/>
    <mergeCell ref="M1605:O1605"/>
    <mergeCell ref="P1605:Q1605"/>
    <mergeCell ref="AC1611:AD1611"/>
    <mergeCell ref="AC1612:AD1612"/>
    <mergeCell ref="AC1613:AD1613"/>
    <mergeCell ref="AC1614:AD1614"/>
    <mergeCell ref="AC1615:AD1615"/>
    <mergeCell ref="AC1616:AD1616"/>
    <mergeCell ref="AC1605:AD1605"/>
    <mergeCell ref="AC1606:AD1606"/>
    <mergeCell ref="AC1607:AD1607"/>
    <mergeCell ref="AC1608:AD1608"/>
    <mergeCell ref="AC1609:AD1609"/>
    <mergeCell ref="AC1610:AD1610"/>
    <mergeCell ref="T1603:U1603"/>
    <mergeCell ref="V1603:W1603"/>
    <mergeCell ref="X1603:Z1603"/>
    <mergeCell ref="AA1603:AB1603"/>
    <mergeCell ref="AC1603:AD1603"/>
    <mergeCell ref="AC1604:AD1604"/>
    <mergeCell ref="K1603:L1603"/>
    <mergeCell ref="K1604:L1604"/>
    <mergeCell ref="K1605:L1605"/>
    <mergeCell ref="M1603:O1603"/>
    <mergeCell ref="P1603:Q1603"/>
    <mergeCell ref="R1603:S1603"/>
    <mergeCell ref="R1604:S1604"/>
    <mergeCell ref="R1605:S1605"/>
    <mergeCell ref="M1612:O1612"/>
    <mergeCell ref="P1612:Q1612"/>
    <mergeCell ref="T1612:U1612"/>
    <mergeCell ref="V1612:W1612"/>
    <mergeCell ref="X1612:Z1612"/>
    <mergeCell ref="AA1612:AB1612"/>
    <mergeCell ref="R1611:S1611"/>
    <mergeCell ref="R1612:S1612"/>
    <mergeCell ref="T1611:U1611"/>
    <mergeCell ref="V1611:W1611"/>
    <mergeCell ref="X1611:Z1611"/>
    <mergeCell ref="AA1611:AB1611"/>
    <mergeCell ref="V1610:W1610"/>
    <mergeCell ref="X1610:Z1610"/>
    <mergeCell ref="AA1610:AB1610"/>
    <mergeCell ref="F1611:H1612"/>
    <mergeCell ref="I1611:J1611"/>
    <mergeCell ref="I1612:J1612"/>
    <mergeCell ref="K1611:L1611"/>
    <mergeCell ref="K1612:L1612"/>
    <mergeCell ref="M1611:O1611"/>
    <mergeCell ref="P1611:Q1611"/>
    <mergeCell ref="V1608:W1608"/>
    <mergeCell ref="X1608:Z1608"/>
    <mergeCell ref="AA1608:AB1608"/>
    <mergeCell ref="M1609:O1609"/>
    <mergeCell ref="P1609:Q1609"/>
    <mergeCell ref="T1609:U1609"/>
    <mergeCell ref="V1609:W1609"/>
    <mergeCell ref="X1609:Z1609"/>
    <mergeCell ref="AA1609:AB1609"/>
    <mergeCell ref="M1608:O1608"/>
    <mergeCell ref="P1608:Q1608"/>
    <mergeCell ref="R1608:S1608"/>
    <mergeCell ref="R1609:S1609"/>
    <mergeCell ref="R1610:S1610"/>
    <mergeCell ref="T1608:U1608"/>
    <mergeCell ref="M1610:O1610"/>
    <mergeCell ref="P1610:Q1610"/>
    <mergeCell ref="T1610:U1610"/>
    <mergeCell ref="F1608:H1610"/>
    <mergeCell ref="I1608:J1608"/>
    <mergeCell ref="I1609:J1609"/>
    <mergeCell ref="I1610:J1610"/>
    <mergeCell ref="K1608:L1608"/>
    <mergeCell ref="K1609:L1609"/>
    <mergeCell ref="K1610:L1610"/>
    <mergeCell ref="A1618:A1641"/>
    <mergeCell ref="B1618:D1618"/>
    <mergeCell ref="B1619:D1619"/>
    <mergeCell ref="B1620:D1620"/>
    <mergeCell ref="B1621:D1621"/>
    <mergeCell ref="B1622:D1622"/>
    <mergeCell ref="B1623:D1623"/>
    <mergeCell ref="B1624:D1624"/>
    <mergeCell ref="B1625:D1625"/>
    <mergeCell ref="B1626:D1626"/>
    <mergeCell ref="M1617:O1617"/>
    <mergeCell ref="P1617:Q1617"/>
    <mergeCell ref="T1617:U1617"/>
    <mergeCell ref="V1617:W1617"/>
    <mergeCell ref="X1617:Z1617"/>
    <mergeCell ref="AA1617:AB1617"/>
    <mergeCell ref="R1616:S1616"/>
    <mergeCell ref="R1617:S1617"/>
    <mergeCell ref="T1616:U1616"/>
    <mergeCell ref="V1616:W1616"/>
    <mergeCell ref="X1616:Z1616"/>
    <mergeCell ref="AA1616:AB1616"/>
    <mergeCell ref="V1615:W1615"/>
    <mergeCell ref="X1615:Z1615"/>
    <mergeCell ref="AA1615:AB1615"/>
    <mergeCell ref="F1616:H1617"/>
    <mergeCell ref="I1616:J1616"/>
    <mergeCell ref="I1617:J1617"/>
    <mergeCell ref="K1616:L1616"/>
    <mergeCell ref="K1617:L1617"/>
    <mergeCell ref="M1616:O1616"/>
    <mergeCell ref="P1616:Q1616"/>
    <mergeCell ref="V1613:W1613"/>
    <mergeCell ref="X1613:Z1613"/>
    <mergeCell ref="AA1613:AB1613"/>
    <mergeCell ref="M1614:O1614"/>
    <mergeCell ref="P1614:Q1614"/>
    <mergeCell ref="T1614:U1614"/>
    <mergeCell ref="V1614:W1614"/>
    <mergeCell ref="X1614:Z1614"/>
    <mergeCell ref="AA1614:AB1614"/>
    <mergeCell ref="M1613:O1613"/>
    <mergeCell ref="P1613:Q1613"/>
    <mergeCell ref="R1613:S1613"/>
    <mergeCell ref="R1614:S1614"/>
    <mergeCell ref="R1615:S1615"/>
    <mergeCell ref="T1613:U1613"/>
    <mergeCell ref="M1615:O1615"/>
    <mergeCell ref="P1615:Q1615"/>
    <mergeCell ref="T1615:U1615"/>
    <mergeCell ref="F1613:H1615"/>
    <mergeCell ref="I1613:J1613"/>
    <mergeCell ref="I1614:J1614"/>
    <mergeCell ref="I1615:J1615"/>
    <mergeCell ref="K1613:L1613"/>
    <mergeCell ref="K1614:L1614"/>
    <mergeCell ref="K1615:L1615"/>
    <mergeCell ref="M1618:O1618"/>
    <mergeCell ref="P1618:Q1618"/>
    <mergeCell ref="R1618:S1618"/>
    <mergeCell ref="R1619:S1619"/>
    <mergeCell ref="R1620:S1620"/>
    <mergeCell ref="R1621:S1621"/>
    <mergeCell ref="R1622:S1622"/>
    <mergeCell ref="R1623:S1623"/>
    <mergeCell ref="R1624:S1624"/>
    <mergeCell ref="K1623:L1623"/>
    <mergeCell ref="K1624:L1624"/>
    <mergeCell ref="K1625:L1625"/>
    <mergeCell ref="K1626:L1626"/>
    <mergeCell ref="K1627:L1627"/>
    <mergeCell ref="K1628:L1628"/>
    <mergeCell ref="B1639:D1639"/>
    <mergeCell ref="B1640:D1640"/>
    <mergeCell ref="B1641:D1641"/>
    <mergeCell ref="F1618:H1641"/>
    <mergeCell ref="I1618:J1618"/>
    <mergeCell ref="K1618:L1618"/>
    <mergeCell ref="K1619:L1619"/>
    <mergeCell ref="K1620:L1620"/>
    <mergeCell ref="K1621:L1621"/>
    <mergeCell ref="K1622:L1622"/>
    <mergeCell ref="B1633:D1633"/>
    <mergeCell ref="B1634:D1634"/>
    <mergeCell ref="B1635:D1635"/>
    <mergeCell ref="B1636:D1636"/>
    <mergeCell ref="B1637:D1637"/>
    <mergeCell ref="B1638:D1638"/>
    <mergeCell ref="B1627:D1627"/>
    <mergeCell ref="B1628:D1628"/>
    <mergeCell ref="B1629:D1629"/>
    <mergeCell ref="B1630:D1630"/>
    <mergeCell ref="B1631:D1631"/>
    <mergeCell ref="B1632:D1632"/>
    <mergeCell ref="I1621:J1621"/>
    <mergeCell ref="M1621:O1621"/>
    <mergeCell ref="P1621:Q1621"/>
    <mergeCell ref="T1621:U1621"/>
    <mergeCell ref="V1621:W1621"/>
    <mergeCell ref="I1622:J1622"/>
    <mergeCell ref="M1622:O1622"/>
    <mergeCell ref="P1622:Q1622"/>
    <mergeCell ref="T1622:U1622"/>
    <mergeCell ref="V1622:W1622"/>
    <mergeCell ref="AF1618:AH1641"/>
    <mergeCell ref="I1619:J1619"/>
    <mergeCell ref="M1619:O1619"/>
    <mergeCell ref="P1619:Q1619"/>
    <mergeCell ref="T1619:U1619"/>
    <mergeCell ref="V1619:W1619"/>
    <mergeCell ref="I1620:J1620"/>
    <mergeCell ref="M1620:O1620"/>
    <mergeCell ref="P1620:Q1620"/>
    <mergeCell ref="T1620:U1620"/>
    <mergeCell ref="AC1636:AD1636"/>
    <mergeCell ref="AC1637:AD1637"/>
    <mergeCell ref="AC1638:AD1638"/>
    <mergeCell ref="AC1639:AD1639"/>
    <mergeCell ref="AC1640:AD1640"/>
    <mergeCell ref="AC1641:AD1641"/>
    <mergeCell ref="AC1630:AD1630"/>
    <mergeCell ref="AC1631:AD1631"/>
    <mergeCell ref="AC1632:AD1632"/>
    <mergeCell ref="AC1633:AD1633"/>
    <mergeCell ref="AC1634:AD1634"/>
    <mergeCell ref="AC1635:AD1635"/>
    <mergeCell ref="AC1624:AD1624"/>
    <mergeCell ref="AC1625:AD1625"/>
    <mergeCell ref="AC1626:AD1626"/>
    <mergeCell ref="AC1627:AD1627"/>
    <mergeCell ref="AC1628:AD1628"/>
    <mergeCell ref="AC1629:AD1629"/>
    <mergeCell ref="V1618:W1618"/>
    <mergeCell ref="X1618:Z1623"/>
    <mergeCell ref="AA1618:AB1623"/>
    <mergeCell ref="AC1618:AD1618"/>
    <mergeCell ref="AC1619:AD1619"/>
    <mergeCell ref="AC1620:AD1620"/>
    <mergeCell ref="AC1621:AD1621"/>
    <mergeCell ref="AC1622:AD1622"/>
    <mergeCell ref="AC1623:AD1623"/>
    <mergeCell ref="V1620:W1620"/>
    <mergeCell ref="T1618:U1618"/>
    <mergeCell ref="T1626:U1626"/>
    <mergeCell ref="R1637:S1637"/>
    <mergeCell ref="R1638:S1638"/>
    <mergeCell ref="R1639:S1639"/>
    <mergeCell ref="R1640:S1640"/>
    <mergeCell ref="R1641:S1641"/>
    <mergeCell ref="R1631:S1631"/>
    <mergeCell ref="R1632:S1632"/>
    <mergeCell ref="R1633:S1633"/>
    <mergeCell ref="R1634:S1634"/>
    <mergeCell ref="R1635:S1635"/>
    <mergeCell ref="R1636:S1636"/>
    <mergeCell ref="R1625:S1625"/>
    <mergeCell ref="R1626:S1626"/>
    <mergeCell ref="R1627:S1627"/>
    <mergeCell ref="I1628:J1628"/>
    <mergeCell ref="M1628:O1628"/>
    <mergeCell ref="P1628:Q1628"/>
    <mergeCell ref="T1628:U1628"/>
    <mergeCell ref="V1628:W1628"/>
    <mergeCell ref="I1629:J1629"/>
    <mergeCell ref="M1629:O1629"/>
    <mergeCell ref="P1629:Q1629"/>
    <mergeCell ref="T1629:U1629"/>
    <mergeCell ref="V1629:W1629"/>
    <mergeCell ref="V1626:W1626"/>
    <mergeCell ref="I1627:J1627"/>
    <mergeCell ref="M1627:O1627"/>
    <mergeCell ref="P1627:Q1627"/>
    <mergeCell ref="T1627:U1627"/>
    <mergeCell ref="V1627:W1627"/>
    <mergeCell ref="X1624:Z1629"/>
    <mergeCell ref="AA1624:AB1629"/>
    <mergeCell ref="I1625:J1625"/>
    <mergeCell ref="M1625:O1625"/>
    <mergeCell ref="P1625:Q1625"/>
    <mergeCell ref="T1625:U1625"/>
    <mergeCell ref="V1625:W1625"/>
    <mergeCell ref="I1626:J1626"/>
    <mergeCell ref="M1626:O1626"/>
    <mergeCell ref="P1626:Q1626"/>
    <mergeCell ref="I1623:J1623"/>
    <mergeCell ref="M1623:O1623"/>
    <mergeCell ref="P1623:Q1623"/>
    <mergeCell ref="T1623:U1623"/>
    <mergeCell ref="V1623:W1623"/>
    <mergeCell ref="I1624:J1624"/>
    <mergeCell ref="M1624:O1624"/>
    <mergeCell ref="P1624:Q1624"/>
    <mergeCell ref="T1624:U1624"/>
    <mergeCell ref="V1624:W1624"/>
    <mergeCell ref="R1628:S1628"/>
    <mergeCell ref="R1629:S1629"/>
    <mergeCell ref="K1629:L1629"/>
    <mergeCell ref="M1632:O1632"/>
    <mergeCell ref="P1632:Q1632"/>
    <mergeCell ref="T1632:U1632"/>
    <mergeCell ref="V1632:W1632"/>
    <mergeCell ref="M1633:O1633"/>
    <mergeCell ref="P1633:Q1633"/>
    <mergeCell ref="T1633:U1633"/>
    <mergeCell ref="V1633:W1633"/>
    <mergeCell ref="M1630:O1630"/>
    <mergeCell ref="P1630:Q1630"/>
    <mergeCell ref="T1630:U1630"/>
    <mergeCell ref="V1630:W1630"/>
    <mergeCell ref="X1630:Z1635"/>
    <mergeCell ref="AA1630:AB1635"/>
    <mergeCell ref="M1631:O1631"/>
    <mergeCell ref="P1631:Q1631"/>
    <mergeCell ref="T1631:U1631"/>
    <mergeCell ref="V1631:W1631"/>
    <mergeCell ref="K1636:L1636"/>
    <mergeCell ref="K1637:L1637"/>
    <mergeCell ref="K1638:L1638"/>
    <mergeCell ref="K1639:L1639"/>
    <mergeCell ref="K1640:L1640"/>
    <mergeCell ref="K1641:L1641"/>
    <mergeCell ref="K1630:L1630"/>
    <mergeCell ref="K1631:L1631"/>
    <mergeCell ref="K1632:L1632"/>
    <mergeCell ref="K1633:L1633"/>
    <mergeCell ref="K1634:L1634"/>
    <mergeCell ref="K1635:L1635"/>
    <mergeCell ref="I1636:J1636"/>
    <mergeCell ref="I1637:J1637"/>
    <mergeCell ref="I1638:J1638"/>
    <mergeCell ref="I1639:J1639"/>
    <mergeCell ref="I1640:J1640"/>
    <mergeCell ref="I1641:J1641"/>
    <mergeCell ref="I1630:J1630"/>
    <mergeCell ref="I1631:J1631"/>
    <mergeCell ref="I1632:J1632"/>
    <mergeCell ref="I1633:J1633"/>
    <mergeCell ref="I1634:J1634"/>
    <mergeCell ref="I1635:J1635"/>
    <mergeCell ref="R1630:S1630"/>
    <mergeCell ref="M1640:O1640"/>
    <mergeCell ref="P1640:Q1640"/>
    <mergeCell ref="T1640:U1640"/>
    <mergeCell ref="V1640:W1640"/>
    <mergeCell ref="M1641:O1641"/>
    <mergeCell ref="P1641:Q1641"/>
    <mergeCell ref="T1641:U1641"/>
    <mergeCell ref="V1641:W1641"/>
    <mergeCell ref="M1638:O1638"/>
    <mergeCell ref="P1638:Q1638"/>
    <mergeCell ref="T1638:U1638"/>
    <mergeCell ref="V1638:W1638"/>
    <mergeCell ref="M1639:O1639"/>
    <mergeCell ref="P1639:Q1639"/>
    <mergeCell ref="T1639:U1639"/>
    <mergeCell ref="V1639:W1639"/>
    <mergeCell ref="M1636:O1636"/>
    <mergeCell ref="P1636:Q1636"/>
    <mergeCell ref="T1636:U1636"/>
    <mergeCell ref="V1636:W1636"/>
    <mergeCell ref="X1636:Z1641"/>
    <mergeCell ref="AA1636:AB1641"/>
    <mergeCell ref="M1637:O1637"/>
    <mergeCell ref="P1637:Q1637"/>
    <mergeCell ref="T1637:U1637"/>
    <mergeCell ref="V1637:W1637"/>
    <mergeCell ref="M1634:O1634"/>
    <mergeCell ref="P1634:Q1634"/>
    <mergeCell ref="T1634:U1634"/>
    <mergeCell ref="V1634:W1634"/>
    <mergeCell ref="M1635:O1635"/>
    <mergeCell ref="P1635:Q1635"/>
    <mergeCell ref="T1635:U1635"/>
    <mergeCell ref="V1635:W1635"/>
    <mergeCell ref="V1645:W1645"/>
    <mergeCell ref="X1645:Z1645"/>
    <mergeCell ref="AA1645:AB1645"/>
    <mergeCell ref="M1646:O1646"/>
    <mergeCell ref="P1646:Q1646"/>
    <mergeCell ref="T1646:U1646"/>
    <mergeCell ref="V1646:W1646"/>
    <mergeCell ref="X1646:Z1646"/>
    <mergeCell ref="AA1646:AB1646"/>
    <mergeCell ref="K1645:L1645"/>
    <mergeCell ref="K1646:L1646"/>
    <mergeCell ref="K1647:L1647"/>
    <mergeCell ref="M1645:O1645"/>
    <mergeCell ref="P1645:Q1645"/>
    <mergeCell ref="T1645:U1645"/>
    <mergeCell ref="M1647:O1647"/>
    <mergeCell ref="P1647:Q1647"/>
    <mergeCell ref="T1647:U1647"/>
    <mergeCell ref="AF1642:AH1656"/>
    <mergeCell ref="AI1642:AI1671"/>
    <mergeCell ref="M1643:O1643"/>
    <mergeCell ref="P1643:Q1643"/>
    <mergeCell ref="T1643:U1643"/>
    <mergeCell ref="V1643:W1643"/>
    <mergeCell ref="X1643:Z1643"/>
    <mergeCell ref="AA1643:AB1643"/>
    <mergeCell ref="M1644:O1644"/>
    <mergeCell ref="P1644:Q1644"/>
    <mergeCell ref="AC1651:AD1651"/>
    <mergeCell ref="AC1652:AD1652"/>
    <mergeCell ref="AC1653:AD1653"/>
    <mergeCell ref="AC1654:AD1654"/>
    <mergeCell ref="AC1655:AD1655"/>
    <mergeCell ref="AC1656:AD1656"/>
    <mergeCell ref="AC1645:AD1645"/>
    <mergeCell ref="AC1646:AD1646"/>
    <mergeCell ref="AC1647:AD1647"/>
    <mergeCell ref="AC1648:AD1648"/>
    <mergeCell ref="AC1649:AD1649"/>
    <mergeCell ref="AC1650:AD1650"/>
    <mergeCell ref="V1642:W1642"/>
    <mergeCell ref="X1642:Z1642"/>
    <mergeCell ref="AA1642:AB1642"/>
    <mergeCell ref="AC1642:AD1642"/>
    <mergeCell ref="AC1643:AD1643"/>
    <mergeCell ref="AC1644:AD1644"/>
    <mergeCell ref="V1644:W1644"/>
    <mergeCell ref="X1644:Z1644"/>
    <mergeCell ref="AA1644:AB1644"/>
    <mergeCell ref="K1642:L1642"/>
    <mergeCell ref="K1643:L1643"/>
    <mergeCell ref="K1644:L1644"/>
    <mergeCell ref="M1642:O1642"/>
    <mergeCell ref="P1642:Q1642"/>
    <mergeCell ref="T1642:U1642"/>
    <mergeCell ref="T1644:U1644"/>
    <mergeCell ref="R1643:S1643"/>
    <mergeCell ref="R1644:S1644"/>
    <mergeCell ref="R1645:S1645"/>
    <mergeCell ref="R1646:S1646"/>
    <mergeCell ref="R1647:S1647"/>
    <mergeCell ref="R1642:S1642"/>
    <mergeCell ref="AA1650:AB1650"/>
    <mergeCell ref="F1651:H1653"/>
    <mergeCell ref="I1651:J1651"/>
    <mergeCell ref="I1652:J1652"/>
    <mergeCell ref="I1653:J1653"/>
    <mergeCell ref="K1651:L1651"/>
    <mergeCell ref="K1652:L1652"/>
    <mergeCell ref="K1653:L1653"/>
    <mergeCell ref="M1651:O1651"/>
    <mergeCell ref="P1651:Q1651"/>
    <mergeCell ref="M1650:O1650"/>
    <mergeCell ref="P1650:Q1650"/>
    <mergeCell ref="R1650:S1650"/>
    <mergeCell ref="T1650:U1650"/>
    <mergeCell ref="V1650:W1650"/>
    <mergeCell ref="X1650:Z1650"/>
    <mergeCell ref="AA1648:AB1648"/>
    <mergeCell ref="M1649:O1649"/>
    <mergeCell ref="P1649:Q1649"/>
    <mergeCell ref="R1649:S1649"/>
    <mergeCell ref="T1649:U1649"/>
    <mergeCell ref="V1649:W1649"/>
    <mergeCell ref="X1649:Z1649"/>
    <mergeCell ref="AA1649:AB1649"/>
    <mergeCell ref="M1648:O1648"/>
    <mergeCell ref="P1648:Q1648"/>
    <mergeCell ref="R1648:S1648"/>
    <mergeCell ref="T1648:U1648"/>
    <mergeCell ref="V1648:W1648"/>
    <mergeCell ref="X1648:Z1648"/>
    <mergeCell ref="V1647:W1647"/>
    <mergeCell ref="X1647:Z1647"/>
    <mergeCell ref="AA1647:AB1647"/>
    <mergeCell ref="F1648:H1650"/>
    <mergeCell ref="I1648:J1648"/>
    <mergeCell ref="I1649:J1649"/>
    <mergeCell ref="I1650:J1650"/>
    <mergeCell ref="K1648:L1648"/>
    <mergeCell ref="K1649:L1649"/>
    <mergeCell ref="K1650:L1650"/>
    <mergeCell ref="F1645:H1647"/>
    <mergeCell ref="I1645:J1645"/>
    <mergeCell ref="I1646:J1646"/>
    <mergeCell ref="I1647:J1647"/>
    <mergeCell ref="AA1654:AB1654"/>
    <mergeCell ref="M1655:O1655"/>
    <mergeCell ref="P1655:Q1655"/>
    <mergeCell ref="R1655:S1655"/>
    <mergeCell ref="T1655:U1655"/>
    <mergeCell ref="V1655:W1655"/>
    <mergeCell ref="X1655:Z1655"/>
    <mergeCell ref="AA1655:AB1655"/>
    <mergeCell ref="M1654:O1654"/>
    <mergeCell ref="P1654:Q1654"/>
    <mergeCell ref="R1654:S1654"/>
    <mergeCell ref="T1654:U1654"/>
    <mergeCell ref="V1654:W1654"/>
    <mergeCell ref="X1654:Z1654"/>
    <mergeCell ref="F1654:H1656"/>
    <mergeCell ref="I1654:J1654"/>
    <mergeCell ref="I1655:J1655"/>
    <mergeCell ref="I1656:J1656"/>
    <mergeCell ref="K1654:L1654"/>
    <mergeCell ref="K1655:L1655"/>
    <mergeCell ref="K1656:L1656"/>
    <mergeCell ref="X1652:Z1652"/>
    <mergeCell ref="AA1652:AB1652"/>
    <mergeCell ref="M1653:O1653"/>
    <mergeCell ref="P1653:Q1653"/>
    <mergeCell ref="R1653:S1653"/>
    <mergeCell ref="T1653:U1653"/>
    <mergeCell ref="V1653:W1653"/>
    <mergeCell ref="X1653:Z1653"/>
    <mergeCell ref="AA1653:AB1653"/>
    <mergeCell ref="R1651:S1651"/>
    <mergeCell ref="T1651:U1651"/>
    <mergeCell ref="V1651:W1651"/>
    <mergeCell ref="X1651:Z1651"/>
    <mergeCell ref="AA1651:AB1651"/>
    <mergeCell ref="M1652:O1652"/>
    <mergeCell ref="P1652:Q1652"/>
    <mergeCell ref="R1652:S1652"/>
    <mergeCell ref="T1652:U1652"/>
    <mergeCell ref="V1652:W1652"/>
    <mergeCell ref="M1659:O1659"/>
    <mergeCell ref="P1659:Q1659"/>
    <mergeCell ref="T1659:U1659"/>
    <mergeCell ref="V1659:W1659"/>
    <mergeCell ref="X1659:Z1659"/>
    <mergeCell ref="AA1659:AB1659"/>
    <mergeCell ref="AC1662:AD1662"/>
    <mergeCell ref="AF1657:AH1665"/>
    <mergeCell ref="I1658:J1658"/>
    <mergeCell ref="M1658:O1658"/>
    <mergeCell ref="P1658:Q1658"/>
    <mergeCell ref="T1658:U1658"/>
    <mergeCell ref="V1658:W1658"/>
    <mergeCell ref="X1658:Z1658"/>
    <mergeCell ref="AA1658:AB1658"/>
    <mergeCell ref="I1659:J1659"/>
    <mergeCell ref="AA1657:AB1657"/>
    <mergeCell ref="AC1657:AD1657"/>
    <mergeCell ref="AC1658:AD1658"/>
    <mergeCell ref="AC1659:AD1659"/>
    <mergeCell ref="AC1660:AD1660"/>
    <mergeCell ref="AC1661:AD1661"/>
    <mergeCell ref="R1657:S1657"/>
    <mergeCell ref="R1658:S1658"/>
    <mergeCell ref="R1659:S1659"/>
    <mergeCell ref="T1657:U1657"/>
    <mergeCell ref="V1657:W1657"/>
    <mergeCell ref="X1657:Z1657"/>
    <mergeCell ref="AA1656:AB1656"/>
    <mergeCell ref="A1657:A1662"/>
    <mergeCell ref="B1657:D1665"/>
    <mergeCell ref="F1657:H1659"/>
    <mergeCell ref="I1657:J1657"/>
    <mergeCell ref="K1657:L1657"/>
    <mergeCell ref="K1658:L1658"/>
    <mergeCell ref="K1659:L1659"/>
    <mergeCell ref="M1657:O1657"/>
    <mergeCell ref="P1657:Q1657"/>
    <mergeCell ref="M1656:O1656"/>
    <mergeCell ref="P1656:Q1656"/>
    <mergeCell ref="R1656:S1656"/>
    <mergeCell ref="T1656:U1656"/>
    <mergeCell ref="V1656:W1656"/>
    <mergeCell ref="X1656:Z1656"/>
    <mergeCell ref="A1642:A1656"/>
    <mergeCell ref="B1642:D1656"/>
    <mergeCell ref="F1642:H1644"/>
    <mergeCell ref="I1642:J1642"/>
    <mergeCell ref="I1643:J1643"/>
    <mergeCell ref="I1644:J1644"/>
    <mergeCell ref="V1662:W1662"/>
    <mergeCell ref="X1662:Z1662"/>
    <mergeCell ref="AA1662:AB1662"/>
    <mergeCell ref="A1663:A1665"/>
    <mergeCell ref="E1663:E1664"/>
    <mergeCell ref="F1663:H1665"/>
    <mergeCell ref="I1663:J1663"/>
    <mergeCell ref="I1664:J1664"/>
    <mergeCell ref="I1665:J1665"/>
    <mergeCell ref="K1663:L1664"/>
    <mergeCell ref="V1660:W1660"/>
    <mergeCell ref="X1660:Z1660"/>
    <mergeCell ref="AA1660:AB1660"/>
    <mergeCell ref="M1661:O1661"/>
    <mergeCell ref="P1661:Q1661"/>
    <mergeCell ref="T1661:U1661"/>
    <mergeCell ref="V1661:W1661"/>
    <mergeCell ref="X1661:Z1661"/>
    <mergeCell ref="AA1661:AB1661"/>
    <mergeCell ref="M1660:O1660"/>
    <mergeCell ref="P1660:Q1660"/>
    <mergeCell ref="R1660:S1660"/>
    <mergeCell ref="R1661:S1661"/>
    <mergeCell ref="R1662:S1662"/>
    <mergeCell ref="T1660:U1660"/>
    <mergeCell ref="M1662:O1662"/>
    <mergeCell ref="P1662:Q1662"/>
    <mergeCell ref="T1662:U1662"/>
    <mergeCell ref="F1660:H1662"/>
    <mergeCell ref="I1660:J1660"/>
    <mergeCell ref="I1661:J1661"/>
    <mergeCell ref="I1662:J1662"/>
    <mergeCell ref="K1660:L1660"/>
    <mergeCell ref="K1661:L1661"/>
    <mergeCell ref="K1662:L1662"/>
    <mergeCell ref="R1669:S1669"/>
    <mergeCell ref="T1666:U1666"/>
    <mergeCell ref="P1668:Q1668"/>
    <mergeCell ref="T1668:U1668"/>
    <mergeCell ref="A1666:A1669"/>
    <mergeCell ref="B1666:D1669"/>
    <mergeCell ref="F1666:H1669"/>
    <mergeCell ref="I1666:J1666"/>
    <mergeCell ref="K1666:L1666"/>
    <mergeCell ref="M1666:O1666"/>
    <mergeCell ref="I1668:J1668"/>
    <mergeCell ref="K1668:L1668"/>
    <mergeCell ref="M1668:O1668"/>
    <mergeCell ref="I1669:J1669"/>
    <mergeCell ref="AC1663:AD1663"/>
    <mergeCell ref="AC1664:AD1664"/>
    <mergeCell ref="AC1665:AD1665"/>
    <mergeCell ref="AJ1663:AJ1664"/>
    <mergeCell ref="K1665:L1665"/>
    <mergeCell ref="M1665:O1665"/>
    <mergeCell ref="V1665:W1665"/>
    <mergeCell ref="T1663:U1663"/>
    <mergeCell ref="T1664:U1664"/>
    <mergeCell ref="T1665:U1665"/>
    <mergeCell ref="V1663:W1664"/>
    <mergeCell ref="X1663:Z1665"/>
    <mergeCell ref="AA1663:AB1665"/>
    <mergeCell ref="M1663:O1664"/>
    <mergeCell ref="P1663:Q1663"/>
    <mergeCell ref="P1664:Q1664"/>
    <mergeCell ref="P1665:Q1665"/>
    <mergeCell ref="R1663:S1663"/>
    <mergeCell ref="R1664:S1664"/>
    <mergeCell ref="R1665:S1665"/>
    <mergeCell ref="A1672:A1685"/>
    <mergeCell ref="B1672:D1685"/>
    <mergeCell ref="F1672:H1685"/>
    <mergeCell ref="I1672:J1672"/>
    <mergeCell ref="I1673:J1673"/>
    <mergeCell ref="I1674:J1674"/>
    <mergeCell ref="I1675:J1675"/>
    <mergeCell ref="I1676:J1676"/>
    <mergeCell ref="I1677:J1677"/>
    <mergeCell ref="I1678:J1678"/>
    <mergeCell ref="AC1670:AD1671"/>
    <mergeCell ref="AE1670:AE1671"/>
    <mergeCell ref="AF1670:AH1671"/>
    <mergeCell ref="M1671:O1671"/>
    <mergeCell ref="P1671:Q1671"/>
    <mergeCell ref="T1671:U1671"/>
    <mergeCell ref="V1671:W1671"/>
    <mergeCell ref="X1671:Z1671"/>
    <mergeCell ref="AA1671:AB1671"/>
    <mergeCell ref="R1670:S1670"/>
    <mergeCell ref="R1671:S1671"/>
    <mergeCell ref="T1670:U1670"/>
    <mergeCell ref="V1670:W1670"/>
    <mergeCell ref="X1670:Z1670"/>
    <mergeCell ref="AA1670:AB1670"/>
    <mergeCell ref="AA1669:AB1669"/>
    <mergeCell ref="A1670:A1671"/>
    <mergeCell ref="B1670:D1671"/>
    <mergeCell ref="F1670:H1671"/>
    <mergeCell ref="I1670:J1670"/>
    <mergeCell ref="I1671:J1671"/>
    <mergeCell ref="K1670:L1670"/>
    <mergeCell ref="K1671:L1671"/>
    <mergeCell ref="M1670:O1670"/>
    <mergeCell ref="P1670:Q1670"/>
    <mergeCell ref="K1669:L1669"/>
    <mergeCell ref="M1669:O1669"/>
    <mergeCell ref="P1669:Q1669"/>
    <mergeCell ref="T1669:U1669"/>
    <mergeCell ref="V1669:W1669"/>
    <mergeCell ref="X1669:Z1669"/>
    <mergeCell ref="AC1669:AD1669"/>
    <mergeCell ref="AF1666:AH1669"/>
    <mergeCell ref="I1667:J1667"/>
    <mergeCell ref="K1667:L1667"/>
    <mergeCell ref="M1667:O1667"/>
    <mergeCell ref="P1667:Q1667"/>
    <mergeCell ref="T1667:U1667"/>
    <mergeCell ref="V1667:W1667"/>
    <mergeCell ref="X1667:Z1667"/>
    <mergeCell ref="AA1667:AB1667"/>
    <mergeCell ref="V1666:W1666"/>
    <mergeCell ref="X1666:Z1666"/>
    <mergeCell ref="AA1666:AB1666"/>
    <mergeCell ref="AC1666:AD1666"/>
    <mergeCell ref="AC1667:AD1667"/>
    <mergeCell ref="AC1668:AD1668"/>
    <mergeCell ref="V1668:W1668"/>
    <mergeCell ref="X1668:Z1668"/>
    <mergeCell ref="AA1668:AB1668"/>
    <mergeCell ref="P1666:Q1666"/>
    <mergeCell ref="R1666:S1666"/>
    <mergeCell ref="R1667:S1667"/>
    <mergeCell ref="R1668:S1668"/>
    <mergeCell ref="P1672:Q1672"/>
    <mergeCell ref="R1672:S1672"/>
    <mergeCell ref="R1673:S1673"/>
    <mergeCell ref="R1674:S1674"/>
    <mergeCell ref="R1675:S1675"/>
    <mergeCell ref="R1676:S1676"/>
    <mergeCell ref="P1674:Q1674"/>
    <mergeCell ref="P1675:Q1675"/>
    <mergeCell ref="K1681:L1681"/>
    <mergeCell ref="K1682:L1682"/>
    <mergeCell ref="K1683:L1683"/>
    <mergeCell ref="K1684:L1684"/>
    <mergeCell ref="K1685:L1685"/>
    <mergeCell ref="M1672:O1672"/>
    <mergeCell ref="M1674:O1674"/>
    <mergeCell ref="M1675:O1675"/>
    <mergeCell ref="M1677:O1677"/>
    <mergeCell ref="M1680:O1680"/>
    <mergeCell ref="I1685:J1685"/>
    <mergeCell ref="K1672:L1672"/>
    <mergeCell ref="K1673:L1673"/>
    <mergeCell ref="K1674:L1674"/>
    <mergeCell ref="K1675:L1675"/>
    <mergeCell ref="K1676:L1676"/>
    <mergeCell ref="K1677:L1677"/>
    <mergeCell ref="K1678:L1678"/>
    <mergeCell ref="K1679:L1679"/>
    <mergeCell ref="K1680:L1680"/>
    <mergeCell ref="I1679:J1679"/>
    <mergeCell ref="I1680:J1680"/>
    <mergeCell ref="I1681:J1681"/>
    <mergeCell ref="I1682:J1682"/>
    <mergeCell ref="I1683:J1683"/>
    <mergeCell ref="I1684:J1684"/>
    <mergeCell ref="AA1678:AB1678"/>
    <mergeCell ref="M1679:O1679"/>
    <mergeCell ref="P1679:Q1679"/>
    <mergeCell ref="T1679:U1679"/>
    <mergeCell ref="V1679:W1679"/>
    <mergeCell ref="X1679:Z1679"/>
    <mergeCell ref="AA1679:AB1679"/>
    <mergeCell ref="P1677:Q1677"/>
    <mergeCell ref="T1677:U1677"/>
    <mergeCell ref="V1677:W1677"/>
    <mergeCell ref="X1677:Z1677"/>
    <mergeCell ref="AA1677:AB1677"/>
    <mergeCell ref="M1678:O1678"/>
    <mergeCell ref="P1678:Q1678"/>
    <mergeCell ref="T1678:U1678"/>
    <mergeCell ref="V1678:W1678"/>
    <mergeCell ref="X1678:Z1678"/>
    <mergeCell ref="V1675:W1675"/>
    <mergeCell ref="X1675:Z1675"/>
    <mergeCell ref="AA1675:AB1675"/>
    <mergeCell ref="M1676:O1676"/>
    <mergeCell ref="P1676:Q1676"/>
    <mergeCell ref="T1676:U1676"/>
    <mergeCell ref="V1676:W1676"/>
    <mergeCell ref="X1676:Z1676"/>
    <mergeCell ref="AA1676:AB1676"/>
    <mergeCell ref="AC1683:AD1683"/>
    <mergeCell ref="AC1684:AD1684"/>
    <mergeCell ref="AC1685:AD1685"/>
    <mergeCell ref="AF1672:AH1685"/>
    <mergeCell ref="AI1672:AI1742"/>
    <mergeCell ref="M1673:O1673"/>
    <mergeCell ref="P1673:Q1673"/>
    <mergeCell ref="T1673:U1673"/>
    <mergeCell ref="V1673:W1673"/>
    <mergeCell ref="X1673:Z1673"/>
    <mergeCell ref="AC1677:AD1677"/>
    <mergeCell ref="AC1678:AD1678"/>
    <mergeCell ref="AC1679:AD1679"/>
    <mergeCell ref="AC1680:AD1680"/>
    <mergeCell ref="AC1681:AD1681"/>
    <mergeCell ref="AC1682:AD1682"/>
    <mergeCell ref="AA1672:AB1672"/>
    <mergeCell ref="AC1672:AD1672"/>
    <mergeCell ref="AC1673:AD1673"/>
    <mergeCell ref="AC1674:AD1674"/>
    <mergeCell ref="AC1675:AD1675"/>
    <mergeCell ref="AC1676:AD1676"/>
    <mergeCell ref="AA1673:AB1673"/>
    <mergeCell ref="AA1674:AB1674"/>
    <mergeCell ref="R1683:S1683"/>
    <mergeCell ref="R1684:S1684"/>
    <mergeCell ref="R1685:S1685"/>
    <mergeCell ref="T1672:U1672"/>
    <mergeCell ref="V1672:W1672"/>
    <mergeCell ref="X1672:Z1672"/>
    <mergeCell ref="T1674:U1674"/>
    <mergeCell ref="V1674:W1674"/>
    <mergeCell ref="X1674:Z1674"/>
    <mergeCell ref="T1675:U1675"/>
    <mergeCell ref="R1677:S1677"/>
    <mergeCell ref="R1678:S1678"/>
    <mergeCell ref="R1679:S1679"/>
    <mergeCell ref="R1680:S1680"/>
    <mergeCell ref="M1685:O1685"/>
    <mergeCell ref="P1685:Q1685"/>
    <mergeCell ref="T1685:U1685"/>
    <mergeCell ref="V1685:W1685"/>
    <mergeCell ref="X1685:Z1685"/>
    <mergeCell ref="AA1685:AB1685"/>
    <mergeCell ref="M1684:O1684"/>
    <mergeCell ref="P1684:Q1684"/>
    <mergeCell ref="T1684:U1684"/>
    <mergeCell ref="V1684:W1684"/>
    <mergeCell ref="X1684:Z1684"/>
    <mergeCell ref="AA1684:AB1684"/>
    <mergeCell ref="M1683:O1683"/>
    <mergeCell ref="P1683:Q1683"/>
    <mergeCell ref="T1683:U1683"/>
    <mergeCell ref="V1683:W1683"/>
    <mergeCell ref="X1683:Z1683"/>
    <mergeCell ref="AA1683:AB1683"/>
    <mergeCell ref="AA1681:AB1681"/>
    <mergeCell ref="M1682:O1682"/>
    <mergeCell ref="P1682:Q1682"/>
    <mergeCell ref="T1682:U1682"/>
    <mergeCell ref="V1682:W1682"/>
    <mergeCell ref="X1682:Z1682"/>
    <mergeCell ref="AA1682:AB1682"/>
    <mergeCell ref="P1680:Q1680"/>
    <mergeCell ref="T1680:U1680"/>
    <mergeCell ref="V1680:W1680"/>
    <mergeCell ref="X1680:Z1680"/>
    <mergeCell ref="AA1680:AB1680"/>
    <mergeCell ref="M1681:O1681"/>
    <mergeCell ref="P1681:Q1681"/>
    <mergeCell ref="T1681:U1681"/>
    <mergeCell ref="V1681:W1681"/>
    <mergeCell ref="X1681:Z1681"/>
    <mergeCell ref="R1681:S1681"/>
    <mergeCell ref="R1682:S1682"/>
    <mergeCell ref="AF1693:AH1693"/>
    <mergeCell ref="AF1694:AH1694"/>
    <mergeCell ref="AF1695:AH1695"/>
    <mergeCell ref="AF1696:AH1696"/>
    <mergeCell ref="AF1697:AH1697"/>
    <mergeCell ref="AF1686:AH1686"/>
    <mergeCell ref="AF1687:AH1687"/>
    <mergeCell ref="AF1688:AH1688"/>
    <mergeCell ref="AF1689:AH1689"/>
    <mergeCell ref="AF1690:AH1690"/>
    <mergeCell ref="AF1691:AH1691"/>
    <mergeCell ref="AC1692:AD1692"/>
    <mergeCell ref="AC1693:AD1693"/>
    <mergeCell ref="AC1694:AD1694"/>
    <mergeCell ref="AC1695:AD1695"/>
    <mergeCell ref="AC1696:AD1696"/>
    <mergeCell ref="AC1697:AD1697"/>
    <mergeCell ref="AC1686:AD1686"/>
    <mergeCell ref="AC1687:AD1687"/>
    <mergeCell ref="AC1688:AD1688"/>
    <mergeCell ref="AC1689:AD1689"/>
    <mergeCell ref="AC1690:AD1690"/>
    <mergeCell ref="AC1691:AD1691"/>
    <mergeCell ref="P1686:Q1686"/>
    <mergeCell ref="R1686:S1686"/>
    <mergeCell ref="T1686:U1686"/>
    <mergeCell ref="V1686:W1686"/>
    <mergeCell ref="X1686:Z1686"/>
    <mergeCell ref="AA1686:AB1686"/>
    <mergeCell ref="A1686:A1697"/>
    <mergeCell ref="B1686:D1697"/>
    <mergeCell ref="F1686:H1686"/>
    <mergeCell ref="I1686:J1686"/>
    <mergeCell ref="K1686:L1686"/>
    <mergeCell ref="M1686:O1686"/>
    <mergeCell ref="F1687:H1687"/>
    <mergeCell ref="I1687:J1687"/>
    <mergeCell ref="K1687:L1687"/>
    <mergeCell ref="M1687:O1687"/>
    <mergeCell ref="T1689:U1689"/>
    <mergeCell ref="V1689:W1689"/>
    <mergeCell ref="X1689:Z1689"/>
    <mergeCell ref="AA1689:AB1689"/>
    <mergeCell ref="F1690:H1690"/>
    <mergeCell ref="I1690:J1690"/>
    <mergeCell ref="K1690:L1690"/>
    <mergeCell ref="M1690:O1690"/>
    <mergeCell ref="P1690:Q1690"/>
    <mergeCell ref="R1690:S1690"/>
    <mergeCell ref="T1688:U1688"/>
    <mergeCell ref="V1688:W1688"/>
    <mergeCell ref="X1688:Z1688"/>
    <mergeCell ref="AA1688:AB1688"/>
    <mergeCell ref="F1689:H1689"/>
    <mergeCell ref="I1689:J1689"/>
    <mergeCell ref="K1689:L1689"/>
    <mergeCell ref="M1689:O1689"/>
    <mergeCell ref="P1689:Q1689"/>
    <mergeCell ref="R1689:S1689"/>
    <mergeCell ref="F1688:H1688"/>
    <mergeCell ref="I1688:J1688"/>
    <mergeCell ref="K1688:L1688"/>
    <mergeCell ref="M1688:O1688"/>
    <mergeCell ref="P1688:Q1688"/>
    <mergeCell ref="R1688:S1688"/>
    <mergeCell ref="P1687:Q1687"/>
    <mergeCell ref="R1687:S1687"/>
    <mergeCell ref="T1687:U1687"/>
    <mergeCell ref="V1687:W1687"/>
    <mergeCell ref="X1687:Z1687"/>
    <mergeCell ref="AA1687:AB1687"/>
    <mergeCell ref="AF1692:AH1692"/>
    <mergeCell ref="T1693:U1693"/>
    <mergeCell ref="V1693:W1693"/>
    <mergeCell ref="X1693:Z1693"/>
    <mergeCell ref="AA1693:AB1693"/>
    <mergeCell ref="F1694:H1694"/>
    <mergeCell ref="I1694:J1694"/>
    <mergeCell ref="K1694:L1694"/>
    <mergeCell ref="M1694:O1694"/>
    <mergeCell ref="P1694:Q1694"/>
    <mergeCell ref="R1694:S1694"/>
    <mergeCell ref="T1692:U1692"/>
    <mergeCell ref="V1692:W1692"/>
    <mergeCell ref="X1692:Z1692"/>
    <mergeCell ref="AA1692:AB1692"/>
    <mergeCell ref="F1693:H1693"/>
    <mergeCell ref="I1693:J1693"/>
    <mergeCell ref="K1693:L1693"/>
    <mergeCell ref="M1693:O1693"/>
    <mergeCell ref="P1693:Q1693"/>
    <mergeCell ref="R1693:S1693"/>
    <mergeCell ref="T1691:U1691"/>
    <mergeCell ref="V1691:W1691"/>
    <mergeCell ref="X1691:Z1691"/>
    <mergeCell ref="AA1691:AB1691"/>
    <mergeCell ref="F1692:H1692"/>
    <mergeCell ref="I1692:J1692"/>
    <mergeCell ref="K1692:L1692"/>
    <mergeCell ref="M1692:O1692"/>
    <mergeCell ref="P1692:Q1692"/>
    <mergeCell ref="R1692:S1692"/>
    <mergeCell ref="T1690:U1690"/>
    <mergeCell ref="V1690:W1690"/>
    <mergeCell ref="X1690:Z1690"/>
    <mergeCell ref="AA1690:AB1690"/>
    <mergeCell ref="F1691:H1691"/>
    <mergeCell ref="I1691:J1691"/>
    <mergeCell ref="K1691:L1691"/>
    <mergeCell ref="M1691:O1691"/>
    <mergeCell ref="P1691:Q1691"/>
    <mergeCell ref="R1691:S1691"/>
    <mergeCell ref="T1697:U1697"/>
    <mergeCell ref="V1697:W1697"/>
    <mergeCell ref="X1697:Z1697"/>
    <mergeCell ref="AA1697:AB1697"/>
    <mergeCell ref="A1698:A1706"/>
    <mergeCell ref="B1698:D1706"/>
    <mergeCell ref="F1698:H1700"/>
    <mergeCell ref="I1698:J1698"/>
    <mergeCell ref="I1699:J1699"/>
    <mergeCell ref="I1700:J1700"/>
    <mergeCell ref="T1696:U1696"/>
    <mergeCell ref="V1696:W1696"/>
    <mergeCell ref="X1696:Z1696"/>
    <mergeCell ref="AA1696:AB1696"/>
    <mergeCell ref="F1697:H1697"/>
    <mergeCell ref="I1697:J1697"/>
    <mergeCell ref="K1697:L1697"/>
    <mergeCell ref="M1697:O1697"/>
    <mergeCell ref="P1697:Q1697"/>
    <mergeCell ref="R1697:S1697"/>
    <mergeCell ref="T1695:U1695"/>
    <mergeCell ref="V1695:W1695"/>
    <mergeCell ref="X1695:Z1695"/>
    <mergeCell ref="AA1695:AB1695"/>
    <mergeCell ref="F1696:H1696"/>
    <mergeCell ref="I1696:J1696"/>
    <mergeCell ref="K1696:L1696"/>
    <mergeCell ref="M1696:O1696"/>
    <mergeCell ref="P1696:Q1696"/>
    <mergeCell ref="R1696:S1696"/>
    <mergeCell ref="T1694:U1694"/>
    <mergeCell ref="V1694:W1694"/>
    <mergeCell ref="X1694:Z1694"/>
    <mergeCell ref="AA1694:AB1694"/>
    <mergeCell ref="F1695:H1695"/>
    <mergeCell ref="I1695:J1695"/>
    <mergeCell ref="K1695:L1695"/>
    <mergeCell ref="M1695:O1695"/>
    <mergeCell ref="P1695:Q1695"/>
    <mergeCell ref="R1695:S1695"/>
    <mergeCell ref="T1701:U1701"/>
    <mergeCell ref="V1701:W1701"/>
    <mergeCell ref="X1701:Z1701"/>
    <mergeCell ref="AA1701:AB1701"/>
    <mergeCell ref="M1702:O1702"/>
    <mergeCell ref="P1702:Q1702"/>
    <mergeCell ref="T1702:U1702"/>
    <mergeCell ref="V1702:W1702"/>
    <mergeCell ref="X1702:Z1702"/>
    <mergeCell ref="AA1702:AB1702"/>
    <mergeCell ref="K1703:L1703"/>
    <mergeCell ref="M1701:O1701"/>
    <mergeCell ref="P1701:Q1701"/>
    <mergeCell ref="R1701:S1701"/>
    <mergeCell ref="R1702:S1702"/>
    <mergeCell ref="R1703:S1703"/>
    <mergeCell ref="M1703:O1703"/>
    <mergeCell ref="P1703:Q1703"/>
    <mergeCell ref="T1700:U1700"/>
    <mergeCell ref="V1700:W1700"/>
    <mergeCell ref="X1700:Z1700"/>
    <mergeCell ref="AA1700:AB1700"/>
    <mergeCell ref="F1701:H1703"/>
    <mergeCell ref="I1701:J1701"/>
    <mergeCell ref="I1702:J1702"/>
    <mergeCell ref="I1703:J1703"/>
    <mergeCell ref="K1701:L1701"/>
    <mergeCell ref="K1702:L1702"/>
    <mergeCell ref="AC1706:AD1706"/>
    <mergeCell ref="AF1698:AH1706"/>
    <mergeCell ref="M1699:O1699"/>
    <mergeCell ref="P1699:Q1699"/>
    <mergeCell ref="R1699:S1699"/>
    <mergeCell ref="T1699:U1699"/>
    <mergeCell ref="V1699:W1699"/>
    <mergeCell ref="X1699:Z1699"/>
    <mergeCell ref="AA1699:AB1699"/>
    <mergeCell ref="M1700:O1700"/>
    <mergeCell ref="AC1700:AD1700"/>
    <mergeCell ref="AC1701:AD1701"/>
    <mergeCell ref="AC1702:AD1702"/>
    <mergeCell ref="AC1703:AD1703"/>
    <mergeCell ref="AC1704:AD1704"/>
    <mergeCell ref="AC1705:AD1705"/>
    <mergeCell ref="T1698:U1698"/>
    <mergeCell ref="V1698:W1698"/>
    <mergeCell ref="X1698:Z1698"/>
    <mergeCell ref="AA1698:AB1698"/>
    <mergeCell ref="AC1698:AD1698"/>
    <mergeCell ref="AC1699:AD1699"/>
    <mergeCell ref="K1698:L1698"/>
    <mergeCell ref="K1699:L1699"/>
    <mergeCell ref="K1700:L1700"/>
    <mergeCell ref="M1698:O1698"/>
    <mergeCell ref="P1698:Q1698"/>
    <mergeCell ref="R1698:S1698"/>
    <mergeCell ref="P1700:Q1700"/>
    <mergeCell ref="R1700:S1700"/>
    <mergeCell ref="K1710:L1710"/>
    <mergeCell ref="K1711:L1711"/>
    <mergeCell ref="K1712:L1712"/>
    <mergeCell ref="T1706:U1706"/>
    <mergeCell ref="V1706:W1706"/>
    <mergeCell ref="X1706:Z1706"/>
    <mergeCell ref="AA1706:AB1706"/>
    <mergeCell ref="A1707:A1712"/>
    <mergeCell ref="B1707:D1712"/>
    <mergeCell ref="F1707:H1712"/>
    <mergeCell ref="I1707:J1707"/>
    <mergeCell ref="I1708:J1708"/>
    <mergeCell ref="I1709:J1709"/>
    <mergeCell ref="T1704:U1704"/>
    <mergeCell ref="V1704:W1704"/>
    <mergeCell ref="X1704:Z1704"/>
    <mergeCell ref="AA1704:AB1704"/>
    <mergeCell ref="M1705:O1705"/>
    <mergeCell ref="P1705:Q1705"/>
    <mergeCell ref="T1705:U1705"/>
    <mergeCell ref="V1705:W1705"/>
    <mergeCell ref="X1705:Z1705"/>
    <mergeCell ref="AA1705:AB1705"/>
    <mergeCell ref="K1706:L1706"/>
    <mergeCell ref="M1704:O1704"/>
    <mergeCell ref="P1704:Q1704"/>
    <mergeCell ref="R1704:S1704"/>
    <mergeCell ref="R1705:S1705"/>
    <mergeCell ref="R1706:S1706"/>
    <mergeCell ref="M1706:O1706"/>
    <mergeCell ref="P1706:Q1706"/>
    <mergeCell ref="T1703:U1703"/>
    <mergeCell ref="V1703:W1703"/>
    <mergeCell ref="X1703:Z1703"/>
    <mergeCell ref="AA1703:AB1703"/>
    <mergeCell ref="F1704:H1706"/>
    <mergeCell ref="I1704:J1704"/>
    <mergeCell ref="I1705:J1705"/>
    <mergeCell ref="I1706:J1706"/>
    <mergeCell ref="K1704:L1704"/>
    <mergeCell ref="K1705:L1705"/>
    <mergeCell ref="K1713:L1713"/>
    <mergeCell ref="K1714:L1714"/>
    <mergeCell ref="K1715:L1715"/>
    <mergeCell ref="M1713:O1713"/>
    <mergeCell ref="P1713:Q1713"/>
    <mergeCell ref="P1714:Q1714"/>
    <mergeCell ref="P1715:Q1715"/>
    <mergeCell ref="A1713:A1730"/>
    <mergeCell ref="B1713:D1730"/>
    <mergeCell ref="F1713:H1715"/>
    <mergeCell ref="I1713:J1713"/>
    <mergeCell ref="I1714:J1714"/>
    <mergeCell ref="I1715:J1715"/>
    <mergeCell ref="F1716:H1718"/>
    <mergeCell ref="I1716:J1716"/>
    <mergeCell ref="I1717:J1717"/>
    <mergeCell ref="I1718:J1718"/>
    <mergeCell ref="M1711:O1711"/>
    <mergeCell ref="P1711:Q1711"/>
    <mergeCell ref="T1711:U1711"/>
    <mergeCell ref="V1711:W1711"/>
    <mergeCell ref="M1712:O1712"/>
    <mergeCell ref="P1712:Q1712"/>
    <mergeCell ref="T1712:U1712"/>
    <mergeCell ref="V1712:W1712"/>
    <mergeCell ref="AF1707:AH1712"/>
    <mergeCell ref="M1708:O1708"/>
    <mergeCell ref="P1708:Q1708"/>
    <mergeCell ref="T1708:U1708"/>
    <mergeCell ref="V1708:W1708"/>
    <mergeCell ref="M1709:O1709"/>
    <mergeCell ref="P1709:Q1709"/>
    <mergeCell ref="T1709:U1709"/>
    <mergeCell ref="V1709:W1709"/>
    <mergeCell ref="M1710:O1710"/>
    <mergeCell ref="AC1707:AD1707"/>
    <mergeCell ref="AC1708:AD1708"/>
    <mergeCell ref="AC1709:AD1709"/>
    <mergeCell ref="AC1710:AD1710"/>
    <mergeCell ref="AC1711:AD1711"/>
    <mergeCell ref="AC1712:AD1712"/>
    <mergeCell ref="R1711:S1711"/>
    <mergeCell ref="R1712:S1712"/>
    <mergeCell ref="T1707:U1707"/>
    <mergeCell ref="V1707:W1707"/>
    <mergeCell ref="X1707:Z1709"/>
    <mergeCell ref="AA1707:AB1709"/>
    <mergeCell ref="T1710:U1710"/>
    <mergeCell ref="V1710:W1710"/>
    <mergeCell ref="X1710:Z1712"/>
    <mergeCell ref="AA1710:AB1712"/>
    <mergeCell ref="M1707:O1707"/>
    <mergeCell ref="P1707:Q1707"/>
    <mergeCell ref="R1707:S1707"/>
    <mergeCell ref="R1708:S1708"/>
    <mergeCell ref="R1709:S1709"/>
    <mergeCell ref="R1710:S1710"/>
    <mergeCell ref="P1710:Q1710"/>
    <mergeCell ref="I1710:J1710"/>
    <mergeCell ref="I1711:J1711"/>
    <mergeCell ref="I1712:J1712"/>
    <mergeCell ref="K1707:L1707"/>
    <mergeCell ref="K1708:L1708"/>
    <mergeCell ref="K1709:L1709"/>
    <mergeCell ref="AC1730:AD1730"/>
    <mergeCell ref="AF1713:AH1730"/>
    <mergeCell ref="M1714:O1714"/>
    <mergeCell ref="V1714:W1714"/>
    <mergeCell ref="X1714:Z1714"/>
    <mergeCell ref="AA1714:AB1714"/>
    <mergeCell ref="M1715:O1715"/>
    <mergeCell ref="V1715:W1715"/>
    <mergeCell ref="AC1722:AD1722"/>
    <mergeCell ref="AC1723:AD1723"/>
    <mergeCell ref="AC1724:AD1724"/>
    <mergeCell ref="AC1725:AD1725"/>
    <mergeCell ref="AC1726:AD1726"/>
    <mergeCell ref="AC1727:AD1727"/>
    <mergeCell ref="AC1716:AD1716"/>
    <mergeCell ref="AC1717:AD1717"/>
    <mergeCell ref="AC1718:AD1718"/>
    <mergeCell ref="AC1719:AD1719"/>
    <mergeCell ref="AC1720:AD1720"/>
    <mergeCell ref="AC1721:AD1721"/>
    <mergeCell ref="V1713:W1713"/>
    <mergeCell ref="X1713:Z1713"/>
    <mergeCell ref="AA1713:AB1713"/>
    <mergeCell ref="AC1713:AD1713"/>
    <mergeCell ref="AC1714:AD1714"/>
    <mergeCell ref="AC1715:AD1715"/>
    <mergeCell ref="X1715:Z1715"/>
    <mergeCell ref="AA1715:AB1715"/>
    <mergeCell ref="R1713:S1713"/>
    <mergeCell ref="R1714:S1714"/>
    <mergeCell ref="R1715:S1715"/>
    <mergeCell ref="T1713:U1713"/>
    <mergeCell ref="T1714:U1714"/>
    <mergeCell ref="T1715:U1715"/>
    <mergeCell ref="V1718:W1718"/>
    <mergeCell ref="X1718:Z1718"/>
    <mergeCell ref="AA1718:AB1718"/>
    <mergeCell ref="F1719:H1721"/>
    <mergeCell ref="I1719:J1719"/>
    <mergeCell ref="I1720:J1720"/>
    <mergeCell ref="I1721:J1721"/>
    <mergeCell ref="K1719:L1719"/>
    <mergeCell ref="K1720:L1720"/>
    <mergeCell ref="K1721:L1721"/>
    <mergeCell ref="V1716:W1716"/>
    <mergeCell ref="X1716:Z1716"/>
    <mergeCell ref="AA1716:AB1716"/>
    <mergeCell ref="M1717:O1717"/>
    <mergeCell ref="V1717:W1717"/>
    <mergeCell ref="X1717:Z1717"/>
    <mergeCell ref="AA1717:AB1717"/>
    <mergeCell ref="R1716:S1716"/>
    <mergeCell ref="R1717:S1717"/>
    <mergeCell ref="R1718:S1718"/>
    <mergeCell ref="T1716:U1716"/>
    <mergeCell ref="T1717:U1717"/>
    <mergeCell ref="T1718:U1718"/>
    <mergeCell ref="K1716:L1716"/>
    <mergeCell ref="K1717:L1717"/>
    <mergeCell ref="K1718:L1718"/>
    <mergeCell ref="M1716:O1716"/>
    <mergeCell ref="P1716:Q1716"/>
    <mergeCell ref="P1717:Q1717"/>
    <mergeCell ref="P1718:Q1718"/>
    <mergeCell ref="M1718:O1718"/>
    <mergeCell ref="AC1728:AD1728"/>
    <mergeCell ref="AC1729:AD1729"/>
    <mergeCell ref="M1723:O1723"/>
    <mergeCell ref="V1723:W1723"/>
    <mergeCell ref="X1723:Z1723"/>
    <mergeCell ref="AA1723:AB1723"/>
    <mergeCell ref="M1724:O1724"/>
    <mergeCell ref="V1724:W1724"/>
    <mergeCell ref="X1724:Z1724"/>
    <mergeCell ref="AA1724:AB1724"/>
    <mergeCell ref="T1722:U1722"/>
    <mergeCell ref="T1723:U1723"/>
    <mergeCell ref="T1724:U1724"/>
    <mergeCell ref="V1722:W1722"/>
    <mergeCell ref="X1722:Z1722"/>
    <mergeCell ref="AA1722:AB1722"/>
    <mergeCell ref="P1722:Q1722"/>
    <mergeCell ref="P1723:Q1723"/>
    <mergeCell ref="P1724:Q1724"/>
    <mergeCell ref="R1722:S1722"/>
    <mergeCell ref="R1723:S1723"/>
    <mergeCell ref="R1724:S1724"/>
    <mergeCell ref="X1721:Z1721"/>
    <mergeCell ref="AA1721:AB1721"/>
    <mergeCell ref="F1722:H1724"/>
    <mergeCell ref="I1722:J1722"/>
    <mergeCell ref="I1723:J1723"/>
    <mergeCell ref="I1724:J1724"/>
    <mergeCell ref="K1722:L1722"/>
    <mergeCell ref="K1723:L1723"/>
    <mergeCell ref="K1724:L1724"/>
    <mergeCell ref="M1722:O1722"/>
    <mergeCell ref="T1719:U1719"/>
    <mergeCell ref="T1720:U1720"/>
    <mergeCell ref="T1721:U1721"/>
    <mergeCell ref="V1719:W1719"/>
    <mergeCell ref="X1719:Z1719"/>
    <mergeCell ref="AA1719:AB1719"/>
    <mergeCell ref="V1720:W1720"/>
    <mergeCell ref="X1720:Z1720"/>
    <mergeCell ref="AA1720:AB1720"/>
    <mergeCell ref="V1721:W1721"/>
    <mergeCell ref="M1719:O1719"/>
    <mergeCell ref="P1719:Q1719"/>
    <mergeCell ref="P1720:Q1720"/>
    <mergeCell ref="P1721:Q1721"/>
    <mergeCell ref="R1719:S1719"/>
    <mergeCell ref="R1720:S1720"/>
    <mergeCell ref="R1721:S1721"/>
    <mergeCell ref="M1720:O1720"/>
    <mergeCell ref="M1721:O1721"/>
    <mergeCell ref="M1729:O1729"/>
    <mergeCell ref="V1729:W1729"/>
    <mergeCell ref="X1729:Z1729"/>
    <mergeCell ref="AA1729:AB1729"/>
    <mergeCell ref="M1730:O1730"/>
    <mergeCell ref="V1730:W1730"/>
    <mergeCell ref="X1730:Z1730"/>
    <mergeCell ref="AA1730:AB1730"/>
    <mergeCell ref="T1728:U1728"/>
    <mergeCell ref="T1729:U1729"/>
    <mergeCell ref="T1730:U1730"/>
    <mergeCell ref="V1728:W1728"/>
    <mergeCell ref="X1728:Z1728"/>
    <mergeCell ref="AA1728:AB1728"/>
    <mergeCell ref="P1728:Q1728"/>
    <mergeCell ref="P1729:Q1729"/>
    <mergeCell ref="P1730:Q1730"/>
    <mergeCell ref="R1728:S1728"/>
    <mergeCell ref="R1729:S1729"/>
    <mergeCell ref="R1730:S1730"/>
    <mergeCell ref="X1727:Z1727"/>
    <mergeCell ref="AA1727:AB1727"/>
    <mergeCell ref="F1728:H1730"/>
    <mergeCell ref="I1728:J1728"/>
    <mergeCell ref="I1729:J1729"/>
    <mergeCell ref="I1730:J1730"/>
    <mergeCell ref="K1728:L1728"/>
    <mergeCell ref="K1729:L1729"/>
    <mergeCell ref="K1730:L1730"/>
    <mergeCell ref="M1728:O1728"/>
    <mergeCell ref="T1725:U1725"/>
    <mergeCell ref="T1726:U1726"/>
    <mergeCell ref="T1727:U1727"/>
    <mergeCell ref="V1725:W1725"/>
    <mergeCell ref="X1725:Z1725"/>
    <mergeCell ref="AA1725:AB1725"/>
    <mergeCell ref="V1726:W1726"/>
    <mergeCell ref="X1726:Z1726"/>
    <mergeCell ref="AA1726:AB1726"/>
    <mergeCell ref="V1727:W1727"/>
    <mergeCell ref="M1725:O1725"/>
    <mergeCell ref="P1725:Q1725"/>
    <mergeCell ref="P1726:Q1726"/>
    <mergeCell ref="P1727:Q1727"/>
    <mergeCell ref="R1725:S1725"/>
    <mergeCell ref="R1726:S1726"/>
    <mergeCell ref="R1727:S1727"/>
    <mergeCell ref="M1726:O1726"/>
    <mergeCell ref="M1727:O1727"/>
    <mergeCell ref="F1725:H1727"/>
    <mergeCell ref="I1725:J1725"/>
    <mergeCell ref="I1726:J1726"/>
    <mergeCell ref="I1727:J1727"/>
    <mergeCell ref="K1725:L1725"/>
    <mergeCell ref="K1726:L1726"/>
    <mergeCell ref="K1727:L1727"/>
    <mergeCell ref="X1734:Z1734"/>
    <mergeCell ref="AA1734:AB1734"/>
    <mergeCell ref="I1735:J1735"/>
    <mergeCell ref="M1735:O1735"/>
    <mergeCell ref="P1735:Q1735"/>
    <mergeCell ref="T1735:U1735"/>
    <mergeCell ref="V1735:W1735"/>
    <mergeCell ref="X1735:Z1735"/>
    <mergeCell ref="AA1735:AB1735"/>
    <mergeCell ref="K1735:L1735"/>
    <mergeCell ref="K1736:L1736"/>
    <mergeCell ref="M1734:O1734"/>
    <mergeCell ref="P1734:Q1734"/>
    <mergeCell ref="T1734:U1734"/>
    <mergeCell ref="V1734:W1734"/>
    <mergeCell ref="AF1731:AH1742"/>
    <mergeCell ref="I1732:J1732"/>
    <mergeCell ref="M1732:O1732"/>
    <mergeCell ref="P1732:Q1732"/>
    <mergeCell ref="T1732:U1732"/>
    <mergeCell ref="V1732:W1732"/>
    <mergeCell ref="X1732:Z1732"/>
    <mergeCell ref="AA1732:AB1732"/>
    <mergeCell ref="I1733:J1733"/>
    <mergeCell ref="M1733:O1733"/>
    <mergeCell ref="AC1737:AD1737"/>
    <mergeCell ref="AC1738:AD1738"/>
    <mergeCell ref="AC1739:AD1739"/>
    <mergeCell ref="AC1740:AD1740"/>
    <mergeCell ref="AC1741:AD1741"/>
    <mergeCell ref="AC1742:AD1742"/>
    <mergeCell ref="AC1731:AD1731"/>
    <mergeCell ref="AC1732:AD1732"/>
    <mergeCell ref="AC1733:AD1733"/>
    <mergeCell ref="AC1734:AD1734"/>
    <mergeCell ref="AC1735:AD1735"/>
    <mergeCell ref="AC1736:AD1736"/>
    <mergeCell ref="R1735:S1735"/>
    <mergeCell ref="R1736:S1736"/>
    <mergeCell ref="T1731:U1731"/>
    <mergeCell ref="V1731:W1731"/>
    <mergeCell ref="X1731:Z1731"/>
    <mergeCell ref="AA1731:AB1731"/>
    <mergeCell ref="T1733:U1733"/>
    <mergeCell ref="V1733:W1733"/>
    <mergeCell ref="X1733:Z1733"/>
    <mergeCell ref="AA1733:AB1733"/>
    <mergeCell ref="M1731:O1731"/>
    <mergeCell ref="P1731:Q1731"/>
    <mergeCell ref="R1731:S1731"/>
    <mergeCell ref="R1732:S1732"/>
    <mergeCell ref="R1733:S1733"/>
    <mergeCell ref="R1734:S1734"/>
    <mergeCell ref="P1733:Q1733"/>
    <mergeCell ref="I1731:J1731"/>
    <mergeCell ref="K1731:L1731"/>
    <mergeCell ref="K1732:L1732"/>
    <mergeCell ref="K1733:L1733"/>
    <mergeCell ref="I1734:J1734"/>
    <mergeCell ref="K1734:L1734"/>
    <mergeCell ref="AA1738:AB1738"/>
    <mergeCell ref="I1739:J1739"/>
    <mergeCell ref="M1739:O1739"/>
    <mergeCell ref="P1739:Q1739"/>
    <mergeCell ref="R1739:S1739"/>
    <mergeCell ref="T1739:U1739"/>
    <mergeCell ref="V1739:W1739"/>
    <mergeCell ref="X1739:Z1739"/>
    <mergeCell ref="AA1739:AB1739"/>
    <mergeCell ref="V1737:W1737"/>
    <mergeCell ref="X1737:Z1737"/>
    <mergeCell ref="AA1737:AB1737"/>
    <mergeCell ref="I1738:J1738"/>
    <mergeCell ref="M1738:O1738"/>
    <mergeCell ref="P1738:Q1738"/>
    <mergeCell ref="R1738:S1738"/>
    <mergeCell ref="T1738:U1738"/>
    <mergeCell ref="V1738:W1738"/>
    <mergeCell ref="X1738:Z1738"/>
    <mergeCell ref="AA1736:AB1736"/>
    <mergeCell ref="F1737:H1739"/>
    <mergeCell ref="I1737:J1737"/>
    <mergeCell ref="K1737:L1737"/>
    <mergeCell ref="K1738:L1738"/>
    <mergeCell ref="K1739:L1739"/>
    <mergeCell ref="M1737:O1737"/>
    <mergeCell ref="P1737:Q1737"/>
    <mergeCell ref="R1737:S1737"/>
    <mergeCell ref="T1737:U1737"/>
    <mergeCell ref="I1736:J1736"/>
    <mergeCell ref="M1736:O1736"/>
    <mergeCell ref="P1736:Q1736"/>
    <mergeCell ref="T1736:U1736"/>
    <mergeCell ref="V1736:W1736"/>
    <mergeCell ref="X1736:Z1736"/>
    <mergeCell ref="F1734:H1736"/>
    <mergeCell ref="AA1745:AB1746"/>
    <mergeCell ref="P1743:Q1743"/>
    <mergeCell ref="R1743:S1743"/>
    <mergeCell ref="R1744:S1744"/>
    <mergeCell ref="R1745:S1745"/>
    <mergeCell ref="R1746:S1746"/>
    <mergeCell ref="T1743:U1743"/>
    <mergeCell ref="P1745:Q1745"/>
    <mergeCell ref="T1745:U1745"/>
    <mergeCell ref="A1743:A1763"/>
    <mergeCell ref="B1743:D1763"/>
    <mergeCell ref="F1743:H1744"/>
    <mergeCell ref="I1743:J1743"/>
    <mergeCell ref="K1743:L1743"/>
    <mergeCell ref="M1743:O1743"/>
    <mergeCell ref="F1745:H1746"/>
    <mergeCell ref="K1745:L1745"/>
    <mergeCell ref="M1745:O1745"/>
    <mergeCell ref="I1746:J1746"/>
    <mergeCell ref="P1742:Q1742"/>
    <mergeCell ref="R1742:S1742"/>
    <mergeCell ref="T1742:U1742"/>
    <mergeCell ref="V1742:W1742"/>
    <mergeCell ref="X1742:Z1742"/>
    <mergeCell ref="AA1742:AB1742"/>
    <mergeCell ref="P1741:Q1741"/>
    <mergeCell ref="R1741:S1741"/>
    <mergeCell ref="T1741:U1741"/>
    <mergeCell ref="V1741:W1741"/>
    <mergeCell ref="X1741:Z1741"/>
    <mergeCell ref="AA1741:AB1741"/>
    <mergeCell ref="P1740:Q1740"/>
    <mergeCell ref="R1740:S1740"/>
    <mergeCell ref="T1740:U1740"/>
    <mergeCell ref="V1740:W1740"/>
    <mergeCell ref="X1740:Z1740"/>
    <mergeCell ref="AA1740:AB1740"/>
    <mergeCell ref="F1740:H1742"/>
    <mergeCell ref="I1740:J1740"/>
    <mergeCell ref="K1740:L1740"/>
    <mergeCell ref="K1741:L1741"/>
    <mergeCell ref="K1742:L1742"/>
    <mergeCell ref="M1740:O1740"/>
    <mergeCell ref="I1741:J1741"/>
    <mergeCell ref="M1741:O1741"/>
    <mergeCell ref="I1742:J1742"/>
    <mergeCell ref="M1742:O1742"/>
    <mergeCell ref="A1731:A1742"/>
    <mergeCell ref="B1731:D1742"/>
    <mergeCell ref="F1731:H1733"/>
    <mergeCell ref="K1746:L1746"/>
    <mergeCell ref="M1746:O1746"/>
    <mergeCell ref="P1746:Q1746"/>
    <mergeCell ref="T1746:U1746"/>
    <mergeCell ref="V1746:W1746"/>
    <mergeCell ref="F1747:H1748"/>
    <mergeCell ref="I1747:J1747"/>
    <mergeCell ref="K1747:L1747"/>
    <mergeCell ref="M1747:O1747"/>
    <mergeCell ref="P1747:Q1747"/>
    <mergeCell ref="AF1761:AH1761"/>
    <mergeCell ref="AF1762:AH1762"/>
    <mergeCell ref="AF1763:AH1763"/>
    <mergeCell ref="I1744:J1744"/>
    <mergeCell ref="K1744:L1744"/>
    <mergeCell ref="M1744:O1744"/>
    <mergeCell ref="P1744:Q1744"/>
    <mergeCell ref="T1744:U1744"/>
    <mergeCell ref="V1744:W1744"/>
    <mergeCell ref="I1745:J1745"/>
    <mergeCell ref="AF1755:AH1755"/>
    <mergeCell ref="AF1756:AH1756"/>
    <mergeCell ref="AF1757:AH1757"/>
    <mergeCell ref="AF1758:AH1758"/>
    <mergeCell ref="AF1759:AH1759"/>
    <mergeCell ref="AF1760:AH1760"/>
    <mergeCell ref="AF1749:AH1749"/>
    <mergeCell ref="AF1750:AH1750"/>
    <mergeCell ref="AF1751:AH1751"/>
    <mergeCell ref="AF1752:AH1752"/>
    <mergeCell ref="AF1753:AH1753"/>
    <mergeCell ref="AF1754:AH1754"/>
    <mergeCell ref="AF1743:AH1743"/>
    <mergeCell ref="AF1744:AH1744"/>
    <mergeCell ref="AF1745:AH1745"/>
    <mergeCell ref="AF1746:AH1746"/>
    <mergeCell ref="AF1747:AH1747"/>
    <mergeCell ref="AF1748:AH1748"/>
    <mergeCell ref="AC1758:AD1758"/>
    <mergeCell ref="AC1759:AD1759"/>
    <mergeCell ref="AC1760:AD1760"/>
    <mergeCell ref="AC1761:AD1761"/>
    <mergeCell ref="AC1762:AD1762"/>
    <mergeCell ref="AC1763:AD1763"/>
    <mergeCell ref="AC1752:AD1752"/>
    <mergeCell ref="AC1753:AD1753"/>
    <mergeCell ref="AC1754:AD1754"/>
    <mergeCell ref="AC1755:AD1755"/>
    <mergeCell ref="AC1756:AD1756"/>
    <mergeCell ref="AC1757:AD1757"/>
    <mergeCell ref="AC1746:AD1746"/>
    <mergeCell ref="AC1747:AD1747"/>
    <mergeCell ref="AC1748:AD1748"/>
    <mergeCell ref="AC1749:AD1749"/>
    <mergeCell ref="AC1750:AD1750"/>
    <mergeCell ref="AC1751:AD1751"/>
    <mergeCell ref="V1743:W1743"/>
    <mergeCell ref="X1743:Z1744"/>
    <mergeCell ref="AA1743:AB1744"/>
    <mergeCell ref="AC1743:AD1743"/>
    <mergeCell ref="AC1744:AD1744"/>
    <mergeCell ref="AC1745:AD1745"/>
    <mergeCell ref="V1745:W1745"/>
    <mergeCell ref="X1745:Z1746"/>
    <mergeCell ref="T1751:U1751"/>
    <mergeCell ref="V1751:W1751"/>
    <mergeCell ref="X1751:Z1752"/>
    <mergeCell ref="AA1751:AB1752"/>
    <mergeCell ref="I1752:J1752"/>
    <mergeCell ref="K1752:L1752"/>
    <mergeCell ref="M1752:O1752"/>
    <mergeCell ref="P1752:Q1752"/>
    <mergeCell ref="R1752:S1752"/>
    <mergeCell ref="T1752:U1752"/>
    <mergeCell ref="F1751:H1752"/>
    <mergeCell ref="I1751:J1751"/>
    <mergeCell ref="K1751:L1751"/>
    <mergeCell ref="M1751:O1751"/>
    <mergeCell ref="P1751:Q1751"/>
    <mergeCell ref="R1751:S1751"/>
    <mergeCell ref="X1749:Z1750"/>
    <mergeCell ref="AA1749:AB1750"/>
    <mergeCell ref="I1750:J1750"/>
    <mergeCell ref="K1750:L1750"/>
    <mergeCell ref="M1750:O1750"/>
    <mergeCell ref="P1750:Q1750"/>
    <mergeCell ref="T1750:U1750"/>
    <mergeCell ref="V1750:W1750"/>
    <mergeCell ref="F1749:H1750"/>
    <mergeCell ref="I1749:J1749"/>
    <mergeCell ref="K1749:L1749"/>
    <mergeCell ref="M1749:O1749"/>
    <mergeCell ref="P1749:Q1749"/>
    <mergeCell ref="T1749:U1749"/>
    <mergeCell ref="X1747:Z1748"/>
    <mergeCell ref="AA1747:AB1748"/>
    <mergeCell ref="I1748:J1748"/>
    <mergeCell ref="K1748:L1748"/>
    <mergeCell ref="M1748:O1748"/>
    <mergeCell ref="P1748:Q1748"/>
    <mergeCell ref="T1748:U1748"/>
    <mergeCell ref="V1748:W1748"/>
    <mergeCell ref="R1747:S1747"/>
    <mergeCell ref="R1748:S1748"/>
    <mergeCell ref="R1749:S1749"/>
    <mergeCell ref="R1750:S1750"/>
    <mergeCell ref="T1747:U1747"/>
    <mergeCell ref="V1747:W1747"/>
    <mergeCell ref="V1749:W1749"/>
    <mergeCell ref="V1756:W1756"/>
    <mergeCell ref="F1757:H1757"/>
    <mergeCell ref="I1757:J1757"/>
    <mergeCell ref="K1757:L1757"/>
    <mergeCell ref="M1757:O1757"/>
    <mergeCell ref="P1757:Q1757"/>
    <mergeCell ref="R1757:S1757"/>
    <mergeCell ref="T1755:U1755"/>
    <mergeCell ref="V1755:W1755"/>
    <mergeCell ref="X1755:Z1756"/>
    <mergeCell ref="AA1755:AB1756"/>
    <mergeCell ref="I1756:J1756"/>
    <mergeCell ref="K1756:L1756"/>
    <mergeCell ref="M1756:O1756"/>
    <mergeCell ref="P1756:Q1756"/>
    <mergeCell ref="R1756:S1756"/>
    <mergeCell ref="T1756:U1756"/>
    <mergeCell ref="F1755:H1756"/>
    <mergeCell ref="I1755:J1755"/>
    <mergeCell ref="K1755:L1755"/>
    <mergeCell ref="M1755:O1755"/>
    <mergeCell ref="P1755:Q1755"/>
    <mergeCell ref="R1755:S1755"/>
    <mergeCell ref="X1753:Z1754"/>
    <mergeCell ref="AA1753:AB1754"/>
    <mergeCell ref="I1754:J1754"/>
    <mergeCell ref="K1754:L1754"/>
    <mergeCell ref="M1754:O1754"/>
    <mergeCell ref="P1754:Q1754"/>
    <mergeCell ref="R1754:S1754"/>
    <mergeCell ref="T1754:U1754"/>
    <mergeCell ref="V1754:W1754"/>
    <mergeCell ref="V1752:W1752"/>
    <mergeCell ref="F1753:H1754"/>
    <mergeCell ref="I1753:J1753"/>
    <mergeCell ref="K1753:L1753"/>
    <mergeCell ref="M1753:O1753"/>
    <mergeCell ref="P1753:Q1753"/>
    <mergeCell ref="R1753:S1753"/>
    <mergeCell ref="T1753:U1753"/>
    <mergeCell ref="V1753:W1753"/>
    <mergeCell ref="T1760:U1760"/>
    <mergeCell ref="V1760:W1760"/>
    <mergeCell ref="X1760:Z1760"/>
    <mergeCell ref="AA1760:AB1760"/>
    <mergeCell ref="F1761:H1761"/>
    <mergeCell ref="I1761:J1761"/>
    <mergeCell ref="K1761:L1761"/>
    <mergeCell ref="M1761:O1761"/>
    <mergeCell ref="P1761:Q1761"/>
    <mergeCell ref="R1761:S1761"/>
    <mergeCell ref="R1760:S1760"/>
    <mergeCell ref="T1759:U1759"/>
    <mergeCell ref="V1759:W1759"/>
    <mergeCell ref="X1759:Z1759"/>
    <mergeCell ref="AA1759:AB1759"/>
    <mergeCell ref="F1760:H1760"/>
    <mergeCell ref="I1760:J1760"/>
    <mergeCell ref="K1760:L1760"/>
    <mergeCell ref="M1760:O1760"/>
    <mergeCell ref="P1760:Q1760"/>
    <mergeCell ref="T1758:U1758"/>
    <mergeCell ref="V1758:W1758"/>
    <mergeCell ref="X1758:Z1758"/>
    <mergeCell ref="AA1758:AB1758"/>
    <mergeCell ref="F1759:H1759"/>
    <mergeCell ref="I1759:J1759"/>
    <mergeCell ref="K1759:L1759"/>
    <mergeCell ref="M1759:O1759"/>
    <mergeCell ref="P1759:Q1759"/>
    <mergeCell ref="R1759:S1759"/>
    <mergeCell ref="R1758:S1758"/>
    <mergeCell ref="T1757:U1757"/>
    <mergeCell ref="V1757:W1757"/>
    <mergeCell ref="X1757:Z1757"/>
    <mergeCell ref="AA1757:AB1757"/>
    <mergeCell ref="F1758:H1758"/>
    <mergeCell ref="I1758:J1758"/>
    <mergeCell ref="K1758:L1758"/>
    <mergeCell ref="M1758:O1758"/>
    <mergeCell ref="P1758:Q1758"/>
    <mergeCell ref="M1764:O1764"/>
    <mergeCell ref="P1764:Q1764"/>
    <mergeCell ref="K1766:L1766"/>
    <mergeCell ref="K1767:L1767"/>
    <mergeCell ref="K1768:L1768"/>
    <mergeCell ref="K1769:L1769"/>
    <mergeCell ref="K1770:L1770"/>
    <mergeCell ref="K1771:L1771"/>
    <mergeCell ref="T1763:U1763"/>
    <mergeCell ref="V1763:W1763"/>
    <mergeCell ref="X1763:Z1763"/>
    <mergeCell ref="AA1763:AB1763"/>
    <mergeCell ref="A1764:A1775"/>
    <mergeCell ref="B1764:D1775"/>
    <mergeCell ref="F1764:H1775"/>
    <mergeCell ref="I1764:J1764"/>
    <mergeCell ref="K1764:L1764"/>
    <mergeCell ref="K1765:L1765"/>
    <mergeCell ref="T1762:U1762"/>
    <mergeCell ref="V1762:W1762"/>
    <mergeCell ref="X1762:Z1762"/>
    <mergeCell ref="AA1762:AB1762"/>
    <mergeCell ref="F1763:H1763"/>
    <mergeCell ref="I1763:J1763"/>
    <mergeCell ref="K1763:L1763"/>
    <mergeCell ref="M1763:O1763"/>
    <mergeCell ref="P1763:Q1763"/>
    <mergeCell ref="R1763:S1763"/>
    <mergeCell ref="R1762:S1762"/>
    <mergeCell ref="T1761:U1761"/>
    <mergeCell ref="V1761:W1761"/>
    <mergeCell ref="X1761:Z1761"/>
    <mergeCell ref="AA1761:AB1761"/>
    <mergeCell ref="F1762:H1762"/>
    <mergeCell ref="I1762:J1762"/>
    <mergeCell ref="K1762:L1762"/>
    <mergeCell ref="M1762:O1762"/>
    <mergeCell ref="P1762:Q1762"/>
    <mergeCell ref="T1769:U1769"/>
    <mergeCell ref="V1769:W1769"/>
    <mergeCell ref="I1770:J1770"/>
    <mergeCell ref="M1770:O1770"/>
    <mergeCell ref="P1770:Q1770"/>
    <mergeCell ref="T1770:U1770"/>
    <mergeCell ref="V1770:W1770"/>
    <mergeCell ref="X1767:Z1769"/>
    <mergeCell ref="AA1767:AB1769"/>
    <mergeCell ref="I1768:J1768"/>
    <mergeCell ref="M1768:O1768"/>
    <mergeCell ref="P1768:Q1768"/>
    <mergeCell ref="T1768:U1768"/>
    <mergeCell ref="V1768:W1768"/>
    <mergeCell ref="I1769:J1769"/>
    <mergeCell ref="M1769:O1769"/>
    <mergeCell ref="P1769:Q1769"/>
    <mergeCell ref="I1766:J1766"/>
    <mergeCell ref="M1766:O1766"/>
    <mergeCell ref="P1766:Q1766"/>
    <mergeCell ref="T1766:U1766"/>
    <mergeCell ref="V1766:W1766"/>
    <mergeCell ref="I1767:J1767"/>
    <mergeCell ref="M1767:O1767"/>
    <mergeCell ref="P1767:Q1767"/>
    <mergeCell ref="T1767:U1767"/>
    <mergeCell ref="V1767:W1767"/>
    <mergeCell ref="AC1773:AD1773"/>
    <mergeCell ref="AC1774:AD1774"/>
    <mergeCell ref="AC1775:AD1775"/>
    <mergeCell ref="AF1764:AH1775"/>
    <mergeCell ref="AI1764:AI1799"/>
    <mergeCell ref="I1765:J1765"/>
    <mergeCell ref="M1765:O1765"/>
    <mergeCell ref="P1765:Q1765"/>
    <mergeCell ref="T1765:U1765"/>
    <mergeCell ref="V1765:W1765"/>
    <mergeCell ref="AC1767:AD1767"/>
    <mergeCell ref="AC1768:AD1768"/>
    <mergeCell ref="AC1769:AD1769"/>
    <mergeCell ref="AC1770:AD1770"/>
    <mergeCell ref="AC1771:AD1771"/>
    <mergeCell ref="AC1772:AD1772"/>
    <mergeCell ref="T1764:U1764"/>
    <mergeCell ref="V1764:W1764"/>
    <mergeCell ref="X1764:Z1766"/>
    <mergeCell ref="AA1764:AB1766"/>
    <mergeCell ref="AC1764:AD1764"/>
    <mergeCell ref="AC1765:AD1765"/>
    <mergeCell ref="AC1766:AD1766"/>
    <mergeCell ref="R1770:S1770"/>
    <mergeCell ref="R1771:S1771"/>
    <mergeCell ref="R1772:S1772"/>
    <mergeCell ref="R1773:S1773"/>
    <mergeCell ref="R1774:S1774"/>
    <mergeCell ref="R1775:S1775"/>
    <mergeCell ref="R1764:S1764"/>
    <mergeCell ref="R1765:S1765"/>
    <mergeCell ref="R1766:S1766"/>
    <mergeCell ref="R1767:S1767"/>
    <mergeCell ref="R1768:S1768"/>
    <mergeCell ref="R1769:S1769"/>
    <mergeCell ref="K1772:L1772"/>
    <mergeCell ref="K1773:L1773"/>
    <mergeCell ref="T1775:U1775"/>
    <mergeCell ref="V1775:W1775"/>
    <mergeCell ref="A1776:A1781"/>
    <mergeCell ref="B1776:D1781"/>
    <mergeCell ref="F1776:H1781"/>
    <mergeCell ref="I1776:J1776"/>
    <mergeCell ref="K1776:L1776"/>
    <mergeCell ref="K1777:L1777"/>
    <mergeCell ref="K1778:L1778"/>
    <mergeCell ref="K1779:L1779"/>
    <mergeCell ref="X1773:Z1775"/>
    <mergeCell ref="AA1773:AB1775"/>
    <mergeCell ref="I1774:J1774"/>
    <mergeCell ref="M1774:O1774"/>
    <mergeCell ref="P1774:Q1774"/>
    <mergeCell ref="T1774:U1774"/>
    <mergeCell ref="V1774:W1774"/>
    <mergeCell ref="I1775:J1775"/>
    <mergeCell ref="M1775:O1775"/>
    <mergeCell ref="P1775:Q1775"/>
    <mergeCell ref="T1772:U1772"/>
    <mergeCell ref="V1772:W1772"/>
    <mergeCell ref="I1773:J1773"/>
    <mergeCell ref="M1773:O1773"/>
    <mergeCell ref="P1773:Q1773"/>
    <mergeCell ref="T1773:U1773"/>
    <mergeCell ref="V1773:W1773"/>
    <mergeCell ref="X1770:Z1772"/>
    <mergeCell ref="AA1770:AB1772"/>
    <mergeCell ref="I1771:J1771"/>
    <mergeCell ref="M1771:O1771"/>
    <mergeCell ref="P1771:Q1771"/>
    <mergeCell ref="T1771:U1771"/>
    <mergeCell ref="V1771:W1771"/>
    <mergeCell ref="I1772:J1772"/>
    <mergeCell ref="M1772:O1772"/>
    <mergeCell ref="P1772:Q1772"/>
    <mergeCell ref="K1774:L1774"/>
    <mergeCell ref="K1775:L1775"/>
    <mergeCell ref="AC1779:AD1779"/>
    <mergeCell ref="AC1780:AD1780"/>
    <mergeCell ref="AC1781:AD1781"/>
    <mergeCell ref="AF1776:AH1781"/>
    <mergeCell ref="I1777:J1777"/>
    <mergeCell ref="M1777:O1777"/>
    <mergeCell ref="P1777:Q1777"/>
    <mergeCell ref="T1777:U1777"/>
    <mergeCell ref="V1777:W1777"/>
    <mergeCell ref="AA1777:AB1777"/>
    <mergeCell ref="T1776:U1776"/>
    <mergeCell ref="V1776:W1776"/>
    <mergeCell ref="X1776:Z1778"/>
    <mergeCell ref="AA1776:AB1776"/>
    <mergeCell ref="AC1776:AD1776"/>
    <mergeCell ref="AC1777:AD1777"/>
    <mergeCell ref="AC1778:AD1778"/>
    <mergeCell ref="R1782:S1782"/>
    <mergeCell ref="R1783:S1783"/>
    <mergeCell ref="R1784:S1784"/>
    <mergeCell ref="R1785:S1785"/>
    <mergeCell ref="R1786:S1786"/>
    <mergeCell ref="R1787:S1787"/>
    <mergeCell ref="K1780:L1780"/>
    <mergeCell ref="K1781:L1781"/>
    <mergeCell ref="M1776:O1776"/>
    <mergeCell ref="P1776:Q1776"/>
    <mergeCell ref="R1776:S1776"/>
    <mergeCell ref="R1777:S1777"/>
    <mergeCell ref="R1778:S1778"/>
    <mergeCell ref="R1779:S1779"/>
    <mergeCell ref="R1780:S1780"/>
    <mergeCell ref="R1781:S1781"/>
    <mergeCell ref="V1781:W1781"/>
    <mergeCell ref="AA1781:AB1781"/>
    <mergeCell ref="A1782:A1787"/>
    <mergeCell ref="B1782:D1787"/>
    <mergeCell ref="F1782:H1787"/>
    <mergeCell ref="I1782:J1782"/>
    <mergeCell ref="K1782:L1782"/>
    <mergeCell ref="K1783:L1783"/>
    <mergeCell ref="K1784:L1784"/>
    <mergeCell ref="K1785:L1785"/>
    <mergeCell ref="AA1779:AB1779"/>
    <mergeCell ref="I1780:J1780"/>
    <mergeCell ref="M1780:O1780"/>
    <mergeCell ref="P1780:Q1780"/>
    <mergeCell ref="T1780:U1780"/>
    <mergeCell ref="V1780:W1780"/>
    <mergeCell ref="AA1780:AB1780"/>
    <mergeCell ref="I1779:J1779"/>
    <mergeCell ref="M1779:O1779"/>
    <mergeCell ref="P1779:Q1779"/>
    <mergeCell ref="T1779:U1779"/>
    <mergeCell ref="V1779:W1779"/>
    <mergeCell ref="X1779:Z1781"/>
    <mergeCell ref="I1781:J1781"/>
    <mergeCell ref="M1781:O1781"/>
    <mergeCell ref="P1781:Q1781"/>
    <mergeCell ref="T1781:U1781"/>
    <mergeCell ref="I1778:J1778"/>
    <mergeCell ref="M1778:O1778"/>
    <mergeCell ref="P1778:Q1778"/>
    <mergeCell ref="T1778:U1778"/>
    <mergeCell ref="V1778:W1778"/>
    <mergeCell ref="AA1778:AB1778"/>
    <mergeCell ref="A1788:A1793"/>
    <mergeCell ref="B1788:D1793"/>
    <mergeCell ref="F1788:H1793"/>
    <mergeCell ref="I1788:J1788"/>
    <mergeCell ref="K1788:L1788"/>
    <mergeCell ref="K1789:L1789"/>
    <mergeCell ref="K1790:L1790"/>
    <mergeCell ref="K1791:L1791"/>
    <mergeCell ref="K1792:L1792"/>
    <mergeCell ref="K1793:L1793"/>
    <mergeCell ref="V1786:W1786"/>
    <mergeCell ref="AA1786:AB1786"/>
    <mergeCell ref="I1787:J1787"/>
    <mergeCell ref="M1787:O1787"/>
    <mergeCell ref="P1787:Q1787"/>
    <mergeCell ref="T1787:U1787"/>
    <mergeCell ref="V1787:W1787"/>
    <mergeCell ref="AA1787:AB1787"/>
    <mergeCell ref="I1785:J1785"/>
    <mergeCell ref="M1785:O1785"/>
    <mergeCell ref="P1785:Q1785"/>
    <mergeCell ref="T1785:U1785"/>
    <mergeCell ref="V1785:W1785"/>
    <mergeCell ref="X1785:Z1787"/>
    <mergeCell ref="I1786:J1786"/>
    <mergeCell ref="M1786:O1786"/>
    <mergeCell ref="P1786:Q1786"/>
    <mergeCell ref="T1786:U1786"/>
    <mergeCell ref="AC1786:AD1786"/>
    <mergeCell ref="AC1787:AD1787"/>
    <mergeCell ref="AF1782:AH1787"/>
    <mergeCell ref="I1783:J1783"/>
    <mergeCell ref="M1783:O1783"/>
    <mergeCell ref="P1783:Q1783"/>
    <mergeCell ref="T1783:U1783"/>
    <mergeCell ref="V1783:W1783"/>
    <mergeCell ref="AA1783:AB1783"/>
    <mergeCell ref="I1784:J1784"/>
    <mergeCell ref="X1782:Z1784"/>
    <mergeCell ref="AA1782:AB1782"/>
    <mergeCell ref="AC1782:AD1782"/>
    <mergeCell ref="AC1783:AD1783"/>
    <mergeCell ref="AC1784:AD1784"/>
    <mergeCell ref="AC1785:AD1785"/>
    <mergeCell ref="AA1784:AB1784"/>
    <mergeCell ref="AA1785:AB1785"/>
    <mergeCell ref="K1786:L1786"/>
    <mergeCell ref="K1787:L1787"/>
    <mergeCell ref="M1782:O1782"/>
    <mergeCell ref="P1782:Q1782"/>
    <mergeCell ref="T1782:U1782"/>
    <mergeCell ref="V1782:W1782"/>
    <mergeCell ref="M1784:O1784"/>
    <mergeCell ref="P1784:Q1784"/>
    <mergeCell ref="T1784:U1784"/>
    <mergeCell ref="V1784:W1784"/>
    <mergeCell ref="V1792:W1792"/>
    <mergeCell ref="I1793:J1793"/>
    <mergeCell ref="M1793:O1793"/>
    <mergeCell ref="P1793:Q1793"/>
    <mergeCell ref="T1793:U1793"/>
    <mergeCell ref="V1793:W1793"/>
    <mergeCell ref="I1791:J1791"/>
    <mergeCell ref="M1791:O1791"/>
    <mergeCell ref="P1791:Q1791"/>
    <mergeCell ref="T1791:U1791"/>
    <mergeCell ref="V1791:W1791"/>
    <mergeCell ref="X1791:Z1793"/>
    <mergeCell ref="I1792:J1792"/>
    <mergeCell ref="M1792:O1792"/>
    <mergeCell ref="P1792:Q1792"/>
    <mergeCell ref="T1792:U1792"/>
    <mergeCell ref="AF1788:AH1793"/>
    <mergeCell ref="I1789:J1789"/>
    <mergeCell ref="M1789:O1789"/>
    <mergeCell ref="P1789:Q1789"/>
    <mergeCell ref="T1789:U1789"/>
    <mergeCell ref="V1789:W1789"/>
    <mergeCell ref="AA1789:AB1789"/>
    <mergeCell ref="I1790:J1790"/>
    <mergeCell ref="M1790:O1790"/>
    <mergeCell ref="P1790:Q1790"/>
    <mergeCell ref="AC1788:AD1788"/>
    <mergeCell ref="AC1789:AD1789"/>
    <mergeCell ref="AC1790:AD1790"/>
    <mergeCell ref="AC1791:AD1791"/>
    <mergeCell ref="AC1792:AD1792"/>
    <mergeCell ref="AC1793:AD1793"/>
    <mergeCell ref="R1798:S1798"/>
    <mergeCell ref="T1788:U1788"/>
    <mergeCell ref="V1788:W1788"/>
    <mergeCell ref="X1788:Z1790"/>
    <mergeCell ref="AA1788:AB1788"/>
    <mergeCell ref="T1790:U1790"/>
    <mergeCell ref="V1790:W1790"/>
    <mergeCell ref="AA1790:AB1790"/>
    <mergeCell ref="AA1791:AB1793"/>
    <mergeCell ref="R1792:S1792"/>
    <mergeCell ref="R1793:S1793"/>
    <mergeCell ref="R1794:S1794"/>
    <mergeCell ref="R1795:S1795"/>
    <mergeCell ref="R1796:S1796"/>
    <mergeCell ref="R1797:S1797"/>
    <mergeCell ref="M1788:O1788"/>
    <mergeCell ref="P1788:Q1788"/>
    <mergeCell ref="R1788:S1788"/>
    <mergeCell ref="R1789:S1789"/>
    <mergeCell ref="R1790:S1790"/>
    <mergeCell ref="R1791:S1791"/>
    <mergeCell ref="A1800:A1808"/>
    <mergeCell ref="B1800:D1802"/>
    <mergeCell ref="F1800:H1802"/>
    <mergeCell ref="I1800:J1800"/>
    <mergeCell ref="K1800:L1800"/>
    <mergeCell ref="K1801:L1801"/>
    <mergeCell ref="K1802:L1802"/>
    <mergeCell ref="I1802:J1802"/>
    <mergeCell ref="B1803:D1808"/>
    <mergeCell ref="F1803:H1805"/>
    <mergeCell ref="AA1797:AB1799"/>
    <mergeCell ref="I1798:J1798"/>
    <mergeCell ref="M1798:O1798"/>
    <mergeCell ref="P1798:Q1798"/>
    <mergeCell ref="T1798:U1798"/>
    <mergeCell ref="V1798:W1798"/>
    <mergeCell ref="I1799:J1799"/>
    <mergeCell ref="M1799:O1799"/>
    <mergeCell ref="P1799:Q1799"/>
    <mergeCell ref="T1799:U1799"/>
    <mergeCell ref="I1797:J1797"/>
    <mergeCell ref="M1797:O1797"/>
    <mergeCell ref="P1797:Q1797"/>
    <mergeCell ref="T1797:U1797"/>
    <mergeCell ref="V1797:W1797"/>
    <mergeCell ref="X1797:Z1799"/>
    <mergeCell ref="V1799:W1799"/>
    <mergeCell ref="AF1794:AH1799"/>
    <mergeCell ref="I1795:J1795"/>
    <mergeCell ref="M1795:O1795"/>
    <mergeCell ref="P1795:Q1795"/>
    <mergeCell ref="T1795:U1795"/>
    <mergeCell ref="V1795:W1795"/>
    <mergeCell ref="I1796:J1796"/>
    <mergeCell ref="M1796:O1796"/>
    <mergeCell ref="P1796:Q1796"/>
    <mergeCell ref="T1796:U1796"/>
    <mergeCell ref="AC1794:AD1794"/>
    <mergeCell ref="AC1795:AD1795"/>
    <mergeCell ref="AC1796:AD1796"/>
    <mergeCell ref="AC1797:AD1797"/>
    <mergeCell ref="AC1798:AD1798"/>
    <mergeCell ref="AC1799:AD1799"/>
    <mergeCell ref="M1794:O1794"/>
    <mergeCell ref="P1794:Q1794"/>
    <mergeCell ref="T1794:U1794"/>
    <mergeCell ref="V1794:W1794"/>
    <mergeCell ref="X1794:Z1796"/>
    <mergeCell ref="AA1794:AB1796"/>
    <mergeCell ref="V1796:W1796"/>
    <mergeCell ref="A1794:A1799"/>
    <mergeCell ref="B1794:D1799"/>
    <mergeCell ref="F1794:H1799"/>
    <mergeCell ref="I1794:J1794"/>
    <mergeCell ref="K1794:L1794"/>
    <mergeCell ref="K1795:L1795"/>
    <mergeCell ref="K1796:L1796"/>
    <mergeCell ref="K1797:L1797"/>
    <mergeCell ref="K1798:L1798"/>
    <mergeCell ref="K1799:L1799"/>
    <mergeCell ref="R1799:S1799"/>
    <mergeCell ref="T1803:U1803"/>
    <mergeCell ref="V1803:W1803"/>
    <mergeCell ref="X1803:Z1803"/>
    <mergeCell ref="AA1803:AB1803"/>
    <mergeCell ref="I1804:J1804"/>
    <mergeCell ref="M1804:O1804"/>
    <mergeCell ref="P1804:Q1804"/>
    <mergeCell ref="T1804:U1804"/>
    <mergeCell ref="V1804:W1804"/>
    <mergeCell ref="X1804:Z1804"/>
    <mergeCell ref="R1803:S1803"/>
    <mergeCell ref="R1804:S1804"/>
    <mergeCell ref="R1805:S1805"/>
    <mergeCell ref="R1806:S1806"/>
    <mergeCell ref="R1807:S1807"/>
    <mergeCell ref="R1808:S1808"/>
    <mergeCell ref="I1803:J1803"/>
    <mergeCell ref="K1803:L1803"/>
    <mergeCell ref="K1804:L1804"/>
    <mergeCell ref="K1805:L1805"/>
    <mergeCell ref="M1803:O1803"/>
    <mergeCell ref="P1803:Q1803"/>
    <mergeCell ref="AF1806:AH1806"/>
    <mergeCell ref="AF1807:AH1807"/>
    <mergeCell ref="AF1808:AH1808"/>
    <mergeCell ref="I1801:J1801"/>
    <mergeCell ref="M1801:O1801"/>
    <mergeCell ref="P1801:Q1801"/>
    <mergeCell ref="T1801:U1801"/>
    <mergeCell ref="V1801:W1801"/>
    <mergeCell ref="X1801:Z1801"/>
    <mergeCell ref="AA1801:AB1801"/>
    <mergeCell ref="AF1800:AH1800"/>
    <mergeCell ref="AF1801:AH1801"/>
    <mergeCell ref="AF1802:AH1802"/>
    <mergeCell ref="AF1803:AH1803"/>
    <mergeCell ref="AF1804:AH1804"/>
    <mergeCell ref="AF1805:AH1805"/>
    <mergeCell ref="AC1803:AD1803"/>
    <mergeCell ref="AC1804:AD1804"/>
    <mergeCell ref="AC1805:AD1805"/>
    <mergeCell ref="AC1806:AD1806"/>
    <mergeCell ref="AC1807:AD1807"/>
    <mergeCell ref="AC1808:AD1808"/>
    <mergeCell ref="V1800:W1800"/>
    <mergeCell ref="X1800:Z1800"/>
    <mergeCell ref="AA1800:AB1800"/>
    <mergeCell ref="AC1800:AD1800"/>
    <mergeCell ref="AC1801:AD1801"/>
    <mergeCell ref="AC1802:AD1802"/>
    <mergeCell ref="V1802:W1802"/>
    <mergeCell ref="X1802:Z1802"/>
    <mergeCell ref="AA1802:AB1802"/>
    <mergeCell ref="M1800:O1800"/>
    <mergeCell ref="P1800:Q1800"/>
    <mergeCell ref="R1800:S1800"/>
    <mergeCell ref="R1801:S1801"/>
    <mergeCell ref="R1802:S1802"/>
    <mergeCell ref="T1800:U1800"/>
    <mergeCell ref="M1802:O1802"/>
    <mergeCell ref="P1802:Q1802"/>
    <mergeCell ref="T1802:U1802"/>
    <mergeCell ref="X1807:Z1807"/>
    <mergeCell ref="AA1807:AB1807"/>
    <mergeCell ref="I1808:J1808"/>
    <mergeCell ref="M1808:O1808"/>
    <mergeCell ref="P1808:Q1808"/>
    <mergeCell ref="T1808:U1808"/>
    <mergeCell ref="V1808:W1808"/>
    <mergeCell ref="X1808:Z1808"/>
    <mergeCell ref="AA1808:AB1808"/>
    <mergeCell ref="P1806:Q1806"/>
    <mergeCell ref="T1806:U1806"/>
    <mergeCell ref="V1806:W1806"/>
    <mergeCell ref="X1806:Z1806"/>
    <mergeCell ref="AA1806:AB1806"/>
    <mergeCell ref="I1807:J1807"/>
    <mergeCell ref="M1807:O1807"/>
    <mergeCell ref="P1807:Q1807"/>
    <mergeCell ref="T1807:U1807"/>
    <mergeCell ref="V1807:W1807"/>
    <mergeCell ref="F1806:H1808"/>
    <mergeCell ref="I1806:J1806"/>
    <mergeCell ref="K1806:L1806"/>
    <mergeCell ref="K1807:L1807"/>
    <mergeCell ref="K1808:L1808"/>
    <mergeCell ref="M1806:O1806"/>
    <mergeCell ref="AA1804:AB1804"/>
    <mergeCell ref="I1805:J1805"/>
    <mergeCell ref="M1805:O1805"/>
    <mergeCell ref="P1805:Q1805"/>
    <mergeCell ref="T1805:U1805"/>
    <mergeCell ref="V1805:W1805"/>
    <mergeCell ref="X1805:Z1805"/>
    <mergeCell ref="AA1805:AB1805"/>
    <mergeCell ref="I1814:J1814"/>
    <mergeCell ref="M1814:O1814"/>
    <mergeCell ref="P1814:Q1814"/>
    <mergeCell ref="T1814:U1814"/>
    <mergeCell ref="V1814:W1814"/>
    <mergeCell ref="A1815:A1817"/>
    <mergeCell ref="B1815:D1817"/>
    <mergeCell ref="F1815:H1817"/>
    <mergeCell ref="I1815:J1815"/>
    <mergeCell ref="K1815:L1815"/>
    <mergeCell ref="I1812:J1812"/>
    <mergeCell ref="M1812:O1812"/>
    <mergeCell ref="P1812:Q1812"/>
    <mergeCell ref="T1812:U1812"/>
    <mergeCell ref="V1812:W1812"/>
    <mergeCell ref="X1812:Z1814"/>
    <mergeCell ref="I1813:J1813"/>
    <mergeCell ref="M1813:O1813"/>
    <mergeCell ref="P1813:Q1813"/>
    <mergeCell ref="T1813:U1813"/>
    <mergeCell ref="AF1809:AH1814"/>
    <mergeCell ref="AI1809:AI1814"/>
    <mergeCell ref="I1810:J1810"/>
    <mergeCell ref="M1810:O1810"/>
    <mergeCell ref="P1810:Q1810"/>
    <mergeCell ref="T1810:U1810"/>
    <mergeCell ref="V1810:W1810"/>
    <mergeCell ref="I1811:J1811"/>
    <mergeCell ref="M1811:O1811"/>
    <mergeCell ref="P1811:Q1811"/>
    <mergeCell ref="AC1809:AD1809"/>
    <mergeCell ref="AC1810:AD1810"/>
    <mergeCell ref="AC1811:AD1811"/>
    <mergeCell ref="AC1812:AD1812"/>
    <mergeCell ref="AC1813:AD1813"/>
    <mergeCell ref="AC1814:AD1814"/>
    <mergeCell ref="R1813:S1813"/>
    <mergeCell ref="R1814:S1814"/>
    <mergeCell ref="T1809:U1809"/>
    <mergeCell ref="V1809:W1809"/>
    <mergeCell ref="X1809:Z1811"/>
    <mergeCell ref="AA1809:AB1811"/>
    <mergeCell ref="T1811:U1811"/>
    <mergeCell ref="V1811:W1811"/>
    <mergeCell ref="AA1812:AB1814"/>
    <mergeCell ref="V1813:W1813"/>
    <mergeCell ref="M1809:O1809"/>
    <mergeCell ref="P1809:Q1809"/>
    <mergeCell ref="R1809:S1809"/>
    <mergeCell ref="R1810:S1810"/>
    <mergeCell ref="R1811:S1811"/>
    <mergeCell ref="R1812:S1812"/>
    <mergeCell ref="A1809:A1814"/>
    <mergeCell ref="B1809:D1814"/>
    <mergeCell ref="F1809:H1814"/>
    <mergeCell ref="I1809:J1809"/>
    <mergeCell ref="K1809:L1809"/>
    <mergeCell ref="K1810:L1810"/>
    <mergeCell ref="K1811:L1811"/>
    <mergeCell ref="K1812:L1812"/>
    <mergeCell ref="K1813:L1813"/>
    <mergeCell ref="K1814:L1814"/>
    <mergeCell ref="I1817:J1817"/>
    <mergeCell ref="M1817:O1817"/>
    <mergeCell ref="P1817:Q1817"/>
    <mergeCell ref="T1817:U1817"/>
    <mergeCell ref="V1817:W1817"/>
    <mergeCell ref="A1818:A1826"/>
    <mergeCell ref="B1818:D1826"/>
    <mergeCell ref="F1818:H1826"/>
    <mergeCell ref="I1818:J1818"/>
    <mergeCell ref="K1818:L1818"/>
    <mergeCell ref="AC1817:AD1817"/>
    <mergeCell ref="AF1815:AH1817"/>
    <mergeCell ref="AI1815:AI1833"/>
    <mergeCell ref="I1816:J1816"/>
    <mergeCell ref="M1816:O1816"/>
    <mergeCell ref="P1816:Q1816"/>
    <mergeCell ref="T1816:U1816"/>
    <mergeCell ref="V1816:W1816"/>
    <mergeCell ref="X1816:Z1817"/>
    <mergeCell ref="AA1816:AB1817"/>
    <mergeCell ref="T1815:U1815"/>
    <mergeCell ref="V1815:W1815"/>
    <mergeCell ref="X1815:Z1815"/>
    <mergeCell ref="AA1815:AB1815"/>
    <mergeCell ref="AC1815:AD1815"/>
    <mergeCell ref="AC1816:AD1816"/>
    <mergeCell ref="K1816:L1816"/>
    <mergeCell ref="K1817:L1817"/>
    <mergeCell ref="M1815:O1815"/>
    <mergeCell ref="P1815:Q1815"/>
    <mergeCell ref="R1815:S1815"/>
    <mergeCell ref="R1816:S1816"/>
    <mergeCell ref="R1817:S1817"/>
    <mergeCell ref="I1821:J1821"/>
    <mergeCell ref="K1821:L1821"/>
    <mergeCell ref="M1821:O1821"/>
    <mergeCell ref="P1821:Q1821"/>
    <mergeCell ref="R1821:S1821"/>
    <mergeCell ref="T1821:U1821"/>
    <mergeCell ref="I1820:J1820"/>
    <mergeCell ref="K1820:L1820"/>
    <mergeCell ref="M1820:O1820"/>
    <mergeCell ref="P1820:Q1820"/>
    <mergeCell ref="R1820:S1820"/>
    <mergeCell ref="T1820:U1820"/>
    <mergeCell ref="AF1824:AH1824"/>
    <mergeCell ref="AF1825:AH1825"/>
    <mergeCell ref="AF1826:AH1826"/>
    <mergeCell ref="I1819:J1819"/>
    <mergeCell ref="K1819:L1819"/>
    <mergeCell ref="M1819:O1819"/>
    <mergeCell ref="P1819:Q1819"/>
    <mergeCell ref="R1819:S1819"/>
    <mergeCell ref="T1819:U1819"/>
    <mergeCell ref="V1819:W1819"/>
    <mergeCell ref="AC1823:AD1823"/>
    <mergeCell ref="AC1824:AD1824"/>
    <mergeCell ref="AC1825:AD1825"/>
    <mergeCell ref="AC1826:AD1826"/>
    <mergeCell ref="AF1818:AH1818"/>
    <mergeCell ref="AF1819:AH1819"/>
    <mergeCell ref="AF1820:AH1820"/>
    <mergeCell ref="AF1821:AH1821"/>
    <mergeCell ref="AF1822:AH1822"/>
    <mergeCell ref="AF1823:AH1823"/>
    <mergeCell ref="AA1818:AB1822"/>
    <mergeCell ref="AC1818:AD1818"/>
    <mergeCell ref="AC1819:AD1819"/>
    <mergeCell ref="AC1820:AD1820"/>
    <mergeCell ref="AC1821:AD1821"/>
    <mergeCell ref="AC1822:AD1822"/>
    <mergeCell ref="M1818:O1818"/>
    <mergeCell ref="P1818:Q1818"/>
    <mergeCell ref="R1818:S1818"/>
    <mergeCell ref="T1818:U1818"/>
    <mergeCell ref="V1818:W1818"/>
    <mergeCell ref="X1818:Z1822"/>
    <mergeCell ref="V1820:W1820"/>
    <mergeCell ref="V1821:W1821"/>
    <mergeCell ref="V1822:W1822"/>
    <mergeCell ref="V1825:W1825"/>
    <mergeCell ref="I1826:J1826"/>
    <mergeCell ref="K1826:L1826"/>
    <mergeCell ref="M1826:O1826"/>
    <mergeCell ref="P1826:Q1826"/>
    <mergeCell ref="R1826:S1826"/>
    <mergeCell ref="T1826:U1826"/>
    <mergeCell ref="V1826:W1826"/>
    <mergeCell ref="I1825:J1825"/>
    <mergeCell ref="K1825:L1825"/>
    <mergeCell ref="M1825:O1825"/>
    <mergeCell ref="P1825:Q1825"/>
    <mergeCell ref="R1825:S1825"/>
    <mergeCell ref="T1825:U1825"/>
    <mergeCell ref="V1823:W1823"/>
    <mergeCell ref="X1823:Z1826"/>
    <mergeCell ref="AA1823:AB1826"/>
    <mergeCell ref="I1824:J1824"/>
    <mergeCell ref="K1824:L1824"/>
    <mergeCell ref="M1824:O1824"/>
    <mergeCell ref="P1824:Q1824"/>
    <mergeCell ref="R1824:S1824"/>
    <mergeCell ref="T1824:U1824"/>
    <mergeCell ref="V1824:W1824"/>
    <mergeCell ref="I1823:J1823"/>
    <mergeCell ref="K1823:L1823"/>
    <mergeCell ref="M1823:O1823"/>
    <mergeCell ref="P1823:Q1823"/>
    <mergeCell ref="R1823:S1823"/>
    <mergeCell ref="T1823:U1823"/>
    <mergeCell ref="I1822:J1822"/>
    <mergeCell ref="K1822:L1822"/>
    <mergeCell ref="M1822:O1822"/>
    <mergeCell ref="P1822:Q1822"/>
    <mergeCell ref="R1822:S1822"/>
    <mergeCell ref="T1822:U1822"/>
    <mergeCell ref="AC1833:AD1833"/>
    <mergeCell ref="AF1828:AH1833"/>
    <mergeCell ref="I1829:J1829"/>
    <mergeCell ref="M1829:O1829"/>
    <mergeCell ref="P1829:Q1829"/>
    <mergeCell ref="T1829:U1829"/>
    <mergeCell ref="V1829:W1829"/>
    <mergeCell ref="I1830:J1830"/>
    <mergeCell ref="M1830:O1830"/>
    <mergeCell ref="P1830:Q1830"/>
    <mergeCell ref="AA1828:AB1829"/>
    <mergeCell ref="AC1828:AD1828"/>
    <mergeCell ref="AC1829:AD1829"/>
    <mergeCell ref="AC1830:AD1830"/>
    <mergeCell ref="AC1831:AD1831"/>
    <mergeCell ref="AC1832:AD1832"/>
    <mergeCell ref="AA1830:AB1830"/>
    <mergeCell ref="R1828:S1828"/>
    <mergeCell ref="R1829:S1829"/>
    <mergeCell ref="R1830:S1830"/>
    <mergeCell ref="T1828:U1828"/>
    <mergeCell ref="V1828:W1828"/>
    <mergeCell ref="X1828:Z1829"/>
    <mergeCell ref="T1830:U1830"/>
    <mergeCell ref="V1830:W1830"/>
    <mergeCell ref="X1830:Z1830"/>
    <mergeCell ref="AF1827:AH1827"/>
    <mergeCell ref="A1828:A1833"/>
    <mergeCell ref="B1828:D1833"/>
    <mergeCell ref="F1828:H1830"/>
    <mergeCell ref="I1828:J1828"/>
    <mergeCell ref="K1828:L1828"/>
    <mergeCell ref="K1829:L1829"/>
    <mergeCell ref="K1830:L1830"/>
    <mergeCell ref="M1828:O1828"/>
    <mergeCell ref="P1828:Q1828"/>
    <mergeCell ref="R1827:S1827"/>
    <mergeCell ref="T1827:U1827"/>
    <mergeCell ref="V1827:W1827"/>
    <mergeCell ref="X1827:Z1827"/>
    <mergeCell ref="AA1827:AB1827"/>
    <mergeCell ref="AC1827:AD1827"/>
    <mergeCell ref="B1827:D1827"/>
    <mergeCell ref="F1827:H1827"/>
    <mergeCell ref="I1827:J1827"/>
    <mergeCell ref="K1827:L1827"/>
    <mergeCell ref="M1827:O1827"/>
    <mergeCell ref="P1827:Q1827"/>
    <mergeCell ref="AA1836:AB1837"/>
    <mergeCell ref="P1834:Q1834"/>
    <mergeCell ref="R1834:S1834"/>
    <mergeCell ref="R1835:S1835"/>
    <mergeCell ref="R1836:S1836"/>
    <mergeCell ref="R1837:S1837"/>
    <mergeCell ref="T1834:U1834"/>
    <mergeCell ref="P1836:Q1836"/>
    <mergeCell ref="T1836:U1836"/>
    <mergeCell ref="A1834:A1854"/>
    <mergeCell ref="B1834:D1854"/>
    <mergeCell ref="F1834:H1835"/>
    <mergeCell ref="I1834:J1834"/>
    <mergeCell ref="K1834:L1834"/>
    <mergeCell ref="M1834:O1834"/>
    <mergeCell ref="F1836:H1837"/>
    <mergeCell ref="K1836:L1836"/>
    <mergeCell ref="M1836:O1836"/>
    <mergeCell ref="I1837:J1837"/>
    <mergeCell ref="P1833:Q1833"/>
    <mergeCell ref="R1833:S1833"/>
    <mergeCell ref="T1833:U1833"/>
    <mergeCell ref="V1833:W1833"/>
    <mergeCell ref="X1833:Z1833"/>
    <mergeCell ref="AA1833:AB1833"/>
    <mergeCell ref="P1831:Q1831"/>
    <mergeCell ref="R1831:S1831"/>
    <mergeCell ref="T1831:U1831"/>
    <mergeCell ref="V1831:W1831"/>
    <mergeCell ref="X1831:Z1832"/>
    <mergeCell ref="AA1831:AB1832"/>
    <mergeCell ref="P1832:Q1832"/>
    <mergeCell ref="R1832:S1832"/>
    <mergeCell ref="T1832:U1832"/>
    <mergeCell ref="V1832:W1832"/>
    <mergeCell ref="F1831:H1833"/>
    <mergeCell ref="I1831:J1831"/>
    <mergeCell ref="K1831:L1831"/>
    <mergeCell ref="K1832:L1832"/>
    <mergeCell ref="K1833:L1833"/>
    <mergeCell ref="M1831:O1831"/>
    <mergeCell ref="I1832:J1832"/>
    <mergeCell ref="M1832:O1832"/>
    <mergeCell ref="I1833:J1833"/>
    <mergeCell ref="M1833:O1833"/>
    <mergeCell ref="K1837:L1837"/>
    <mergeCell ref="M1837:O1837"/>
    <mergeCell ref="P1837:Q1837"/>
    <mergeCell ref="T1837:U1837"/>
    <mergeCell ref="V1837:W1837"/>
    <mergeCell ref="F1838:H1839"/>
    <mergeCell ref="I1838:J1838"/>
    <mergeCell ref="K1838:L1838"/>
    <mergeCell ref="M1838:O1838"/>
    <mergeCell ref="P1838:Q1838"/>
    <mergeCell ref="AF1852:AH1852"/>
    <mergeCell ref="AF1853:AH1853"/>
    <mergeCell ref="AF1854:AH1854"/>
    <mergeCell ref="I1835:J1835"/>
    <mergeCell ref="K1835:L1835"/>
    <mergeCell ref="M1835:O1835"/>
    <mergeCell ref="P1835:Q1835"/>
    <mergeCell ref="T1835:U1835"/>
    <mergeCell ref="V1835:W1835"/>
    <mergeCell ref="I1836:J1836"/>
    <mergeCell ref="AF1846:AH1846"/>
    <mergeCell ref="AF1847:AH1847"/>
    <mergeCell ref="AF1848:AH1848"/>
    <mergeCell ref="AF1849:AH1849"/>
    <mergeCell ref="AF1850:AH1850"/>
    <mergeCell ref="AF1851:AH1851"/>
    <mergeCell ref="AF1840:AH1840"/>
    <mergeCell ref="AF1841:AH1841"/>
    <mergeCell ref="AF1842:AH1842"/>
    <mergeCell ref="AF1843:AH1843"/>
    <mergeCell ref="AF1844:AH1844"/>
    <mergeCell ref="AF1845:AH1845"/>
    <mergeCell ref="AF1834:AH1834"/>
    <mergeCell ref="AF1835:AH1835"/>
    <mergeCell ref="AF1836:AH1836"/>
    <mergeCell ref="AF1837:AH1837"/>
    <mergeCell ref="AF1838:AH1838"/>
    <mergeCell ref="AF1839:AH1839"/>
    <mergeCell ref="AC1849:AD1849"/>
    <mergeCell ref="AC1850:AD1850"/>
    <mergeCell ref="AC1851:AD1851"/>
    <mergeCell ref="AC1852:AD1852"/>
    <mergeCell ref="AC1853:AD1853"/>
    <mergeCell ref="AC1854:AD1854"/>
    <mergeCell ref="AC1843:AD1843"/>
    <mergeCell ref="AC1844:AD1844"/>
    <mergeCell ref="AC1845:AD1845"/>
    <mergeCell ref="AC1846:AD1846"/>
    <mergeCell ref="AC1847:AD1847"/>
    <mergeCell ref="AC1848:AD1848"/>
    <mergeCell ref="AC1837:AD1837"/>
    <mergeCell ref="AC1838:AD1838"/>
    <mergeCell ref="AC1839:AD1839"/>
    <mergeCell ref="AC1840:AD1840"/>
    <mergeCell ref="AC1841:AD1841"/>
    <mergeCell ref="AC1842:AD1842"/>
    <mergeCell ref="V1834:W1834"/>
    <mergeCell ref="X1834:Z1835"/>
    <mergeCell ref="AA1834:AB1835"/>
    <mergeCell ref="AC1834:AD1834"/>
    <mergeCell ref="AC1835:AD1835"/>
    <mergeCell ref="AC1836:AD1836"/>
    <mergeCell ref="V1836:W1836"/>
    <mergeCell ref="X1836:Z1837"/>
    <mergeCell ref="T1842:U1842"/>
    <mergeCell ref="V1842:W1842"/>
    <mergeCell ref="X1842:Z1843"/>
    <mergeCell ref="AA1842:AB1843"/>
    <mergeCell ref="I1843:J1843"/>
    <mergeCell ref="K1843:L1843"/>
    <mergeCell ref="M1843:O1843"/>
    <mergeCell ref="P1843:Q1843"/>
    <mergeCell ref="R1843:S1843"/>
    <mergeCell ref="T1843:U1843"/>
    <mergeCell ref="F1842:H1843"/>
    <mergeCell ref="I1842:J1842"/>
    <mergeCell ref="K1842:L1842"/>
    <mergeCell ref="M1842:O1842"/>
    <mergeCell ref="P1842:Q1842"/>
    <mergeCell ref="R1842:S1842"/>
    <mergeCell ref="X1840:Z1841"/>
    <mergeCell ref="AA1840:AB1841"/>
    <mergeCell ref="I1841:J1841"/>
    <mergeCell ref="K1841:L1841"/>
    <mergeCell ref="M1841:O1841"/>
    <mergeCell ref="P1841:Q1841"/>
    <mergeCell ref="T1841:U1841"/>
    <mergeCell ref="V1841:W1841"/>
    <mergeCell ref="F1840:H1841"/>
    <mergeCell ref="I1840:J1840"/>
    <mergeCell ref="K1840:L1840"/>
    <mergeCell ref="M1840:O1840"/>
    <mergeCell ref="P1840:Q1840"/>
    <mergeCell ref="T1840:U1840"/>
    <mergeCell ref="X1838:Z1839"/>
    <mergeCell ref="AA1838:AB1839"/>
    <mergeCell ref="I1839:J1839"/>
    <mergeCell ref="K1839:L1839"/>
    <mergeCell ref="M1839:O1839"/>
    <mergeCell ref="P1839:Q1839"/>
    <mergeCell ref="T1839:U1839"/>
    <mergeCell ref="V1839:W1839"/>
    <mergeCell ref="R1838:S1838"/>
    <mergeCell ref="R1839:S1839"/>
    <mergeCell ref="R1840:S1840"/>
    <mergeCell ref="R1841:S1841"/>
    <mergeCell ref="T1838:U1838"/>
    <mergeCell ref="V1838:W1838"/>
    <mergeCell ref="V1840:W1840"/>
    <mergeCell ref="T1846:U1846"/>
    <mergeCell ref="V1846:W1846"/>
    <mergeCell ref="X1846:Z1847"/>
    <mergeCell ref="AA1846:AB1847"/>
    <mergeCell ref="I1847:J1847"/>
    <mergeCell ref="K1847:L1847"/>
    <mergeCell ref="M1847:O1847"/>
    <mergeCell ref="P1847:Q1847"/>
    <mergeCell ref="R1847:S1847"/>
    <mergeCell ref="T1847:U1847"/>
    <mergeCell ref="F1846:H1847"/>
    <mergeCell ref="I1846:J1846"/>
    <mergeCell ref="K1846:L1846"/>
    <mergeCell ref="M1846:O1846"/>
    <mergeCell ref="P1846:Q1846"/>
    <mergeCell ref="R1846:S1846"/>
    <mergeCell ref="X1844:Z1845"/>
    <mergeCell ref="AA1844:AB1845"/>
    <mergeCell ref="I1845:J1845"/>
    <mergeCell ref="K1845:L1845"/>
    <mergeCell ref="M1845:O1845"/>
    <mergeCell ref="P1845:Q1845"/>
    <mergeCell ref="R1845:S1845"/>
    <mergeCell ref="T1845:U1845"/>
    <mergeCell ref="V1845:W1845"/>
    <mergeCell ref="V1843:W1843"/>
    <mergeCell ref="F1844:H1845"/>
    <mergeCell ref="I1844:J1844"/>
    <mergeCell ref="K1844:L1844"/>
    <mergeCell ref="M1844:O1844"/>
    <mergeCell ref="P1844:Q1844"/>
    <mergeCell ref="R1844:S1844"/>
    <mergeCell ref="T1844:U1844"/>
    <mergeCell ref="V1844:W1844"/>
    <mergeCell ref="T1850:U1850"/>
    <mergeCell ref="V1850:W1850"/>
    <mergeCell ref="X1850:Z1850"/>
    <mergeCell ref="AA1850:AB1850"/>
    <mergeCell ref="F1851:H1851"/>
    <mergeCell ref="I1851:J1851"/>
    <mergeCell ref="K1851:L1851"/>
    <mergeCell ref="M1851:O1851"/>
    <mergeCell ref="P1851:Q1851"/>
    <mergeCell ref="T1849:U1849"/>
    <mergeCell ref="V1849:W1849"/>
    <mergeCell ref="X1849:Z1849"/>
    <mergeCell ref="AA1849:AB1849"/>
    <mergeCell ref="F1850:H1850"/>
    <mergeCell ref="I1850:J1850"/>
    <mergeCell ref="K1850:L1850"/>
    <mergeCell ref="M1850:O1850"/>
    <mergeCell ref="P1850:Q1850"/>
    <mergeCell ref="R1850:S1850"/>
    <mergeCell ref="R1849:S1849"/>
    <mergeCell ref="T1848:U1848"/>
    <mergeCell ref="V1848:W1848"/>
    <mergeCell ref="X1848:Z1848"/>
    <mergeCell ref="AA1848:AB1848"/>
    <mergeCell ref="F1849:H1849"/>
    <mergeCell ref="I1849:J1849"/>
    <mergeCell ref="K1849:L1849"/>
    <mergeCell ref="M1849:O1849"/>
    <mergeCell ref="P1849:Q1849"/>
    <mergeCell ref="V1847:W1847"/>
    <mergeCell ref="F1848:H1848"/>
    <mergeCell ref="I1848:J1848"/>
    <mergeCell ref="K1848:L1848"/>
    <mergeCell ref="M1848:O1848"/>
    <mergeCell ref="P1848:Q1848"/>
    <mergeCell ref="R1848:S1848"/>
    <mergeCell ref="T1854:U1854"/>
    <mergeCell ref="V1854:W1854"/>
    <mergeCell ref="X1854:Z1854"/>
    <mergeCell ref="AA1854:AB1854"/>
    <mergeCell ref="A1855:A1863"/>
    <mergeCell ref="B1855:D1863"/>
    <mergeCell ref="F1855:H1863"/>
    <mergeCell ref="I1855:J1855"/>
    <mergeCell ref="K1855:L1855"/>
    <mergeCell ref="K1856:L1856"/>
    <mergeCell ref="T1853:U1853"/>
    <mergeCell ref="V1853:W1853"/>
    <mergeCell ref="X1853:Z1853"/>
    <mergeCell ref="AA1853:AB1853"/>
    <mergeCell ref="F1854:H1854"/>
    <mergeCell ref="I1854:J1854"/>
    <mergeCell ref="K1854:L1854"/>
    <mergeCell ref="M1854:O1854"/>
    <mergeCell ref="P1854:Q1854"/>
    <mergeCell ref="R1854:S1854"/>
    <mergeCell ref="R1853:S1853"/>
    <mergeCell ref="T1852:U1852"/>
    <mergeCell ref="V1852:W1852"/>
    <mergeCell ref="X1852:Z1852"/>
    <mergeCell ref="AA1852:AB1852"/>
    <mergeCell ref="F1853:H1853"/>
    <mergeCell ref="I1853:J1853"/>
    <mergeCell ref="K1853:L1853"/>
    <mergeCell ref="M1853:O1853"/>
    <mergeCell ref="P1853:Q1853"/>
    <mergeCell ref="T1851:U1851"/>
    <mergeCell ref="V1851:W1851"/>
    <mergeCell ref="X1851:Z1851"/>
    <mergeCell ref="AA1851:AB1851"/>
    <mergeCell ref="F1852:H1852"/>
    <mergeCell ref="I1852:J1852"/>
    <mergeCell ref="K1852:L1852"/>
    <mergeCell ref="M1852:O1852"/>
    <mergeCell ref="P1852:Q1852"/>
    <mergeCell ref="R1852:S1852"/>
    <mergeCell ref="R1851:S1851"/>
    <mergeCell ref="AF1855:AH1855"/>
    <mergeCell ref="AF1856:AH1856"/>
    <mergeCell ref="AF1857:AH1857"/>
    <mergeCell ref="AF1858:AH1858"/>
    <mergeCell ref="AF1859:AH1859"/>
    <mergeCell ref="AF1860:AH1860"/>
    <mergeCell ref="AF1861:AH1861"/>
    <mergeCell ref="AC1855:AD1855"/>
    <mergeCell ref="AC1856:AD1856"/>
    <mergeCell ref="AC1857:AD1857"/>
    <mergeCell ref="AC1858:AD1858"/>
    <mergeCell ref="AC1859:AD1859"/>
    <mergeCell ref="AC1860:AD1860"/>
    <mergeCell ref="R1862:S1862"/>
    <mergeCell ref="R1863:S1863"/>
    <mergeCell ref="T1855:U1855"/>
    <mergeCell ref="V1855:W1855"/>
    <mergeCell ref="X1855:Z1860"/>
    <mergeCell ref="AA1855:AB1860"/>
    <mergeCell ref="T1857:U1857"/>
    <mergeCell ref="V1857:W1857"/>
    <mergeCell ref="X1861:Z1863"/>
    <mergeCell ref="AA1861:AB1863"/>
    <mergeCell ref="K1863:L1863"/>
    <mergeCell ref="M1855:O1855"/>
    <mergeCell ref="P1855:Q1855"/>
    <mergeCell ref="R1855:S1855"/>
    <mergeCell ref="R1856:S1856"/>
    <mergeCell ref="R1857:S1857"/>
    <mergeCell ref="R1858:S1858"/>
    <mergeCell ref="R1859:S1859"/>
    <mergeCell ref="R1860:S1860"/>
    <mergeCell ref="R1861:S1861"/>
    <mergeCell ref="K1857:L1857"/>
    <mergeCell ref="K1858:L1858"/>
    <mergeCell ref="K1859:L1859"/>
    <mergeCell ref="K1860:L1860"/>
    <mergeCell ref="K1861:L1861"/>
    <mergeCell ref="K1862:L1862"/>
    <mergeCell ref="I1862:J1862"/>
    <mergeCell ref="M1862:O1862"/>
    <mergeCell ref="P1862:Q1862"/>
    <mergeCell ref="T1862:U1862"/>
    <mergeCell ref="V1862:W1862"/>
    <mergeCell ref="I1863:J1863"/>
    <mergeCell ref="M1863:O1863"/>
    <mergeCell ref="P1863:Q1863"/>
    <mergeCell ref="T1863:U1863"/>
    <mergeCell ref="V1863:W1863"/>
    <mergeCell ref="I1860:J1860"/>
    <mergeCell ref="M1860:O1860"/>
    <mergeCell ref="P1860:Q1860"/>
    <mergeCell ref="T1860:U1860"/>
    <mergeCell ref="V1860:W1860"/>
    <mergeCell ref="I1861:J1861"/>
    <mergeCell ref="M1861:O1861"/>
    <mergeCell ref="P1861:Q1861"/>
    <mergeCell ref="T1861:U1861"/>
    <mergeCell ref="V1861:W1861"/>
    <mergeCell ref="I1858:J1858"/>
    <mergeCell ref="M1858:O1858"/>
    <mergeCell ref="P1858:Q1858"/>
    <mergeCell ref="T1858:U1858"/>
    <mergeCell ref="V1858:W1858"/>
    <mergeCell ref="I1859:J1859"/>
    <mergeCell ref="M1859:O1859"/>
    <mergeCell ref="P1859:Q1859"/>
    <mergeCell ref="T1859:U1859"/>
    <mergeCell ref="V1859:W1859"/>
    <mergeCell ref="AF1862:AH1862"/>
    <mergeCell ref="AF1863:AH1863"/>
    <mergeCell ref="I1856:J1856"/>
    <mergeCell ref="M1856:O1856"/>
    <mergeCell ref="P1856:Q1856"/>
    <mergeCell ref="T1856:U1856"/>
    <mergeCell ref="V1856:W1856"/>
    <mergeCell ref="I1857:J1857"/>
    <mergeCell ref="M1857:O1857"/>
    <mergeCell ref="P1857:Q1857"/>
    <mergeCell ref="AC1861:AD1861"/>
    <mergeCell ref="AC1862:AD1862"/>
    <mergeCell ref="AC1863:AD1863"/>
    <mergeCell ref="I1868:J1868"/>
    <mergeCell ref="M1868:O1868"/>
    <mergeCell ref="P1868:Q1868"/>
    <mergeCell ref="R1868:S1868"/>
    <mergeCell ref="T1868:U1868"/>
    <mergeCell ref="V1868:W1868"/>
    <mergeCell ref="V1866:W1866"/>
    <mergeCell ref="I1867:J1867"/>
    <mergeCell ref="M1867:O1867"/>
    <mergeCell ref="P1867:Q1867"/>
    <mergeCell ref="R1867:S1867"/>
    <mergeCell ref="T1867:U1867"/>
    <mergeCell ref="V1867:W1867"/>
    <mergeCell ref="AF1871:AH1871"/>
    <mergeCell ref="AF1872:AH1872"/>
    <mergeCell ref="AI1864:AI1940"/>
    <mergeCell ref="I1865:J1865"/>
    <mergeCell ref="M1865:O1865"/>
    <mergeCell ref="P1865:Q1865"/>
    <mergeCell ref="R1865:S1865"/>
    <mergeCell ref="T1865:U1865"/>
    <mergeCell ref="V1865:W1865"/>
    <mergeCell ref="I1866:J1866"/>
    <mergeCell ref="AC1870:AD1870"/>
    <mergeCell ref="AC1871:AD1871"/>
    <mergeCell ref="AC1872:AD1872"/>
    <mergeCell ref="AF1864:AH1864"/>
    <mergeCell ref="AF1865:AH1865"/>
    <mergeCell ref="AF1866:AH1866"/>
    <mergeCell ref="AF1867:AH1867"/>
    <mergeCell ref="AF1868:AH1868"/>
    <mergeCell ref="AF1869:AH1869"/>
    <mergeCell ref="AF1870:AH1870"/>
    <mergeCell ref="X1864:Z1869"/>
    <mergeCell ref="AA1864:AB1869"/>
    <mergeCell ref="AC1864:AD1864"/>
    <mergeCell ref="AC1865:AD1865"/>
    <mergeCell ref="AC1866:AD1866"/>
    <mergeCell ref="AC1867:AD1867"/>
    <mergeCell ref="AC1868:AD1868"/>
    <mergeCell ref="AC1869:AD1869"/>
    <mergeCell ref="K1872:L1872"/>
    <mergeCell ref="M1864:O1864"/>
    <mergeCell ref="P1864:Q1864"/>
    <mergeCell ref="R1864:S1864"/>
    <mergeCell ref="T1864:U1864"/>
    <mergeCell ref="V1864:W1864"/>
    <mergeCell ref="M1866:O1866"/>
    <mergeCell ref="P1866:Q1866"/>
    <mergeCell ref="R1866:S1866"/>
    <mergeCell ref="T1866:U1866"/>
    <mergeCell ref="I1864:J1864"/>
    <mergeCell ref="K1864:L1864"/>
    <mergeCell ref="K1865:L1865"/>
    <mergeCell ref="K1866:L1866"/>
    <mergeCell ref="K1867:L1867"/>
    <mergeCell ref="K1868:L1868"/>
    <mergeCell ref="K1869:L1869"/>
    <mergeCell ref="K1870:L1870"/>
    <mergeCell ref="K1871:L1871"/>
    <mergeCell ref="B1878:D1878"/>
    <mergeCell ref="B1879:D1879"/>
    <mergeCell ref="B1880:D1880"/>
    <mergeCell ref="B1881:D1881"/>
    <mergeCell ref="B1882:D1882"/>
    <mergeCell ref="B1883:D1883"/>
    <mergeCell ref="P1872:Q1872"/>
    <mergeCell ref="R1872:S1872"/>
    <mergeCell ref="T1872:U1872"/>
    <mergeCell ref="V1872:W1872"/>
    <mergeCell ref="A1873:A1883"/>
    <mergeCell ref="B1873:D1873"/>
    <mergeCell ref="B1874:D1874"/>
    <mergeCell ref="B1875:D1875"/>
    <mergeCell ref="B1876:D1876"/>
    <mergeCell ref="B1877:D1877"/>
    <mergeCell ref="X1870:Z1872"/>
    <mergeCell ref="AA1870:AB1872"/>
    <mergeCell ref="I1871:J1871"/>
    <mergeCell ref="M1871:O1871"/>
    <mergeCell ref="P1871:Q1871"/>
    <mergeCell ref="R1871:S1871"/>
    <mergeCell ref="T1871:U1871"/>
    <mergeCell ref="V1871:W1871"/>
    <mergeCell ref="I1872:J1872"/>
    <mergeCell ref="M1872:O1872"/>
    <mergeCell ref="I1870:J1870"/>
    <mergeCell ref="M1870:O1870"/>
    <mergeCell ref="P1870:Q1870"/>
    <mergeCell ref="R1870:S1870"/>
    <mergeCell ref="T1870:U1870"/>
    <mergeCell ref="V1870:W1870"/>
    <mergeCell ref="I1869:J1869"/>
    <mergeCell ref="M1869:O1869"/>
    <mergeCell ref="P1869:Q1869"/>
    <mergeCell ref="R1869:S1869"/>
    <mergeCell ref="T1869:U1869"/>
    <mergeCell ref="V1869:W1869"/>
    <mergeCell ref="F1864:H1872"/>
    <mergeCell ref="A1864:A1872"/>
    <mergeCell ref="B1864:D1864"/>
    <mergeCell ref="B1865:D1865"/>
    <mergeCell ref="B1866:D1866"/>
    <mergeCell ref="B1867:D1867"/>
    <mergeCell ref="B1868:D1868"/>
    <mergeCell ref="B1869:D1869"/>
    <mergeCell ref="B1870:D1870"/>
    <mergeCell ref="B1871:D1871"/>
    <mergeCell ref="B1872:D1872"/>
    <mergeCell ref="I1875:J1875"/>
    <mergeCell ref="M1875:O1875"/>
    <mergeCell ref="P1875:Q1875"/>
    <mergeCell ref="T1875:U1875"/>
    <mergeCell ref="V1875:W1875"/>
    <mergeCell ref="I1876:J1876"/>
    <mergeCell ref="M1876:O1876"/>
    <mergeCell ref="P1876:Q1876"/>
    <mergeCell ref="T1876:U1876"/>
    <mergeCell ref="V1876:W1876"/>
    <mergeCell ref="R1878:S1878"/>
    <mergeCell ref="R1879:S1879"/>
    <mergeCell ref="R1880:S1880"/>
    <mergeCell ref="R1881:S1881"/>
    <mergeCell ref="R1882:S1882"/>
    <mergeCell ref="R1883:S1883"/>
    <mergeCell ref="M1874:O1874"/>
    <mergeCell ref="P1874:Q1874"/>
    <mergeCell ref="R1874:S1874"/>
    <mergeCell ref="R1875:S1875"/>
    <mergeCell ref="R1876:S1876"/>
    <mergeCell ref="R1877:S1877"/>
    <mergeCell ref="K1878:L1878"/>
    <mergeCell ref="K1879:L1879"/>
    <mergeCell ref="K1880:L1880"/>
    <mergeCell ref="K1881:L1881"/>
    <mergeCell ref="K1882:L1882"/>
    <mergeCell ref="K1883:L1883"/>
    <mergeCell ref="AC1881:AD1881"/>
    <mergeCell ref="AC1882:AD1882"/>
    <mergeCell ref="AC1883:AD1883"/>
    <mergeCell ref="AF1873:AH1883"/>
    <mergeCell ref="F1874:H1883"/>
    <mergeCell ref="I1874:J1874"/>
    <mergeCell ref="K1874:L1874"/>
    <mergeCell ref="K1875:L1875"/>
    <mergeCell ref="K1876:L1876"/>
    <mergeCell ref="K1877:L1877"/>
    <mergeCell ref="AC1875:AD1875"/>
    <mergeCell ref="AC1876:AD1876"/>
    <mergeCell ref="AC1877:AD1877"/>
    <mergeCell ref="AC1878:AD1878"/>
    <mergeCell ref="AC1879:AD1879"/>
    <mergeCell ref="AC1880:AD1880"/>
    <mergeCell ref="T1873:U1873"/>
    <mergeCell ref="V1873:W1873"/>
    <mergeCell ref="X1873:Z1873"/>
    <mergeCell ref="AA1873:AB1873"/>
    <mergeCell ref="AC1873:AD1873"/>
    <mergeCell ref="AC1874:AD1874"/>
    <mergeCell ref="T1874:U1874"/>
    <mergeCell ref="V1874:W1874"/>
    <mergeCell ref="X1874:Z1878"/>
    <mergeCell ref="AA1874:AB1878"/>
    <mergeCell ref="F1873:H1873"/>
    <mergeCell ref="I1873:J1873"/>
    <mergeCell ref="K1873:L1873"/>
    <mergeCell ref="M1873:O1873"/>
    <mergeCell ref="P1873:Q1873"/>
    <mergeCell ref="R1873:S1873"/>
    <mergeCell ref="T1882:U1882"/>
    <mergeCell ref="V1882:W1882"/>
    <mergeCell ref="I1883:J1883"/>
    <mergeCell ref="M1883:O1883"/>
    <mergeCell ref="P1883:Q1883"/>
    <mergeCell ref="T1883:U1883"/>
    <mergeCell ref="V1883:W1883"/>
    <mergeCell ref="AA1879:AB1883"/>
    <mergeCell ref="I1880:J1880"/>
    <mergeCell ref="M1880:O1880"/>
    <mergeCell ref="P1880:Q1880"/>
    <mergeCell ref="T1880:U1880"/>
    <mergeCell ref="V1880:W1880"/>
    <mergeCell ref="I1881:J1881"/>
    <mergeCell ref="M1881:O1881"/>
    <mergeCell ref="P1881:Q1881"/>
    <mergeCell ref="T1881:U1881"/>
    <mergeCell ref="I1879:J1879"/>
    <mergeCell ref="M1879:O1879"/>
    <mergeCell ref="P1879:Q1879"/>
    <mergeCell ref="T1879:U1879"/>
    <mergeCell ref="V1879:W1879"/>
    <mergeCell ref="X1879:Z1883"/>
    <mergeCell ref="V1881:W1881"/>
    <mergeCell ref="I1882:J1882"/>
    <mergeCell ref="M1882:O1882"/>
    <mergeCell ref="P1882:Q1882"/>
    <mergeCell ref="I1877:J1877"/>
    <mergeCell ref="M1877:O1877"/>
    <mergeCell ref="P1877:Q1877"/>
    <mergeCell ref="T1877:U1877"/>
    <mergeCell ref="V1877:W1877"/>
    <mergeCell ref="I1878:J1878"/>
    <mergeCell ref="M1878:O1878"/>
    <mergeCell ref="P1878:Q1878"/>
    <mergeCell ref="T1878:U1878"/>
    <mergeCell ref="V1878:W1878"/>
    <mergeCell ref="I1885:J1885"/>
    <mergeCell ref="M1885:O1885"/>
    <mergeCell ref="P1885:Q1885"/>
    <mergeCell ref="T1885:U1885"/>
    <mergeCell ref="V1885:W1885"/>
    <mergeCell ref="I1886:J1886"/>
    <mergeCell ref="M1886:O1886"/>
    <mergeCell ref="P1886:Q1886"/>
    <mergeCell ref="T1886:U1886"/>
    <mergeCell ref="V1886:W1886"/>
    <mergeCell ref="AF1884:AH1884"/>
    <mergeCell ref="AF1885:AH1885"/>
    <mergeCell ref="AF1886:AH1886"/>
    <mergeCell ref="AF1887:AH1887"/>
    <mergeCell ref="AF1888:AH1888"/>
    <mergeCell ref="AF1889:AH1889"/>
    <mergeCell ref="AC1884:AD1884"/>
    <mergeCell ref="AC1885:AD1885"/>
    <mergeCell ref="AC1886:AD1886"/>
    <mergeCell ref="AC1887:AD1887"/>
    <mergeCell ref="AC1888:AD1888"/>
    <mergeCell ref="AC1889:AD1889"/>
    <mergeCell ref="R1888:S1888"/>
    <mergeCell ref="R1889:S1889"/>
    <mergeCell ref="T1884:U1884"/>
    <mergeCell ref="V1884:W1884"/>
    <mergeCell ref="X1884:Z1886"/>
    <mergeCell ref="AA1884:AB1886"/>
    <mergeCell ref="AA1887:AB1889"/>
    <mergeCell ref="V1888:W1888"/>
    <mergeCell ref="M1884:O1884"/>
    <mergeCell ref="P1884:Q1884"/>
    <mergeCell ref="R1884:S1884"/>
    <mergeCell ref="R1885:S1885"/>
    <mergeCell ref="R1886:S1886"/>
    <mergeCell ref="R1887:S1887"/>
    <mergeCell ref="I1884:J1884"/>
    <mergeCell ref="K1884:L1884"/>
    <mergeCell ref="K1885:L1885"/>
    <mergeCell ref="K1886:L1886"/>
    <mergeCell ref="K1887:L1887"/>
    <mergeCell ref="K1888:L1888"/>
    <mergeCell ref="K1889:L1889"/>
    <mergeCell ref="B1900:D1900"/>
    <mergeCell ref="B1901:D1901"/>
    <mergeCell ref="E1890:E1892"/>
    <mergeCell ref="F1890:H1901"/>
    <mergeCell ref="I1890:J1890"/>
    <mergeCell ref="K1890:L1890"/>
    <mergeCell ref="K1891:L1891"/>
    <mergeCell ref="K1892:L1892"/>
    <mergeCell ref="K1893:L1893"/>
    <mergeCell ref="K1894:L1894"/>
    <mergeCell ref="B1894:D1894"/>
    <mergeCell ref="B1895:D1895"/>
    <mergeCell ref="B1896:D1896"/>
    <mergeCell ref="B1897:D1897"/>
    <mergeCell ref="B1898:D1898"/>
    <mergeCell ref="B1899:D1899"/>
    <mergeCell ref="I1889:J1889"/>
    <mergeCell ref="M1889:O1889"/>
    <mergeCell ref="P1889:Q1889"/>
    <mergeCell ref="T1889:U1889"/>
    <mergeCell ref="V1889:W1889"/>
    <mergeCell ref="A1890:A1901"/>
    <mergeCell ref="B1890:D1890"/>
    <mergeCell ref="B1891:D1891"/>
    <mergeCell ref="B1892:D1892"/>
    <mergeCell ref="B1893:D1893"/>
    <mergeCell ref="I1887:J1887"/>
    <mergeCell ref="M1887:O1887"/>
    <mergeCell ref="P1887:Q1887"/>
    <mergeCell ref="T1887:U1887"/>
    <mergeCell ref="V1887:W1887"/>
    <mergeCell ref="X1887:Z1889"/>
    <mergeCell ref="I1888:J1888"/>
    <mergeCell ref="M1888:O1888"/>
    <mergeCell ref="P1888:Q1888"/>
    <mergeCell ref="T1888:U1888"/>
    <mergeCell ref="A1884:A1889"/>
    <mergeCell ref="B1884:D1889"/>
    <mergeCell ref="F1884:H1889"/>
    <mergeCell ref="V1895:W1895"/>
    <mergeCell ref="E1896:E1898"/>
    <mergeCell ref="I1896:J1896"/>
    <mergeCell ref="M1896:O1896"/>
    <mergeCell ref="P1896:Q1896"/>
    <mergeCell ref="R1896:S1896"/>
    <mergeCell ref="R1897:S1897"/>
    <mergeCell ref="R1898:S1898"/>
    <mergeCell ref="X1893:Z1895"/>
    <mergeCell ref="AA1893:AB1895"/>
    <mergeCell ref="I1894:J1894"/>
    <mergeCell ref="M1894:O1894"/>
    <mergeCell ref="P1894:Q1894"/>
    <mergeCell ref="T1894:U1894"/>
    <mergeCell ref="V1894:W1894"/>
    <mergeCell ref="I1895:J1895"/>
    <mergeCell ref="M1895:O1895"/>
    <mergeCell ref="P1895:Q1895"/>
    <mergeCell ref="P1892:Q1892"/>
    <mergeCell ref="T1892:U1892"/>
    <mergeCell ref="V1892:W1892"/>
    <mergeCell ref="E1893:E1895"/>
    <mergeCell ref="I1893:J1893"/>
    <mergeCell ref="M1893:O1893"/>
    <mergeCell ref="P1893:Q1893"/>
    <mergeCell ref="T1893:U1893"/>
    <mergeCell ref="V1893:W1893"/>
    <mergeCell ref="T1895:U1895"/>
    <mergeCell ref="AC1899:AD1899"/>
    <mergeCell ref="AC1900:AD1900"/>
    <mergeCell ref="AC1901:AD1901"/>
    <mergeCell ref="AF1890:AH1901"/>
    <mergeCell ref="I1891:J1891"/>
    <mergeCell ref="M1891:O1891"/>
    <mergeCell ref="P1891:Q1891"/>
    <mergeCell ref="T1891:U1891"/>
    <mergeCell ref="V1891:W1891"/>
    <mergeCell ref="I1892:J1892"/>
    <mergeCell ref="AC1893:AD1893"/>
    <mergeCell ref="AC1894:AD1894"/>
    <mergeCell ref="AC1895:AD1895"/>
    <mergeCell ref="AC1896:AD1896"/>
    <mergeCell ref="AC1897:AD1897"/>
    <mergeCell ref="AC1898:AD1898"/>
    <mergeCell ref="T1890:U1890"/>
    <mergeCell ref="V1890:W1890"/>
    <mergeCell ref="X1890:Z1892"/>
    <mergeCell ref="AA1890:AB1892"/>
    <mergeCell ref="AC1890:AD1890"/>
    <mergeCell ref="AC1891:AD1891"/>
    <mergeCell ref="AC1892:AD1892"/>
    <mergeCell ref="K1901:L1901"/>
    <mergeCell ref="M1890:O1890"/>
    <mergeCell ref="P1890:Q1890"/>
    <mergeCell ref="R1890:S1890"/>
    <mergeCell ref="R1891:S1891"/>
    <mergeCell ref="R1892:S1892"/>
    <mergeCell ref="R1893:S1893"/>
    <mergeCell ref="R1894:S1894"/>
    <mergeCell ref="R1895:S1895"/>
    <mergeCell ref="M1892:O1892"/>
    <mergeCell ref="K1895:L1895"/>
    <mergeCell ref="K1896:L1896"/>
    <mergeCell ref="K1897:L1897"/>
    <mergeCell ref="AA1899:AB1901"/>
    <mergeCell ref="I1900:J1900"/>
    <mergeCell ref="M1900:O1900"/>
    <mergeCell ref="P1900:Q1900"/>
    <mergeCell ref="T1900:U1900"/>
    <mergeCell ref="V1900:W1900"/>
    <mergeCell ref="I1901:J1901"/>
    <mergeCell ref="M1901:O1901"/>
    <mergeCell ref="P1901:Q1901"/>
    <mergeCell ref="T1901:U1901"/>
    <mergeCell ref="E1899:E1901"/>
    <mergeCell ref="I1899:J1899"/>
    <mergeCell ref="M1899:O1899"/>
    <mergeCell ref="P1899:Q1899"/>
    <mergeCell ref="T1899:U1899"/>
    <mergeCell ref="V1899:W1899"/>
    <mergeCell ref="V1901:W1901"/>
    <mergeCell ref="AA1896:AB1898"/>
    <mergeCell ref="I1897:J1897"/>
    <mergeCell ref="M1897:O1897"/>
    <mergeCell ref="P1897:Q1897"/>
    <mergeCell ref="T1897:U1897"/>
    <mergeCell ref="V1897:W1897"/>
    <mergeCell ref="I1898:J1898"/>
    <mergeCell ref="M1898:O1898"/>
    <mergeCell ref="P1898:Q1898"/>
    <mergeCell ref="T1898:U1898"/>
    <mergeCell ref="R1899:S1899"/>
    <mergeCell ref="R1900:S1900"/>
    <mergeCell ref="R1901:S1901"/>
    <mergeCell ref="T1896:U1896"/>
    <mergeCell ref="V1896:W1896"/>
    <mergeCell ref="X1896:Z1898"/>
    <mergeCell ref="V1898:W1898"/>
    <mergeCell ref="X1899:Z1901"/>
    <mergeCell ref="K1898:L1898"/>
    <mergeCell ref="K1899:L1899"/>
    <mergeCell ref="K1900:L1900"/>
    <mergeCell ref="AF1902:AH1910"/>
    <mergeCell ref="M1903:O1903"/>
    <mergeCell ref="P1903:Q1903"/>
    <mergeCell ref="T1903:U1903"/>
    <mergeCell ref="V1903:W1903"/>
    <mergeCell ref="M1904:O1904"/>
    <mergeCell ref="P1904:Q1904"/>
    <mergeCell ref="T1904:U1904"/>
    <mergeCell ref="V1904:W1904"/>
    <mergeCell ref="T1905:U1905"/>
    <mergeCell ref="AC1905:AD1905"/>
    <mergeCell ref="AC1906:AD1906"/>
    <mergeCell ref="AC1907:AD1907"/>
    <mergeCell ref="AC1908:AD1908"/>
    <mergeCell ref="AC1909:AD1909"/>
    <mergeCell ref="AC1910:AD1910"/>
    <mergeCell ref="T1902:U1902"/>
    <mergeCell ref="V1902:W1902"/>
    <mergeCell ref="X1902:Z1904"/>
    <mergeCell ref="AA1902:AB1904"/>
    <mergeCell ref="AC1902:AD1902"/>
    <mergeCell ref="AC1903:AD1903"/>
    <mergeCell ref="AC1904:AD1904"/>
    <mergeCell ref="K1902:L1902"/>
    <mergeCell ref="K1903:L1903"/>
    <mergeCell ref="K1904:L1904"/>
    <mergeCell ref="M1902:O1902"/>
    <mergeCell ref="P1902:Q1902"/>
    <mergeCell ref="R1902:S1902"/>
    <mergeCell ref="R1903:S1903"/>
    <mergeCell ref="R1904:S1904"/>
    <mergeCell ref="A1902:A1910"/>
    <mergeCell ref="B1902:D1910"/>
    <mergeCell ref="F1902:H1904"/>
    <mergeCell ref="I1902:J1902"/>
    <mergeCell ref="I1903:J1903"/>
    <mergeCell ref="I1904:J1904"/>
    <mergeCell ref="F1905:H1907"/>
    <mergeCell ref="I1905:J1905"/>
    <mergeCell ref="I1906:J1906"/>
    <mergeCell ref="I1907:J1907"/>
    <mergeCell ref="M1910:O1910"/>
    <mergeCell ref="P1910:Q1910"/>
    <mergeCell ref="R1910:S1910"/>
    <mergeCell ref="T1910:U1910"/>
    <mergeCell ref="V1910:W1910"/>
    <mergeCell ref="A1911:A1916"/>
    <mergeCell ref="B1911:D1911"/>
    <mergeCell ref="B1912:D1912"/>
    <mergeCell ref="B1913:D1913"/>
    <mergeCell ref="B1914:D1914"/>
    <mergeCell ref="R1908:S1908"/>
    <mergeCell ref="T1908:U1908"/>
    <mergeCell ref="V1908:W1908"/>
    <mergeCell ref="X1908:Z1910"/>
    <mergeCell ref="AA1908:AB1910"/>
    <mergeCell ref="M1909:O1909"/>
    <mergeCell ref="P1909:Q1909"/>
    <mergeCell ref="R1909:S1909"/>
    <mergeCell ref="T1909:U1909"/>
    <mergeCell ref="V1909:W1909"/>
    <mergeCell ref="V1907:W1907"/>
    <mergeCell ref="F1908:H1910"/>
    <mergeCell ref="I1908:J1908"/>
    <mergeCell ref="I1909:J1909"/>
    <mergeCell ref="I1910:J1910"/>
    <mergeCell ref="K1908:L1908"/>
    <mergeCell ref="K1909:L1909"/>
    <mergeCell ref="K1910:L1910"/>
    <mergeCell ref="M1908:O1908"/>
    <mergeCell ref="P1908:Q1908"/>
    <mergeCell ref="V1905:W1905"/>
    <mergeCell ref="X1905:Z1907"/>
    <mergeCell ref="AA1905:AB1907"/>
    <mergeCell ref="M1906:O1906"/>
    <mergeCell ref="P1906:Q1906"/>
    <mergeCell ref="T1906:U1906"/>
    <mergeCell ref="V1906:W1906"/>
    <mergeCell ref="M1907:O1907"/>
    <mergeCell ref="P1907:Q1907"/>
    <mergeCell ref="T1907:U1907"/>
    <mergeCell ref="K1905:L1905"/>
    <mergeCell ref="K1906:L1906"/>
    <mergeCell ref="K1907:L1907"/>
    <mergeCell ref="M1905:O1905"/>
    <mergeCell ref="P1905:Q1905"/>
    <mergeCell ref="R1905:S1905"/>
    <mergeCell ref="R1906:S1906"/>
    <mergeCell ref="R1907:S1907"/>
    <mergeCell ref="X1914:Z1916"/>
    <mergeCell ref="I1915:J1915"/>
    <mergeCell ref="M1915:O1915"/>
    <mergeCell ref="P1915:Q1915"/>
    <mergeCell ref="T1915:U1915"/>
    <mergeCell ref="AF1911:AH1916"/>
    <mergeCell ref="I1912:J1912"/>
    <mergeCell ref="M1912:O1912"/>
    <mergeCell ref="P1912:Q1912"/>
    <mergeCell ref="T1912:U1912"/>
    <mergeCell ref="V1912:W1912"/>
    <mergeCell ref="I1913:J1913"/>
    <mergeCell ref="M1913:O1913"/>
    <mergeCell ref="P1913:Q1913"/>
    <mergeCell ref="T1913:U1913"/>
    <mergeCell ref="AC1911:AD1911"/>
    <mergeCell ref="AC1912:AD1912"/>
    <mergeCell ref="AC1913:AD1913"/>
    <mergeCell ref="AC1914:AD1914"/>
    <mergeCell ref="AC1915:AD1915"/>
    <mergeCell ref="AC1916:AD1916"/>
    <mergeCell ref="R1915:S1915"/>
    <mergeCell ref="R1916:S1916"/>
    <mergeCell ref="T1911:U1911"/>
    <mergeCell ref="V1911:W1911"/>
    <mergeCell ref="X1911:Z1913"/>
    <mergeCell ref="AA1911:AB1913"/>
    <mergeCell ref="V1913:W1913"/>
    <mergeCell ref="AA1914:AB1916"/>
    <mergeCell ref="V1915:W1915"/>
    <mergeCell ref="M1911:O1911"/>
    <mergeCell ref="P1911:Q1911"/>
    <mergeCell ref="R1911:S1911"/>
    <mergeCell ref="R1912:S1912"/>
    <mergeCell ref="R1913:S1913"/>
    <mergeCell ref="R1914:S1914"/>
    <mergeCell ref="I1911:J1911"/>
    <mergeCell ref="K1911:L1911"/>
    <mergeCell ref="K1912:L1912"/>
    <mergeCell ref="K1913:L1913"/>
    <mergeCell ref="K1914:L1914"/>
    <mergeCell ref="K1915:L1915"/>
    <mergeCell ref="K1916:L1916"/>
    <mergeCell ref="P1917:Q1917"/>
    <mergeCell ref="M1919:O1919"/>
    <mergeCell ref="P1919:Q1919"/>
    <mergeCell ref="M1920:O1920"/>
    <mergeCell ref="P1920:Q1920"/>
    <mergeCell ref="I1917:J1917"/>
    <mergeCell ref="K1917:L1917"/>
    <mergeCell ref="K1918:L1918"/>
    <mergeCell ref="K1919:L1919"/>
    <mergeCell ref="K1920:L1920"/>
    <mergeCell ref="K1921:L1921"/>
    <mergeCell ref="I1919:J1919"/>
    <mergeCell ref="I1920:J1920"/>
    <mergeCell ref="B1921:D1921"/>
    <mergeCell ref="B1922:D1922"/>
    <mergeCell ref="B1923:D1923"/>
    <mergeCell ref="B1924:D1924"/>
    <mergeCell ref="B1925:D1925"/>
    <mergeCell ref="F1917:H1925"/>
    <mergeCell ref="I1916:J1916"/>
    <mergeCell ref="M1916:O1916"/>
    <mergeCell ref="P1916:Q1916"/>
    <mergeCell ref="T1916:U1916"/>
    <mergeCell ref="V1916:W1916"/>
    <mergeCell ref="A1917:A1925"/>
    <mergeCell ref="B1917:D1917"/>
    <mergeCell ref="B1918:D1918"/>
    <mergeCell ref="B1919:D1919"/>
    <mergeCell ref="B1920:D1920"/>
    <mergeCell ref="I1914:J1914"/>
    <mergeCell ref="M1914:O1914"/>
    <mergeCell ref="P1914:Q1914"/>
    <mergeCell ref="T1914:U1914"/>
    <mergeCell ref="V1914:W1914"/>
    <mergeCell ref="B1915:D1915"/>
    <mergeCell ref="B1916:D1916"/>
    <mergeCell ref="F1911:H1916"/>
    <mergeCell ref="I1924:J1924"/>
    <mergeCell ref="M1924:O1924"/>
    <mergeCell ref="P1924:Q1924"/>
    <mergeCell ref="T1924:U1924"/>
    <mergeCell ref="V1924:W1924"/>
    <mergeCell ref="I1925:J1925"/>
    <mergeCell ref="M1925:O1925"/>
    <mergeCell ref="P1925:Q1925"/>
    <mergeCell ref="T1925:U1925"/>
    <mergeCell ref="V1925:W1925"/>
    <mergeCell ref="T1922:U1922"/>
    <mergeCell ref="V1922:W1922"/>
    <mergeCell ref="I1923:J1923"/>
    <mergeCell ref="M1923:O1923"/>
    <mergeCell ref="P1923:Q1923"/>
    <mergeCell ref="T1923:U1923"/>
    <mergeCell ref="V1923:W1923"/>
    <mergeCell ref="X1920:Z1925"/>
    <mergeCell ref="AA1920:AB1925"/>
    <mergeCell ref="I1921:J1921"/>
    <mergeCell ref="M1921:O1921"/>
    <mergeCell ref="P1921:Q1921"/>
    <mergeCell ref="T1921:U1921"/>
    <mergeCell ref="V1921:W1921"/>
    <mergeCell ref="I1922:J1922"/>
    <mergeCell ref="M1922:O1922"/>
    <mergeCell ref="P1922:Q1922"/>
    <mergeCell ref="AC1922:AD1922"/>
    <mergeCell ref="AC1923:AD1923"/>
    <mergeCell ref="AC1924:AD1924"/>
    <mergeCell ref="AC1925:AD1925"/>
    <mergeCell ref="AF1917:AH1925"/>
    <mergeCell ref="I1918:J1918"/>
    <mergeCell ref="M1918:O1918"/>
    <mergeCell ref="P1918:Q1918"/>
    <mergeCell ref="T1918:U1918"/>
    <mergeCell ref="V1918:W1918"/>
    <mergeCell ref="AA1917:AB1919"/>
    <mergeCell ref="AC1917:AD1917"/>
    <mergeCell ref="AC1918:AD1918"/>
    <mergeCell ref="AC1919:AD1919"/>
    <mergeCell ref="AC1920:AD1920"/>
    <mergeCell ref="AC1921:AD1921"/>
    <mergeCell ref="R1923:S1923"/>
    <mergeCell ref="R1924:S1924"/>
    <mergeCell ref="R1925:S1925"/>
    <mergeCell ref="T1917:U1917"/>
    <mergeCell ref="V1917:W1917"/>
    <mergeCell ref="X1917:Z1919"/>
    <mergeCell ref="T1919:U1919"/>
    <mergeCell ref="V1919:W1919"/>
    <mergeCell ref="T1920:U1920"/>
    <mergeCell ref="V1920:W1920"/>
    <mergeCell ref="R1917:S1917"/>
    <mergeCell ref="R1918:S1918"/>
    <mergeCell ref="R1919:S1919"/>
    <mergeCell ref="R1920:S1920"/>
    <mergeCell ref="R1921:S1921"/>
    <mergeCell ref="R1922:S1922"/>
    <mergeCell ref="K1922:L1922"/>
    <mergeCell ref="K1923:L1923"/>
    <mergeCell ref="K1924:L1924"/>
    <mergeCell ref="K1925:L1925"/>
    <mergeCell ref="M1917:O1917"/>
    <mergeCell ref="M1928:O1928"/>
    <mergeCell ref="P1928:Q1928"/>
    <mergeCell ref="T1928:U1928"/>
    <mergeCell ref="V1928:W1928"/>
    <mergeCell ref="I1929:J1929"/>
    <mergeCell ref="M1929:O1929"/>
    <mergeCell ref="P1929:Q1929"/>
    <mergeCell ref="T1929:U1929"/>
    <mergeCell ref="V1929:W1929"/>
    <mergeCell ref="AC1932:AD1932"/>
    <mergeCell ref="AC1933:AD1933"/>
    <mergeCell ref="AC1934:AD1934"/>
    <mergeCell ref="AF1926:AH1934"/>
    <mergeCell ref="I1927:J1927"/>
    <mergeCell ref="M1927:O1927"/>
    <mergeCell ref="P1927:Q1927"/>
    <mergeCell ref="T1927:U1927"/>
    <mergeCell ref="V1927:W1927"/>
    <mergeCell ref="I1928:J1928"/>
    <mergeCell ref="AC1926:AD1926"/>
    <mergeCell ref="AC1927:AD1927"/>
    <mergeCell ref="AC1928:AD1928"/>
    <mergeCell ref="AC1929:AD1929"/>
    <mergeCell ref="AC1930:AD1930"/>
    <mergeCell ref="AC1931:AD1931"/>
    <mergeCell ref="R1939:S1939"/>
    <mergeCell ref="R1940:S1940"/>
    <mergeCell ref="T1926:U1926"/>
    <mergeCell ref="V1926:W1926"/>
    <mergeCell ref="X1926:Z1928"/>
    <mergeCell ref="AA1926:AB1928"/>
    <mergeCell ref="X1929:Z1934"/>
    <mergeCell ref="AA1929:AB1934"/>
    <mergeCell ref="AA1938:AB1940"/>
    <mergeCell ref="V1939:W1939"/>
    <mergeCell ref="R1933:S1933"/>
    <mergeCell ref="R1934:S1934"/>
    <mergeCell ref="R1935:S1935"/>
    <mergeCell ref="R1936:S1936"/>
    <mergeCell ref="R1937:S1937"/>
    <mergeCell ref="R1938:S1938"/>
    <mergeCell ref="K1934:L1934"/>
    <mergeCell ref="M1926:O1926"/>
    <mergeCell ref="P1926:Q1926"/>
    <mergeCell ref="R1926:S1926"/>
    <mergeCell ref="R1927:S1927"/>
    <mergeCell ref="R1928:S1928"/>
    <mergeCell ref="R1929:S1929"/>
    <mergeCell ref="R1930:S1930"/>
    <mergeCell ref="R1931:S1931"/>
    <mergeCell ref="R1932:S1932"/>
    <mergeCell ref="I1926:J1926"/>
    <mergeCell ref="K1926:L1926"/>
    <mergeCell ref="K1927:L1927"/>
    <mergeCell ref="K1928:L1928"/>
    <mergeCell ref="K1929:L1929"/>
    <mergeCell ref="K1930:L1930"/>
    <mergeCell ref="K1931:L1931"/>
    <mergeCell ref="K1932:L1932"/>
    <mergeCell ref="K1933:L1933"/>
    <mergeCell ref="K1936:L1936"/>
    <mergeCell ref="K1937:L1937"/>
    <mergeCell ref="K1938:L1938"/>
    <mergeCell ref="K1939:L1939"/>
    <mergeCell ref="K1940:L1940"/>
    <mergeCell ref="I1934:J1934"/>
    <mergeCell ref="M1934:O1934"/>
    <mergeCell ref="P1934:Q1934"/>
    <mergeCell ref="T1934:U1934"/>
    <mergeCell ref="V1934:W1934"/>
    <mergeCell ref="A1935:A1940"/>
    <mergeCell ref="B1935:D1935"/>
    <mergeCell ref="B1936:D1936"/>
    <mergeCell ref="B1937:D1937"/>
    <mergeCell ref="B1938:D1938"/>
    <mergeCell ref="I1932:J1932"/>
    <mergeCell ref="M1932:O1932"/>
    <mergeCell ref="P1932:Q1932"/>
    <mergeCell ref="T1932:U1932"/>
    <mergeCell ref="V1932:W1932"/>
    <mergeCell ref="I1933:J1933"/>
    <mergeCell ref="M1933:O1933"/>
    <mergeCell ref="P1933:Q1933"/>
    <mergeCell ref="T1933:U1933"/>
    <mergeCell ref="V1933:W1933"/>
    <mergeCell ref="I1930:J1930"/>
    <mergeCell ref="M1930:O1930"/>
    <mergeCell ref="P1930:Q1930"/>
    <mergeCell ref="T1930:U1930"/>
    <mergeCell ref="V1930:W1930"/>
    <mergeCell ref="I1931:J1931"/>
    <mergeCell ref="M1931:O1931"/>
    <mergeCell ref="P1931:Q1931"/>
    <mergeCell ref="T1931:U1931"/>
    <mergeCell ref="V1931:W1931"/>
    <mergeCell ref="F1926:H1934"/>
    <mergeCell ref="A1926:A1934"/>
    <mergeCell ref="B1926:D1926"/>
    <mergeCell ref="B1927:D1927"/>
    <mergeCell ref="B1928:D1928"/>
    <mergeCell ref="B1929:D1929"/>
    <mergeCell ref="B1930:D1930"/>
    <mergeCell ref="B1931:D1931"/>
    <mergeCell ref="B1932:D1932"/>
    <mergeCell ref="B1933:D1933"/>
    <mergeCell ref="B1934:D1934"/>
    <mergeCell ref="AC1941:AD1941"/>
    <mergeCell ref="AF1941:AH1941"/>
    <mergeCell ref="A1942:A1944"/>
    <mergeCell ref="B1942:D1944"/>
    <mergeCell ref="F1942:H1944"/>
    <mergeCell ref="I1942:J1942"/>
    <mergeCell ref="K1942:L1942"/>
    <mergeCell ref="K1943:L1943"/>
    <mergeCell ref="K1944:L1944"/>
    <mergeCell ref="M1942:O1942"/>
    <mergeCell ref="P1941:Q1941"/>
    <mergeCell ref="R1941:S1941"/>
    <mergeCell ref="T1941:U1941"/>
    <mergeCell ref="V1941:W1941"/>
    <mergeCell ref="Y1941:Z1941"/>
    <mergeCell ref="AA1941:AB1941"/>
    <mergeCell ref="I1940:J1940"/>
    <mergeCell ref="M1940:O1940"/>
    <mergeCell ref="P1940:Q1940"/>
    <mergeCell ref="T1940:U1940"/>
    <mergeCell ref="V1940:W1940"/>
    <mergeCell ref="B1941:D1941"/>
    <mergeCell ref="F1941:H1941"/>
    <mergeCell ref="I1941:J1941"/>
    <mergeCell ref="K1941:L1941"/>
    <mergeCell ref="M1941:O1941"/>
    <mergeCell ref="I1938:J1938"/>
    <mergeCell ref="M1938:O1938"/>
    <mergeCell ref="P1938:Q1938"/>
    <mergeCell ref="T1938:U1938"/>
    <mergeCell ref="V1938:W1938"/>
    <mergeCell ref="X1938:Z1940"/>
    <mergeCell ref="I1939:J1939"/>
    <mergeCell ref="M1939:O1939"/>
    <mergeCell ref="P1939:Q1939"/>
    <mergeCell ref="T1939:U1939"/>
    <mergeCell ref="AF1935:AH1940"/>
    <mergeCell ref="I1936:J1936"/>
    <mergeCell ref="M1936:O1936"/>
    <mergeCell ref="P1936:Q1936"/>
    <mergeCell ref="T1936:U1936"/>
    <mergeCell ref="V1936:W1936"/>
    <mergeCell ref="I1937:J1937"/>
    <mergeCell ref="M1937:O1937"/>
    <mergeCell ref="P1937:Q1937"/>
    <mergeCell ref="T1937:U1937"/>
    <mergeCell ref="AC1935:AD1935"/>
    <mergeCell ref="AC1936:AD1936"/>
    <mergeCell ref="AC1937:AD1937"/>
    <mergeCell ref="AC1938:AD1938"/>
    <mergeCell ref="AC1939:AD1939"/>
    <mergeCell ref="AC1940:AD1940"/>
    <mergeCell ref="M1935:O1935"/>
    <mergeCell ref="P1935:Q1935"/>
    <mergeCell ref="T1935:U1935"/>
    <mergeCell ref="V1935:W1935"/>
    <mergeCell ref="X1935:Z1937"/>
    <mergeCell ref="AA1935:AB1937"/>
    <mergeCell ref="V1937:W1937"/>
    <mergeCell ref="B1939:D1939"/>
    <mergeCell ref="B1940:D1940"/>
    <mergeCell ref="F1935:H1940"/>
    <mergeCell ref="I1935:J1935"/>
    <mergeCell ref="K1935:L1935"/>
    <mergeCell ref="F1945:H1950"/>
    <mergeCell ref="I1945:J1945"/>
    <mergeCell ref="K1945:L1945"/>
    <mergeCell ref="K1946:L1946"/>
    <mergeCell ref="K1947:L1947"/>
    <mergeCell ref="K1948:L1948"/>
    <mergeCell ref="K1949:L1949"/>
    <mergeCell ref="K1950:L1950"/>
    <mergeCell ref="I1948:J1948"/>
    <mergeCell ref="A1945:A1950"/>
    <mergeCell ref="B1945:D1945"/>
    <mergeCell ref="B1946:D1946"/>
    <mergeCell ref="B1947:D1947"/>
    <mergeCell ref="B1948:D1948"/>
    <mergeCell ref="B1949:D1949"/>
    <mergeCell ref="B1950:D1950"/>
    <mergeCell ref="I1943:J1943"/>
    <mergeCell ref="M1943:O1943"/>
    <mergeCell ref="P1943:Q1943"/>
    <mergeCell ref="T1943:U1943"/>
    <mergeCell ref="V1943:W1943"/>
    <mergeCell ref="I1944:J1944"/>
    <mergeCell ref="M1944:O1944"/>
    <mergeCell ref="P1944:Q1944"/>
    <mergeCell ref="T1944:U1944"/>
    <mergeCell ref="V1944:W1944"/>
    <mergeCell ref="X1942:Z1944"/>
    <mergeCell ref="AA1942:AB1944"/>
    <mergeCell ref="AC1942:AD1944"/>
    <mergeCell ref="AE1942:AE1944"/>
    <mergeCell ref="AF1942:AH1944"/>
    <mergeCell ref="AI1942:AI2013"/>
    <mergeCell ref="AC1945:AD1945"/>
    <mergeCell ref="AC1946:AD1946"/>
    <mergeCell ref="AC1947:AD1947"/>
    <mergeCell ref="AC1948:AD1948"/>
    <mergeCell ref="P1942:Q1942"/>
    <mergeCell ref="R1942:S1942"/>
    <mergeCell ref="R1943:S1943"/>
    <mergeCell ref="R1944:S1944"/>
    <mergeCell ref="T1942:U1942"/>
    <mergeCell ref="V1942:W1942"/>
    <mergeCell ref="X1949:Z1949"/>
    <mergeCell ref="AA1949:AB1949"/>
    <mergeCell ref="I1950:J1950"/>
    <mergeCell ref="M1950:O1950"/>
    <mergeCell ref="P1950:Q1950"/>
    <mergeCell ref="T1950:U1950"/>
    <mergeCell ref="V1950:W1950"/>
    <mergeCell ref="X1950:Z1950"/>
    <mergeCell ref="AA1950:AB1950"/>
    <mergeCell ref="T1948:U1948"/>
    <mergeCell ref="V1948:W1948"/>
    <mergeCell ref="I1949:J1949"/>
    <mergeCell ref="M1949:O1949"/>
    <mergeCell ref="P1949:Q1949"/>
    <mergeCell ref="T1949:U1949"/>
    <mergeCell ref="V1949:W1949"/>
    <mergeCell ref="AC1949:AD1949"/>
    <mergeCell ref="AC1950:AD1950"/>
    <mergeCell ref="AF1945:AH1950"/>
    <mergeCell ref="I1946:J1946"/>
    <mergeCell ref="M1946:O1946"/>
    <mergeCell ref="P1946:Q1946"/>
    <mergeCell ref="T1946:U1946"/>
    <mergeCell ref="V1946:W1946"/>
    <mergeCell ref="I1947:J1947"/>
    <mergeCell ref="M1947:O1947"/>
    <mergeCell ref="R1949:S1949"/>
    <mergeCell ref="R1950:S1950"/>
    <mergeCell ref="T1945:U1945"/>
    <mergeCell ref="V1945:W1945"/>
    <mergeCell ref="X1945:Z1946"/>
    <mergeCell ref="AA1945:AB1946"/>
    <mergeCell ref="T1947:U1947"/>
    <mergeCell ref="V1947:W1947"/>
    <mergeCell ref="X1947:Z1948"/>
    <mergeCell ref="AA1947:AB1948"/>
    <mergeCell ref="M1945:O1945"/>
    <mergeCell ref="P1945:Q1945"/>
    <mergeCell ref="R1945:S1945"/>
    <mergeCell ref="R1946:S1946"/>
    <mergeCell ref="R1947:S1947"/>
    <mergeCell ref="R1948:S1948"/>
    <mergeCell ref="P1947:Q1947"/>
    <mergeCell ref="M1948:O1948"/>
    <mergeCell ref="P1948:Q1948"/>
    <mergeCell ref="I1956:J1956"/>
    <mergeCell ref="M1956:O1956"/>
    <mergeCell ref="P1956:Q1956"/>
    <mergeCell ref="T1956:U1956"/>
    <mergeCell ref="V1956:W1956"/>
    <mergeCell ref="A1957:A1962"/>
    <mergeCell ref="B1957:D1957"/>
    <mergeCell ref="B1958:D1958"/>
    <mergeCell ref="B1959:D1959"/>
    <mergeCell ref="B1960:D1960"/>
    <mergeCell ref="I1954:J1954"/>
    <mergeCell ref="M1954:O1954"/>
    <mergeCell ref="P1954:Q1954"/>
    <mergeCell ref="T1954:U1954"/>
    <mergeCell ref="V1954:W1954"/>
    <mergeCell ref="X1954:Z1956"/>
    <mergeCell ref="I1955:J1955"/>
    <mergeCell ref="M1955:O1955"/>
    <mergeCell ref="P1955:Q1955"/>
    <mergeCell ref="T1955:U1955"/>
    <mergeCell ref="AF1951:AH1956"/>
    <mergeCell ref="I1952:J1952"/>
    <mergeCell ref="M1952:O1952"/>
    <mergeCell ref="P1952:Q1952"/>
    <mergeCell ref="T1952:U1952"/>
    <mergeCell ref="V1952:W1952"/>
    <mergeCell ref="I1953:J1953"/>
    <mergeCell ref="M1953:O1953"/>
    <mergeCell ref="P1953:Q1953"/>
    <mergeCell ref="T1953:U1953"/>
    <mergeCell ref="AC1951:AD1951"/>
    <mergeCell ref="AC1952:AD1952"/>
    <mergeCell ref="AC1953:AD1953"/>
    <mergeCell ref="AC1954:AD1954"/>
    <mergeCell ref="AC1955:AD1955"/>
    <mergeCell ref="AC1956:AD1956"/>
    <mergeCell ref="R1955:S1955"/>
    <mergeCell ref="R1956:S1956"/>
    <mergeCell ref="T1951:U1951"/>
    <mergeCell ref="V1951:W1951"/>
    <mergeCell ref="X1951:Z1953"/>
    <mergeCell ref="AA1951:AB1953"/>
    <mergeCell ref="V1953:W1953"/>
    <mergeCell ref="AA1954:AB1956"/>
    <mergeCell ref="V1955:W1955"/>
    <mergeCell ref="M1951:O1951"/>
    <mergeCell ref="P1951:Q1951"/>
    <mergeCell ref="R1951:S1951"/>
    <mergeCell ref="R1952:S1952"/>
    <mergeCell ref="R1953:S1953"/>
    <mergeCell ref="R1954:S1954"/>
    <mergeCell ref="A1951:A1956"/>
    <mergeCell ref="B1951:D1956"/>
    <mergeCell ref="F1951:H1956"/>
    <mergeCell ref="I1951:J1951"/>
    <mergeCell ref="K1951:L1951"/>
    <mergeCell ref="K1952:L1952"/>
    <mergeCell ref="K1953:L1953"/>
    <mergeCell ref="K1954:L1954"/>
    <mergeCell ref="K1955:L1955"/>
    <mergeCell ref="K1956:L1956"/>
    <mergeCell ref="I1962:J1962"/>
    <mergeCell ref="M1962:O1962"/>
    <mergeCell ref="P1962:Q1962"/>
    <mergeCell ref="T1962:U1962"/>
    <mergeCell ref="V1962:W1962"/>
    <mergeCell ref="A1963:A1968"/>
    <mergeCell ref="B1963:D1963"/>
    <mergeCell ref="B1964:D1964"/>
    <mergeCell ref="B1965:D1965"/>
    <mergeCell ref="B1966:D1966"/>
    <mergeCell ref="I1960:J1960"/>
    <mergeCell ref="M1960:O1960"/>
    <mergeCell ref="P1960:Q1960"/>
    <mergeCell ref="T1960:U1960"/>
    <mergeCell ref="V1960:W1960"/>
    <mergeCell ref="X1960:Z1962"/>
    <mergeCell ref="I1961:J1961"/>
    <mergeCell ref="M1961:O1961"/>
    <mergeCell ref="P1961:Q1961"/>
    <mergeCell ref="T1961:U1961"/>
    <mergeCell ref="AF1957:AH1962"/>
    <mergeCell ref="I1958:J1958"/>
    <mergeCell ref="M1958:O1958"/>
    <mergeCell ref="P1958:Q1958"/>
    <mergeCell ref="T1958:U1958"/>
    <mergeCell ref="V1958:W1958"/>
    <mergeCell ref="I1959:J1959"/>
    <mergeCell ref="M1959:O1959"/>
    <mergeCell ref="P1959:Q1959"/>
    <mergeCell ref="T1959:U1959"/>
    <mergeCell ref="AC1957:AD1957"/>
    <mergeCell ref="AC1958:AD1958"/>
    <mergeCell ref="AC1959:AD1959"/>
    <mergeCell ref="AC1960:AD1960"/>
    <mergeCell ref="AC1961:AD1961"/>
    <mergeCell ref="AC1962:AD1962"/>
    <mergeCell ref="R1961:S1961"/>
    <mergeCell ref="R1962:S1962"/>
    <mergeCell ref="T1957:U1957"/>
    <mergeCell ref="V1957:W1957"/>
    <mergeCell ref="X1957:Z1959"/>
    <mergeCell ref="AA1957:AB1959"/>
    <mergeCell ref="V1959:W1959"/>
    <mergeCell ref="AA1960:AB1962"/>
    <mergeCell ref="V1961:W1961"/>
    <mergeCell ref="M1957:O1957"/>
    <mergeCell ref="P1957:Q1957"/>
    <mergeCell ref="R1957:S1957"/>
    <mergeCell ref="R1958:S1958"/>
    <mergeCell ref="R1959:S1959"/>
    <mergeCell ref="R1960:S1960"/>
    <mergeCell ref="B1961:D1961"/>
    <mergeCell ref="B1962:D1962"/>
    <mergeCell ref="F1957:H1962"/>
    <mergeCell ref="I1957:J1957"/>
    <mergeCell ref="K1957:L1957"/>
    <mergeCell ref="K1958:L1958"/>
    <mergeCell ref="K1959:L1959"/>
    <mergeCell ref="K1960:L1960"/>
    <mergeCell ref="K1961:L1961"/>
    <mergeCell ref="K1962:L1962"/>
    <mergeCell ref="I1968:J1968"/>
    <mergeCell ref="M1968:O1968"/>
    <mergeCell ref="P1968:Q1968"/>
    <mergeCell ref="T1968:U1968"/>
    <mergeCell ref="V1968:W1968"/>
    <mergeCell ref="A1969:A1974"/>
    <mergeCell ref="B1969:D1969"/>
    <mergeCell ref="B1970:D1970"/>
    <mergeCell ref="B1971:D1971"/>
    <mergeCell ref="B1972:D1972"/>
    <mergeCell ref="I1966:J1966"/>
    <mergeCell ref="M1966:O1966"/>
    <mergeCell ref="P1966:Q1966"/>
    <mergeCell ref="T1966:U1966"/>
    <mergeCell ref="V1966:W1966"/>
    <mergeCell ref="X1966:Z1968"/>
    <mergeCell ref="I1967:J1967"/>
    <mergeCell ref="M1967:O1967"/>
    <mergeCell ref="P1967:Q1967"/>
    <mergeCell ref="T1967:U1967"/>
    <mergeCell ref="AF1963:AH1968"/>
    <mergeCell ref="I1964:J1964"/>
    <mergeCell ref="M1964:O1964"/>
    <mergeCell ref="P1964:Q1964"/>
    <mergeCell ref="T1964:U1964"/>
    <mergeCell ref="V1964:W1964"/>
    <mergeCell ref="I1965:J1965"/>
    <mergeCell ref="M1965:O1965"/>
    <mergeCell ref="P1965:Q1965"/>
    <mergeCell ref="T1965:U1965"/>
    <mergeCell ref="AC1963:AD1963"/>
    <mergeCell ref="AC1964:AD1964"/>
    <mergeCell ref="AC1965:AD1965"/>
    <mergeCell ref="AC1966:AD1966"/>
    <mergeCell ref="AC1967:AD1967"/>
    <mergeCell ref="AC1968:AD1968"/>
    <mergeCell ref="R1967:S1967"/>
    <mergeCell ref="R1968:S1968"/>
    <mergeCell ref="T1963:U1963"/>
    <mergeCell ref="V1963:W1963"/>
    <mergeCell ref="X1963:Z1965"/>
    <mergeCell ref="AA1963:AB1965"/>
    <mergeCell ref="V1965:W1965"/>
    <mergeCell ref="AA1966:AB1968"/>
    <mergeCell ref="V1967:W1967"/>
    <mergeCell ref="M1963:O1963"/>
    <mergeCell ref="P1963:Q1963"/>
    <mergeCell ref="R1963:S1963"/>
    <mergeCell ref="R1964:S1964"/>
    <mergeCell ref="R1965:S1965"/>
    <mergeCell ref="R1966:S1966"/>
    <mergeCell ref="B1967:D1967"/>
    <mergeCell ref="B1968:D1968"/>
    <mergeCell ref="F1963:H1968"/>
    <mergeCell ref="I1963:J1963"/>
    <mergeCell ref="K1963:L1963"/>
    <mergeCell ref="K1964:L1964"/>
    <mergeCell ref="K1965:L1965"/>
    <mergeCell ref="K1966:L1966"/>
    <mergeCell ref="K1967:L1967"/>
    <mergeCell ref="K1968:L1968"/>
    <mergeCell ref="I1974:J1974"/>
    <mergeCell ref="M1974:O1974"/>
    <mergeCell ref="P1974:Q1974"/>
    <mergeCell ref="T1974:U1974"/>
    <mergeCell ref="V1974:W1974"/>
    <mergeCell ref="A1975:A1980"/>
    <mergeCell ref="B1975:D1980"/>
    <mergeCell ref="F1975:H1980"/>
    <mergeCell ref="I1975:J1975"/>
    <mergeCell ref="K1975:L1975"/>
    <mergeCell ref="I1972:J1972"/>
    <mergeCell ref="M1972:O1972"/>
    <mergeCell ref="P1972:Q1972"/>
    <mergeCell ref="T1972:U1972"/>
    <mergeCell ref="V1972:W1972"/>
    <mergeCell ref="X1972:Z1974"/>
    <mergeCell ref="I1973:J1973"/>
    <mergeCell ref="M1973:O1973"/>
    <mergeCell ref="P1973:Q1973"/>
    <mergeCell ref="T1973:U1973"/>
    <mergeCell ref="AF1969:AH1974"/>
    <mergeCell ref="I1970:J1970"/>
    <mergeCell ref="M1970:O1970"/>
    <mergeCell ref="P1970:Q1970"/>
    <mergeCell ref="T1970:U1970"/>
    <mergeCell ref="V1970:W1970"/>
    <mergeCell ref="I1971:J1971"/>
    <mergeCell ref="M1971:O1971"/>
    <mergeCell ref="P1971:Q1971"/>
    <mergeCell ref="T1971:U1971"/>
    <mergeCell ref="AC1969:AD1969"/>
    <mergeCell ref="AC1970:AD1970"/>
    <mergeCell ref="AC1971:AD1971"/>
    <mergeCell ref="AC1972:AD1972"/>
    <mergeCell ref="AC1973:AD1973"/>
    <mergeCell ref="AC1974:AD1974"/>
    <mergeCell ref="R1973:S1973"/>
    <mergeCell ref="R1974:S1974"/>
    <mergeCell ref="T1969:U1969"/>
    <mergeCell ref="V1969:W1969"/>
    <mergeCell ref="X1969:Z1971"/>
    <mergeCell ref="AA1969:AB1971"/>
    <mergeCell ref="V1971:W1971"/>
    <mergeCell ref="AA1972:AB1974"/>
    <mergeCell ref="V1973:W1973"/>
    <mergeCell ref="M1969:O1969"/>
    <mergeCell ref="P1969:Q1969"/>
    <mergeCell ref="R1969:S1969"/>
    <mergeCell ref="R1970:S1970"/>
    <mergeCell ref="R1971:S1971"/>
    <mergeCell ref="R1972:S1972"/>
    <mergeCell ref="B1973:D1973"/>
    <mergeCell ref="B1974:D1974"/>
    <mergeCell ref="F1969:H1974"/>
    <mergeCell ref="I1969:J1969"/>
    <mergeCell ref="K1969:L1969"/>
    <mergeCell ref="K1970:L1970"/>
    <mergeCell ref="K1971:L1971"/>
    <mergeCell ref="K1972:L1972"/>
    <mergeCell ref="K1973:L1973"/>
    <mergeCell ref="K1974:L1974"/>
    <mergeCell ref="AA1978:AB1980"/>
    <mergeCell ref="I1979:J1979"/>
    <mergeCell ref="M1979:O1979"/>
    <mergeCell ref="P1979:Q1979"/>
    <mergeCell ref="T1979:U1979"/>
    <mergeCell ref="V1979:W1979"/>
    <mergeCell ref="I1980:J1980"/>
    <mergeCell ref="M1980:O1980"/>
    <mergeCell ref="P1980:Q1980"/>
    <mergeCell ref="T1980:U1980"/>
    <mergeCell ref="I1978:J1978"/>
    <mergeCell ref="M1978:O1978"/>
    <mergeCell ref="P1978:Q1978"/>
    <mergeCell ref="T1978:U1978"/>
    <mergeCell ref="V1978:W1978"/>
    <mergeCell ref="X1978:Z1980"/>
    <mergeCell ref="V1980:W1980"/>
    <mergeCell ref="I1976:J1976"/>
    <mergeCell ref="M1976:O1976"/>
    <mergeCell ref="P1976:Q1976"/>
    <mergeCell ref="T1976:U1976"/>
    <mergeCell ref="V1976:W1976"/>
    <mergeCell ref="I1977:J1977"/>
    <mergeCell ref="M1977:O1977"/>
    <mergeCell ref="P1977:Q1977"/>
    <mergeCell ref="T1977:U1977"/>
    <mergeCell ref="V1977:W1977"/>
    <mergeCell ref="AC1980:AD1980"/>
    <mergeCell ref="AF1975:AH1975"/>
    <mergeCell ref="AF1976:AH1976"/>
    <mergeCell ref="AF1977:AH1977"/>
    <mergeCell ref="AF1978:AH1978"/>
    <mergeCell ref="AF1979:AH1979"/>
    <mergeCell ref="AF1980:AH1980"/>
    <mergeCell ref="R1980:S1980"/>
    <mergeCell ref="T1975:U1975"/>
    <mergeCell ref="V1975:W1975"/>
    <mergeCell ref="X1975:Z1977"/>
    <mergeCell ref="AA1975:AB1977"/>
    <mergeCell ref="AC1975:AD1975"/>
    <mergeCell ref="AC1976:AD1976"/>
    <mergeCell ref="AC1977:AD1977"/>
    <mergeCell ref="AC1978:AD1978"/>
    <mergeCell ref="AC1979:AD1979"/>
    <mergeCell ref="P1975:Q1975"/>
    <mergeCell ref="R1975:S1975"/>
    <mergeCell ref="R1976:S1976"/>
    <mergeCell ref="R1977:S1977"/>
    <mergeCell ref="R1978:S1978"/>
    <mergeCell ref="R1979:S1979"/>
    <mergeCell ref="K1976:L1976"/>
    <mergeCell ref="K1977:L1977"/>
    <mergeCell ref="K1978:L1978"/>
    <mergeCell ref="K1979:L1979"/>
    <mergeCell ref="K1980:L1980"/>
    <mergeCell ref="M1975:O1975"/>
    <mergeCell ref="AF1981:AH1989"/>
    <mergeCell ref="I1982:J1982"/>
    <mergeCell ref="M1982:O1982"/>
    <mergeCell ref="P1982:Q1982"/>
    <mergeCell ref="T1982:U1982"/>
    <mergeCell ref="V1982:W1982"/>
    <mergeCell ref="I1983:J1983"/>
    <mergeCell ref="M1983:O1983"/>
    <mergeCell ref="P1983:Q1983"/>
    <mergeCell ref="T1983:U1983"/>
    <mergeCell ref="AC1984:AD1984"/>
    <mergeCell ref="AC1985:AD1985"/>
    <mergeCell ref="AC1986:AD1986"/>
    <mergeCell ref="AC1987:AD1987"/>
    <mergeCell ref="AC1988:AD1988"/>
    <mergeCell ref="AC1989:AD1989"/>
    <mergeCell ref="V1981:W1981"/>
    <mergeCell ref="X1981:Z1982"/>
    <mergeCell ref="AA1981:AB1982"/>
    <mergeCell ref="AC1981:AD1981"/>
    <mergeCell ref="AC1982:AD1982"/>
    <mergeCell ref="AC1983:AD1983"/>
    <mergeCell ref="V1983:W1983"/>
    <mergeCell ref="X1983:Z1983"/>
    <mergeCell ref="AA1983:AB1983"/>
    <mergeCell ref="M1981:O1981"/>
    <mergeCell ref="P1981:Q1981"/>
    <mergeCell ref="R1981:S1981"/>
    <mergeCell ref="R1982:S1982"/>
    <mergeCell ref="R1983:S1983"/>
    <mergeCell ref="T1981:U1981"/>
    <mergeCell ref="A1981:A1989"/>
    <mergeCell ref="B1981:D1989"/>
    <mergeCell ref="F1981:H1983"/>
    <mergeCell ref="I1981:J1981"/>
    <mergeCell ref="K1981:L1981"/>
    <mergeCell ref="K1982:L1982"/>
    <mergeCell ref="K1983:L1983"/>
    <mergeCell ref="F1984:H1986"/>
    <mergeCell ref="I1984:J1984"/>
    <mergeCell ref="K1984:L1984"/>
    <mergeCell ref="T1987:U1987"/>
    <mergeCell ref="V1987:W1987"/>
    <mergeCell ref="X1987:Z1988"/>
    <mergeCell ref="AA1987:AB1988"/>
    <mergeCell ref="I1988:J1988"/>
    <mergeCell ref="M1988:O1988"/>
    <mergeCell ref="P1988:Q1988"/>
    <mergeCell ref="T1988:U1988"/>
    <mergeCell ref="V1988:W1988"/>
    <mergeCell ref="AA1986:AB1986"/>
    <mergeCell ref="F1987:H1989"/>
    <mergeCell ref="I1987:J1987"/>
    <mergeCell ref="K1987:L1987"/>
    <mergeCell ref="K1988:L1988"/>
    <mergeCell ref="K1989:L1989"/>
    <mergeCell ref="M1987:O1987"/>
    <mergeCell ref="P1987:Q1987"/>
    <mergeCell ref="R1987:S1987"/>
    <mergeCell ref="R1988:S1988"/>
    <mergeCell ref="I1986:J1986"/>
    <mergeCell ref="M1986:O1986"/>
    <mergeCell ref="P1986:Q1986"/>
    <mergeCell ref="T1986:U1986"/>
    <mergeCell ref="V1986:W1986"/>
    <mergeCell ref="X1986:Z1986"/>
    <mergeCell ref="T1984:U1984"/>
    <mergeCell ref="V1984:W1984"/>
    <mergeCell ref="X1984:Z1985"/>
    <mergeCell ref="AA1984:AB1985"/>
    <mergeCell ref="I1985:J1985"/>
    <mergeCell ref="M1985:O1985"/>
    <mergeCell ref="P1985:Q1985"/>
    <mergeCell ref="T1985:U1985"/>
    <mergeCell ref="V1985:W1985"/>
    <mergeCell ref="K1985:L1985"/>
    <mergeCell ref="K1986:L1986"/>
    <mergeCell ref="M1984:O1984"/>
    <mergeCell ref="P1984:Q1984"/>
    <mergeCell ref="R1984:S1984"/>
    <mergeCell ref="R1985:S1985"/>
    <mergeCell ref="R1986:S1986"/>
    <mergeCell ref="M1990:O1990"/>
    <mergeCell ref="P1990:Q1990"/>
    <mergeCell ref="R1990:S1990"/>
    <mergeCell ref="R1991:S1991"/>
    <mergeCell ref="R1992:S1992"/>
    <mergeCell ref="R1993:S1993"/>
    <mergeCell ref="R1994:S1994"/>
    <mergeCell ref="R1995:S1995"/>
    <mergeCell ref="R1996:S1996"/>
    <mergeCell ref="K2001:L2001"/>
    <mergeCell ref="K2002:L2002"/>
    <mergeCell ref="K2003:L2003"/>
    <mergeCell ref="K2004:L2004"/>
    <mergeCell ref="K2005:L2005"/>
    <mergeCell ref="K2006:L2006"/>
    <mergeCell ref="K1995:L1995"/>
    <mergeCell ref="K1996:L1996"/>
    <mergeCell ref="K1997:L1997"/>
    <mergeCell ref="K1998:L1998"/>
    <mergeCell ref="K1999:L1999"/>
    <mergeCell ref="K2000:L2000"/>
    <mergeCell ref="AA1989:AB1989"/>
    <mergeCell ref="A1990:A2007"/>
    <mergeCell ref="B1990:D2007"/>
    <mergeCell ref="F1990:H2007"/>
    <mergeCell ref="I1990:J1990"/>
    <mergeCell ref="K1990:L1990"/>
    <mergeCell ref="K1991:L1991"/>
    <mergeCell ref="K1992:L1992"/>
    <mergeCell ref="K1993:L1993"/>
    <mergeCell ref="K1994:L1994"/>
    <mergeCell ref="I1989:J1989"/>
    <mergeCell ref="M1989:O1989"/>
    <mergeCell ref="P1989:Q1989"/>
    <mergeCell ref="T1989:U1989"/>
    <mergeCell ref="V1989:W1989"/>
    <mergeCell ref="X1989:Z1989"/>
    <mergeCell ref="R1989:S1989"/>
    <mergeCell ref="AF1990:AH1990"/>
    <mergeCell ref="AF1991:AH1991"/>
    <mergeCell ref="AF1992:AH1992"/>
    <mergeCell ref="AF1993:AH1993"/>
    <mergeCell ref="AF1994:AH1994"/>
    <mergeCell ref="AF1995:AH1995"/>
    <mergeCell ref="AF1996:AH1996"/>
    <mergeCell ref="AC1999:AD1999"/>
    <mergeCell ref="AC2000:AD2000"/>
    <mergeCell ref="AC2001:AD2001"/>
    <mergeCell ref="AC2002:AD2002"/>
    <mergeCell ref="AC2003:AD2003"/>
    <mergeCell ref="AC2004:AD2004"/>
    <mergeCell ref="AC1993:AD1993"/>
    <mergeCell ref="AC1994:AD1994"/>
    <mergeCell ref="AC1995:AD1995"/>
    <mergeCell ref="AC1996:AD1996"/>
    <mergeCell ref="AC1997:AD1997"/>
    <mergeCell ref="AC1998:AD1998"/>
    <mergeCell ref="V1990:W1990"/>
    <mergeCell ref="X1990:Z1991"/>
    <mergeCell ref="AA1990:AB1991"/>
    <mergeCell ref="AC1990:AD1990"/>
    <mergeCell ref="AC1991:AD1991"/>
    <mergeCell ref="AC1992:AD1992"/>
    <mergeCell ref="AA1992:AB1993"/>
    <mergeCell ref="V1993:W1993"/>
    <mergeCell ref="R2003:S2003"/>
    <mergeCell ref="R2004:S2004"/>
    <mergeCell ref="R2005:S2005"/>
    <mergeCell ref="R2006:S2006"/>
    <mergeCell ref="R2007:S2007"/>
    <mergeCell ref="T1990:U1990"/>
    <mergeCell ref="R1997:S1997"/>
    <mergeCell ref="R1998:S1998"/>
    <mergeCell ref="R1999:S1999"/>
    <mergeCell ref="R2000:S2000"/>
    <mergeCell ref="R2001:S2001"/>
    <mergeCell ref="R2002:S2002"/>
    <mergeCell ref="AA1994:AB1995"/>
    <mergeCell ref="I1995:J1995"/>
    <mergeCell ref="M1995:O1995"/>
    <mergeCell ref="P1995:Q1995"/>
    <mergeCell ref="T1995:U1995"/>
    <mergeCell ref="V1995:W1995"/>
    <mergeCell ref="I1994:J1994"/>
    <mergeCell ref="M1994:O1994"/>
    <mergeCell ref="P1994:Q1994"/>
    <mergeCell ref="T1994:U1994"/>
    <mergeCell ref="V1994:W1994"/>
    <mergeCell ref="X1994:Z1995"/>
    <mergeCell ref="I1992:J1992"/>
    <mergeCell ref="M1992:O1992"/>
    <mergeCell ref="P1992:Q1992"/>
    <mergeCell ref="T1992:U1992"/>
    <mergeCell ref="V1992:W1992"/>
    <mergeCell ref="X1992:Z1993"/>
    <mergeCell ref="I1993:J1993"/>
    <mergeCell ref="M1993:O1993"/>
    <mergeCell ref="P1993:Q1993"/>
    <mergeCell ref="T1993:U1993"/>
    <mergeCell ref="AF2003:AH2003"/>
    <mergeCell ref="AF2004:AH2004"/>
    <mergeCell ref="AF2005:AH2005"/>
    <mergeCell ref="AF2006:AH2006"/>
    <mergeCell ref="AF2007:AH2007"/>
    <mergeCell ref="I1991:J1991"/>
    <mergeCell ref="M1991:O1991"/>
    <mergeCell ref="P1991:Q1991"/>
    <mergeCell ref="T1991:U1991"/>
    <mergeCell ref="V1991:W1991"/>
    <mergeCell ref="AF1997:AH1997"/>
    <mergeCell ref="AF1998:AH1998"/>
    <mergeCell ref="AF1999:AH1999"/>
    <mergeCell ref="AF2000:AH2000"/>
    <mergeCell ref="AF2001:AH2001"/>
    <mergeCell ref="AF2002:AH2002"/>
    <mergeCell ref="AC2005:AD2005"/>
    <mergeCell ref="AC2006:AD2006"/>
    <mergeCell ref="AC2007:AD2007"/>
    <mergeCell ref="K2007:L2007"/>
    <mergeCell ref="AA2000:AB2001"/>
    <mergeCell ref="I2001:J2001"/>
    <mergeCell ref="M2001:O2001"/>
    <mergeCell ref="P2001:Q2001"/>
    <mergeCell ref="T2001:U2001"/>
    <mergeCell ref="V2001:W2001"/>
    <mergeCell ref="I2000:J2000"/>
    <mergeCell ref="M2000:O2000"/>
    <mergeCell ref="P2000:Q2000"/>
    <mergeCell ref="T2000:U2000"/>
    <mergeCell ref="V2000:W2000"/>
    <mergeCell ref="X2000:Z2001"/>
    <mergeCell ref="AA1998:AB1999"/>
    <mergeCell ref="I1999:J1999"/>
    <mergeCell ref="M1999:O1999"/>
    <mergeCell ref="P1999:Q1999"/>
    <mergeCell ref="T1999:U1999"/>
    <mergeCell ref="V1999:W1999"/>
    <mergeCell ref="I1998:J1998"/>
    <mergeCell ref="M1998:O1998"/>
    <mergeCell ref="P1998:Q1998"/>
    <mergeCell ref="T1998:U1998"/>
    <mergeCell ref="V1998:W1998"/>
    <mergeCell ref="X1998:Z1999"/>
    <mergeCell ref="AA1996:AB1997"/>
    <mergeCell ref="I1997:J1997"/>
    <mergeCell ref="M1997:O1997"/>
    <mergeCell ref="P1997:Q1997"/>
    <mergeCell ref="T1997:U1997"/>
    <mergeCell ref="V1997:W1997"/>
    <mergeCell ref="I1996:J1996"/>
    <mergeCell ref="M1996:O1996"/>
    <mergeCell ref="P1996:Q1996"/>
    <mergeCell ref="T1996:U1996"/>
    <mergeCell ref="V1996:W1996"/>
    <mergeCell ref="X1996:Z1997"/>
    <mergeCell ref="AA2006:AB2006"/>
    <mergeCell ref="I2007:J2007"/>
    <mergeCell ref="M2007:O2007"/>
    <mergeCell ref="P2007:Q2007"/>
    <mergeCell ref="T2007:U2007"/>
    <mergeCell ref="V2007:W2007"/>
    <mergeCell ref="X2007:Z2007"/>
    <mergeCell ref="AA2007:AB2007"/>
    <mergeCell ref="I2006:J2006"/>
    <mergeCell ref="M2006:O2006"/>
    <mergeCell ref="P2006:Q2006"/>
    <mergeCell ref="T2006:U2006"/>
    <mergeCell ref="V2006:W2006"/>
    <mergeCell ref="X2006:Z2006"/>
    <mergeCell ref="AA2004:AB2004"/>
    <mergeCell ref="I2005:J2005"/>
    <mergeCell ref="M2005:O2005"/>
    <mergeCell ref="P2005:Q2005"/>
    <mergeCell ref="T2005:U2005"/>
    <mergeCell ref="V2005:W2005"/>
    <mergeCell ref="X2005:Z2005"/>
    <mergeCell ref="AA2005:AB2005"/>
    <mergeCell ref="I2004:J2004"/>
    <mergeCell ref="M2004:O2004"/>
    <mergeCell ref="P2004:Q2004"/>
    <mergeCell ref="T2004:U2004"/>
    <mergeCell ref="V2004:W2004"/>
    <mergeCell ref="X2004:Z2004"/>
    <mergeCell ref="AA2002:AB2002"/>
    <mergeCell ref="I2003:J2003"/>
    <mergeCell ref="M2003:O2003"/>
    <mergeCell ref="P2003:Q2003"/>
    <mergeCell ref="T2003:U2003"/>
    <mergeCell ref="V2003:W2003"/>
    <mergeCell ref="X2003:Z2003"/>
    <mergeCell ref="AA2003:AB2003"/>
    <mergeCell ref="I2002:J2002"/>
    <mergeCell ref="M2002:O2002"/>
    <mergeCell ref="P2002:Q2002"/>
    <mergeCell ref="T2002:U2002"/>
    <mergeCell ref="V2002:W2002"/>
    <mergeCell ref="X2002:Z2002"/>
    <mergeCell ref="AA2011:AB2012"/>
    <mergeCell ref="I2012:J2012"/>
    <mergeCell ref="M2012:O2012"/>
    <mergeCell ref="P2012:Q2012"/>
    <mergeCell ref="T2012:U2012"/>
    <mergeCell ref="V2012:W2012"/>
    <mergeCell ref="I2011:J2011"/>
    <mergeCell ref="M2011:O2011"/>
    <mergeCell ref="P2011:Q2011"/>
    <mergeCell ref="T2011:U2011"/>
    <mergeCell ref="V2011:W2011"/>
    <mergeCell ref="X2011:Z2012"/>
    <mergeCell ref="AF2008:AH2013"/>
    <mergeCell ref="I2009:J2009"/>
    <mergeCell ref="M2009:O2009"/>
    <mergeCell ref="P2009:Q2009"/>
    <mergeCell ref="T2009:U2009"/>
    <mergeCell ref="V2009:W2009"/>
    <mergeCell ref="AA2009:AB2009"/>
    <mergeCell ref="I2010:J2010"/>
    <mergeCell ref="M2010:O2010"/>
    <mergeCell ref="P2010:Q2010"/>
    <mergeCell ref="AC2008:AD2008"/>
    <mergeCell ref="AC2009:AD2009"/>
    <mergeCell ref="AC2010:AD2010"/>
    <mergeCell ref="AC2011:AD2011"/>
    <mergeCell ref="AC2012:AD2012"/>
    <mergeCell ref="AC2013:AD2013"/>
    <mergeCell ref="R2012:S2012"/>
    <mergeCell ref="R2013:S2013"/>
    <mergeCell ref="T2008:U2008"/>
    <mergeCell ref="V2008:W2008"/>
    <mergeCell ref="X2008:Z2009"/>
    <mergeCell ref="AA2008:AB2008"/>
    <mergeCell ref="T2010:U2010"/>
    <mergeCell ref="V2010:W2010"/>
    <mergeCell ref="X2010:Z2010"/>
    <mergeCell ref="AA2010:AB2010"/>
    <mergeCell ref="M2008:O2008"/>
    <mergeCell ref="P2008:Q2008"/>
    <mergeCell ref="R2008:S2008"/>
    <mergeCell ref="R2009:S2009"/>
    <mergeCell ref="R2010:S2010"/>
    <mergeCell ref="R2011:S2011"/>
    <mergeCell ref="I2008:J2008"/>
    <mergeCell ref="K2008:L2008"/>
    <mergeCell ref="K2009:L2009"/>
    <mergeCell ref="K2010:L2010"/>
    <mergeCell ref="K2011:L2011"/>
    <mergeCell ref="K2012:L2012"/>
    <mergeCell ref="K2013:L2013"/>
    <mergeCell ref="AC2016:AD2016"/>
    <mergeCell ref="AC2017:AD2017"/>
    <mergeCell ref="AC2018:AD2018"/>
    <mergeCell ref="AC2019:AD2019"/>
    <mergeCell ref="AF2014:AH2019"/>
    <mergeCell ref="I2015:J2015"/>
    <mergeCell ref="M2015:O2015"/>
    <mergeCell ref="P2015:Q2015"/>
    <mergeCell ref="R2015:S2015"/>
    <mergeCell ref="T2015:U2015"/>
    <mergeCell ref="T2014:U2014"/>
    <mergeCell ref="V2014:W2014"/>
    <mergeCell ref="X2014:Z2015"/>
    <mergeCell ref="AA2014:AB2015"/>
    <mergeCell ref="AC2014:AD2014"/>
    <mergeCell ref="AC2015:AD2015"/>
    <mergeCell ref="V2015:W2015"/>
    <mergeCell ref="AA2013:AB2013"/>
    <mergeCell ref="A2014:A2019"/>
    <mergeCell ref="B2014:D2019"/>
    <mergeCell ref="F2014:H2015"/>
    <mergeCell ref="I2014:J2014"/>
    <mergeCell ref="K2014:L2014"/>
    <mergeCell ref="K2015:L2015"/>
    <mergeCell ref="M2014:O2014"/>
    <mergeCell ref="P2014:Q2014"/>
    <mergeCell ref="R2014:S2014"/>
    <mergeCell ref="I2013:J2013"/>
    <mergeCell ref="M2013:O2013"/>
    <mergeCell ref="P2013:Q2013"/>
    <mergeCell ref="T2013:U2013"/>
    <mergeCell ref="V2013:W2013"/>
    <mergeCell ref="X2013:Z2013"/>
    <mergeCell ref="A2008:A2013"/>
    <mergeCell ref="B2008:D2013"/>
    <mergeCell ref="F2008:H2013"/>
    <mergeCell ref="V2018:W2018"/>
    <mergeCell ref="X2018:Z2019"/>
    <mergeCell ref="AA2018:AB2019"/>
    <mergeCell ref="I2019:J2019"/>
    <mergeCell ref="M2019:O2019"/>
    <mergeCell ref="P2019:Q2019"/>
    <mergeCell ref="T2019:U2019"/>
    <mergeCell ref="V2019:W2019"/>
    <mergeCell ref="V2017:W2017"/>
    <mergeCell ref="F2018:H2019"/>
    <mergeCell ref="I2018:J2018"/>
    <mergeCell ref="K2018:L2018"/>
    <mergeCell ref="K2019:L2019"/>
    <mergeCell ref="M2018:O2018"/>
    <mergeCell ref="P2018:Q2018"/>
    <mergeCell ref="R2018:S2018"/>
    <mergeCell ref="R2019:S2019"/>
    <mergeCell ref="T2018:U2018"/>
    <mergeCell ref="R2016:S2016"/>
    <mergeCell ref="T2016:U2016"/>
    <mergeCell ref="V2016:W2016"/>
    <mergeCell ref="X2016:Z2017"/>
    <mergeCell ref="AA2016:AB2017"/>
    <mergeCell ref="I2017:J2017"/>
    <mergeCell ref="M2017:O2017"/>
    <mergeCell ref="P2017:Q2017"/>
    <mergeCell ref="R2017:S2017"/>
    <mergeCell ref="T2017:U2017"/>
    <mergeCell ref="F2016:H2017"/>
    <mergeCell ref="I2016:J2016"/>
    <mergeCell ref="K2016:L2016"/>
    <mergeCell ref="K2017:L2017"/>
    <mergeCell ref="M2016:O2016"/>
    <mergeCell ref="P2016:Q2016"/>
    <mergeCell ref="T2022:U2022"/>
    <mergeCell ref="V2022:W2022"/>
    <mergeCell ref="X2022:Z2023"/>
    <mergeCell ref="AA2022:AB2023"/>
    <mergeCell ref="I2023:J2023"/>
    <mergeCell ref="M2023:O2023"/>
    <mergeCell ref="P2023:Q2023"/>
    <mergeCell ref="T2023:U2023"/>
    <mergeCell ref="V2023:W2023"/>
    <mergeCell ref="M2022:O2022"/>
    <mergeCell ref="P2022:Q2022"/>
    <mergeCell ref="R2022:S2022"/>
    <mergeCell ref="R2023:S2023"/>
    <mergeCell ref="R2024:S2024"/>
    <mergeCell ref="R2025:S2025"/>
    <mergeCell ref="AC2030:AD2030"/>
    <mergeCell ref="AC2031:AD2031"/>
    <mergeCell ref="AE2020:AE2031"/>
    <mergeCell ref="AF2020:AH2031"/>
    <mergeCell ref="AI2020:AI2053"/>
    <mergeCell ref="I2021:J2021"/>
    <mergeCell ref="M2021:O2021"/>
    <mergeCell ref="P2021:Q2021"/>
    <mergeCell ref="T2021:U2021"/>
    <mergeCell ref="V2021:W2021"/>
    <mergeCell ref="AC2024:AD2024"/>
    <mergeCell ref="AC2025:AD2025"/>
    <mergeCell ref="AC2026:AD2026"/>
    <mergeCell ref="AC2027:AD2027"/>
    <mergeCell ref="AC2028:AD2028"/>
    <mergeCell ref="AC2029:AD2029"/>
    <mergeCell ref="X2020:Z2021"/>
    <mergeCell ref="AA2020:AB2021"/>
    <mergeCell ref="AC2020:AD2020"/>
    <mergeCell ref="AC2021:AD2021"/>
    <mergeCell ref="AC2022:AD2022"/>
    <mergeCell ref="AC2023:AD2023"/>
    <mergeCell ref="M2020:O2020"/>
    <mergeCell ref="P2020:Q2020"/>
    <mergeCell ref="R2020:S2020"/>
    <mergeCell ref="R2021:S2021"/>
    <mergeCell ref="T2020:U2020"/>
    <mergeCell ref="V2020:W2020"/>
    <mergeCell ref="I2020:J2020"/>
    <mergeCell ref="K2020:L2020"/>
    <mergeCell ref="K2021:L2021"/>
    <mergeCell ref="I2022:J2022"/>
    <mergeCell ref="K2022:L2022"/>
    <mergeCell ref="K2023:L2023"/>
    <mergeCell ref="V2027:W2027"/>
    <mergeCell ref="F2028:H2028"/>
    <mergeCell ref="I2028:J2028"/>
    <mergeCell ref="K2028:L2028"/>
    <mergeCell ref="M2028:O2028"/>
    <mergeCell ref="P2028:Q2028"/>
    <mergeCell ref="R2028:S2028"/>
    <mergeCell ref="T2028:U2028"/>
    <mergeCell ref="V2028:W2028"/>
    <mergeCell ref="R2026:S2026"/>
    <mergeCell ref="T2026:U2026"/>
    <mergeCell ref="V2026:W2026"/>
    <mergeCell ref="X2026:Z2027"/>
    <mergeCell ref="AA2026:AB2027"/>
    <mergeCell ref="I2027:J2027"/>
    <mergeCell ref="M2027:O2027"/>
    <mergeCell ref="P2027:Q2027"/>
    <mergeCell ref="R2027:S2027"/>
    <mergeCell ref="T2027:U2027"/>
    <mergeCell ref="F2026:H2027"/>
    <mergeCell ref="I2026:J2026"/>
    <mergeCell ref="K2026:L2026"/>
    <mergeCell ref="K2027:L2027"/>
    <mergeCell ref="M2026:O2026"/>
    <mergeCell ref="P2026:Q2026"/>
    <mergeCell ref="T2024:U2024"/>
    <mergeCell ref="V2024:W2024"/>
    <mergeCell ref="X2024:Z2025"/>
    <mergeCell ref="AA2024:AB2025"/>
    <mergeCell ref="I2025:J2025"/>
    <mergeCell ref="M2025:O2025"/>
    <mergeCell ref="P2025:Q2025"/>
    <mergeCell ref="T2025:U2025"/>
    <mergeCell ref="V2025:W2025"/>
    <mergeCell ref="F2024:H2025"/>
    <mergeCell ref="I2024:J2024"/>
    <mergeCell ref="K2024:L2024"/>
    <mergeCell ref="K2025:L2025"/>
    <mergeCell ref="M2024:O2024"/>
    <mergeCell ref="P2024:Q2024"/>
    <mergeCell ref="T2031:U2031"/>
    <mergeCell ref="V2031:W2031"/>
    <mergeCell ref="X2031:Z2031"/>
    <mergeCell ref="AA2031:AB2031"/>
    <mergeCell ref="A2032:A2040"/>
    <mergeCell ref="B2032:D2040"/>
    <mergeCell ref="F2032:H2040"/>
    <mergeCell ref="I2032:J2032"/>
    <mergeCell ref="K2032:L2032"/>
    <mergeCell ref="M2032:O2032"/>
    <mergeCell ref="T2030:U2030"/>
    <mergeCell ref="V2030:W2030"/>
    <mergeCell ref="X2030:Z2030"/>
    <mergeCell ref="AA2030:AB2030"/>
    <mergeCell ref="F2031:H2031"/>
    <mergeCell ref="I2031:J2031"/>
    <mergeCell ref="K2031:L2031"/>
    <mergeCell ref="M2031:O2031"/>
    <mergeCell ref="P2031:Q2031"/>
    <mergeCell ref="R2031:S2031"/>
    <mergeCell ref="R2030:S2030"/>
    <mergeCell ref="T2029:U2029"/>
    <mergeCell ref="V2029:W2029"/>
    <mergeCell ref="X2029:Z2029"/>
    <mergeCell ref="AA2029:AB2029"/>
    <mergeCell ref="F2030:H2030"/>
    <mergeCell ref="I2030:J2030"/>
    <mergeCell ref="K2030:L2030"/>
    <mergeCell ref="M2030:O2030"/>
    <mergeCell ref="P2030:Q2030"/>
    <mergeCell ref="X2028:Z2028"/>
    <mergeCell ref="AA2028:AB2028"/>
    <mergeCell ref="F2029:H2029"/>
    <mergeCell ref="I2029:J2029"/>
    <mergeCell ref="K2029:L2029"/>
    <mergeCell ref="M2029:O2029"/>
    <mergeCell ref="P2029:Q2029"/>
    <mergeCell ref="R2029:S2029"/>
    <mergeCell ref="A2020:A2031"/>
    <mergeCell ref="B2020:D2031"/>
    <mergeCell ref="F2020:H2021"/>
    <mergeCell ref="F2022:H2023"/>
    <mergeCell ref="I2035:J2035"/>
    <mergeCell ref="K2035:L2035"/>
    <mergeCell ref="M2035:O2035"/>
    <mergeCell ref="P2035:Q2035"/>
    <mergeCell ref="R2035:S2035"/>
    <mergeCell ref="V2035:W2035"/>
    <mergeCell ref="I2034:J2034"/>
    <mergeCell ref="K2034:L2034"/>
    <mergeCell ref="M2034:O2034"/>
    <mergeCell ref="P2034:Q2034"/>
    <mergeCell ref="R2034:S2034"/>
    <mergeCell ref="V2034:W2034"/>
    <mergeCell ref="I2033:J2033"/>
    <mergeCell ref="K2033:L2033"/>
    <mergeCell ref="M2033:O2033"/>
    <mergeCell ref="P2033:Q2033"/>
    <mergeCell ref="R2033:S2033"/>
    <mergeCell ref="V2033:W2033"/>
    <mergeCell ref="AC2037:AD2037"/>
    <mergeCell ref="AC2038:AD2038"/>
    <mergeCell ref="AC2039:AD2039"/>
    <mergeCell ref="AC2040:AD2040"/>
    <mergeCell ref="AE2032:AE2040"/>
    <mergeCell ref="AF2032:AH2040"/>
    <mergeCell ref="T2036:U2036"/>
    <mergeCell ref="T2037:U2037"/>
    <mergeCell ref="V2032:W2032"/>
    <mergeCell ref="X2032:Z2040"/>
    <mergeCell ref="AA2032:AB2040"/>
    <mergeCell ref="AC2032:AD2032"/>
    <mergeCell ref="AC2033:AD2033"/>
    <mergeCell ref="AC2034:AD2034"/>
    <mergeCell ref="AC2035:AD2035"/>
    <mergeCell ref="AC2036:AD2036"/>
    <mergeCell ref="P2032:Q2032"/>
    <mergeCell ref="R2032:S2032"/>
    <mergeCell ref="T2032:U2032"/>
    <mergeCell ref="T2033:U2033"/>
    <mergeCell ref="T2034:U2034"/>
    <mergeCell ref="T2035:U2035"/>
    <mergeCell ref="K2040:L2040"/>
    <mergeCell ref="M2040:O2040"/>
    <mergeCell ref="P2040:Q2040"/>
    <mergeCell ref="R2040:S2040"/>
    <mergeCell ref="V2040:W2040"/>
    <mergeCell ref="A2041:A2044"/>
    <mergeCell ref="B2041:D2044"/>
    <mergeCell ref="F2041:H2044"/>
    <mergeCell ref="I2041:J2041"/>
    <mergeCell ref="K2041:L2041"/>
    <mergeCell ref="T2039:U2039"/>
    <mergeCell ref="T2040:U2040"/>
    <mergeCell ref="V2038:W2038"/>
    <mergeCell ref="I2039:J2039"/>
    <mergeCell ref="K2039:L2039"/>
    <mergeCell ref="M2039:O2039"/>
    <mergeCell ref="P2039:Q2039"/>
    <mergeCell ref="R2039:S2039"/>
    <mergeCell ref="V2039:W2039"/>
    <mergeCell ref="I2040:J2040"/>
    <mergeCell ref="I2038:J2038"/>
    <mergeCell ref="K2038:L2038"/>
    <mergeCell ref="M2038:O2038"/>
    <mergeCell ref="P2038:Q2038"/>
    <mergeCell ref="R2038:S2038"/>
    <mergeCell ref="T2038:U2038"/>
    <mergeCell ref="I2037:J2037"/>
    <mergeCell ref="K2037:L2037"/>
    <mergeCell ref="M2037:O2037"/>
    <mergeCell ref="P2037:Q2037"/>
    <mergeCell ref="R2037:S2037"/>
    <mergeCell ref="V2037:W2037"/>
    <mergeCell ref="I2036:J2036"/>
    <mergeCell ref="K2036:L2036"/>
    <mergeCell ref="M2036:O2036"/>
    <mergeCell ref="P2036:Q2036"/>
    <mergeCell ref="R2036:S2036"/>
    <mergeCell ref="V2036:W2036"/>
    <mergeCell ref="I2044:J2044"/>
    <mergeCell ref="M2044:O2044"/>
    <mergeCell ref="P2044:Q2044"/>
    <mergeCell ref="T2044:U2044"/>
    <mergeCell ref="V2044:W2044"/>
    <mergeCell ref="A2045:A2053"/>
    <mergeCell ref="B2045:D2053"/>
    <mergeCell ref="F2045:H2053"/>
    <mergeCell ref="I2045:J2045"/>
    <mergeCell ref="K2045:L2045"/>
    <mergeCell ref="AF2041:AH2044"/>
    <mergeCell ref="I2042:J2042"/>
    <mergeCell ref="M2042:O2042"/>
    <mergeCell ref="P2042:Q2042"/>
    <mergeCell ref="T2042:U2042"/>
    <mergeCell ref="V2042:W2042"/>
    <mergeCell ref="I2043:J2043"/>
    <mergeCell ref="M2043:O2043"/>
    <mergeCell ref="P2043:Q2043"/>
    <mergeCell ref="T2043:U2043"/>
    <mergeCell ref="T2041:U2041"/>
    <mergeCell ref="V2041:W2041"/>
    <mergeCell ref="X2041:Z2044"/>
    <mergeCell ref="AA2041:AB2044"/>
    <mergeCell ref="AC2041:AD2041"/>
    <mergeCell ref="AC2042:AD2042"/>
    <mergeCell ref="AC2043:AD2043"/>
    <mergeCell ref="AC2044:AD2044"/>
    <mergeCell ref="V2043:W2043"/>
    <mergeCell ref="K2042:L2042"/>
    <mergeCell ref="K2043:L2043"/>
    <mergeCell ref="K2044:L2044"/>
    <mergeCell ref="M2041:O2041"/>
    <mergeCell ref="P2041:Q2041"/>
    <mergeCell ref="R2041:S2041"/>
    <mergeCell ref="R2042:S2042"/>
    <mergeCell ref="R2043:S2043"/>
    <mergeCell ref="R2044:S2044"/>
    <mergeCell ref="AC2051:AD2051"/>
    <mergeCell ref="AC2052:AD2052"/>
    <mergeCell ref="AC2053:AD2053"/>
    <mergeCell ref="AF2045:AH2053"/>
    <mergeCell ref="I2046:J2046"/>
    <mergeCell ref="M2046:O2046"/>
    <mergeCell ref="P2046:Q2046"/>
    <mergeCell ref="T2046:U2046"/>
    <mergeCell ref="V2046:W2046"/>
    <mergeCell ref="I2047:J2047"/>
    <mergeCell ref="AA2045:AB2050"/>
    <mergeCell ref="AC2045:AD2045"/>
    <mergeCell ref="AC2046:AD2046"/>
    <mergeCell ref="AC2047:AD2047"/>
    <mergeCell ref="AC2048:AD2048"/>
    <mergeCell ref="AC2049:AD2049"/>
    <mergeCell ref="AC2050:AD2050"/>
    <mergeCell ref="R2051:S2051"/>
    <mergeCell ref="R2052:S2052"/>
    <mergeCell ref="R2053:S2053"/>
    <mergeCell ref="T2045:U2045"/>
    <mergeCell ref="V2045:W2045"/>
    <mergeCell ref="X2045:Z2050"/>
    <mergeCell ref="K2052:L2052"/>
    <mergeCell ref="K2053:L2053"/>
    <mergeCell ref="M2045:O2045"/>
    <mergeCell ref="P2045:Q2045"/>
    <mergeCell ref="R2045:S2045"/>
    <mergeCell ref="R2046:S2046"/>
    <mergeCell ref="R2047:S2047"/>
    <mergeCell ref="R2048:S2048"/>
    <mergeCell ref="R2049:S2049"/>
    <mergeCell ref="R2050:S2050"/>
    <mergeCell ref="K2046:L2046"/>
    <mergeCell ref="K2047:L2047"/>
    <mergeCell ref="K2048:L2048"/>
    <mergeCell ref="K2049:L2049"/>
    <mergeCell ref="K2050:L2050"/>
    <mergeCell ref="K2051:L2051"/>
    <mergeCell ref="AA2051:AB2053"/>
    <mergeCell ref="I2052:J2052"/>
    <mergeCell ref="M2052:O2052"/>
    <mergeCell ref="P2052:Q2052"/>
    <mergeCell ref="T2052:U2052"/>
    <mergeCell ref="V2052:W2052"/>
    <mergeCell ref="I2053:J2053"/>
    <mergeCell ref="M2053:O2053"/>
    <mergeCell ref="P2053:Q2053"/>
    <mergeCell ref="T2053:U2053"/>
    <mergeCell ref="I2051:J2051"/>
    <mergeCell ref="M2051:O2051"/>
    <mergeCell ref="P2051:Q2051"/>
    <mergeCell ref="T2051:U2051"/>
    <mergeCell ref="V2051:W2051"/>
    <mergeCell ref="X2051:Z2053"/>
    <mergeCell ref="V2053:W2053"/>
    <mergeCell ref="I2049:J2049"/>
    <mergeCell ref="M2049:O2049"/>
    <mergeCell ref="P2049:Q2049"/>
    <mergeCell ref="T2049:U2049"/>
    <mergeCell ref="V2049:W2049"/>
    <mergeCell ref="I2050:J2050"/>
    <mergeCell ref="M2050:O2050"/>
    <mergeCell ref="P2050:Q2050"/>
    <mergeCell ref="T2050:U2050"/>
    <mergeCell ref="V2050:W2050"/>
    <mergeCell ref="M2047:O2047"/>
    <mergeCell ref="P2047:Q2047"/>
    <mergeCell ref="T2047:U2047"/>
    <mergeCell ref="V2047:W2047"/>
    <mergeCell ref="I2048:J2048"/>
    <mergeCell ref="M2048:O2048"/>
    <mergeCell ref="P2048:Q2048"/>
    <mergeCell ref="T2048:U2048"/>
    <mergeCell ref="V2048:W2048"/>
    <mergeCell ref="P2056:Q2056"/>
    <mergeCell ref="T2056:U2056"/>
    <mergeCell ref="V2056:W2056"/>
    <mergeCell ref="I2057:J2057"/>
    <mergeCell ref="M2057:O2057"/>
    <mergeCell ref="P2057:Q2057"/>
    <mergeCell ref="T2057:U2057"/>
    <mergeCell ref="V2057:W2057"/>
    <mergeCell ref="AF2060:AH2060"/>
    <mergeCell ref="AF2061:AH2061"/>
    <mergeCell ref="AF2062:AH2062"/>
    <mergeCell ref="I2055:J2055"/>
    <mergeCell ref="M2055:O2055"/>
    <mergeCell ref="P2055:Q2055"/>
    <mergeCell ref="T2055:U2055"/>
    <mergeCell ref="V2055:W2055"/>
    <mergeCell ref="I2056:J2056"/>
    <mergeCell ref="M2056:O2056"/>
    <mergeCell ref="AF2054:AH2054"/>
    <mergeCell ref="AF2055:AH2055"/>
    <mergeCell ref="AF2056:AH2056"/>
    <mergeCell ref="AF2057:AH2057"/>
    <mergeCell ref="AF2058:AH2058"/>
    <mergeCell ref="AF2059:AH2059"/>
    <mergeCell ref="X2054:Z2059"/>
    <mergeCell ref="AA2054:AB2059"/>
    <mergeCell ref="AC2054:AD2054"/>
    <mergeCell ref="AC2055:AD2055"/>
    <mergeCell ref="AC2056:AD2056"/>
    <mergeCell ref="AC2057:AD2057"/>
    <mergeCell ref="AC2059:AD2059"/>
    <mergeCell ref="R2059:S2059"/>
    <mergeCell ref="R2060:S2060"/>
    <mergeCell ref="R2061:S2061"/>
    <mergeCell ref="R2062:S2062"/>
    <mergeCell ref="T2054:U2054"/>
    <mergeCell ref="V2054:W2054"/>
    <mergeCell ref="K2060:L2060"/>
    <mergeCell ref="K2061:L2061"/>
    <mergeCell ref="K2062:L2062"/>
    <mergeCell ref="M2054:O2054"/>
    <mergeCell ref="P2054:Q2054"/>
    <mergeCell ref="R2054:S2054"/>
    <mergeCell ref="R2055:S2055"/>
    <mergeCell ref="R2056:S2056"/>
    <mergeCell ref="R2057:S2057"/>
    <mergeCell ref="R2058:S2058"/>
    <mergeCell ref="I2054:J2054"/>
    <mergeCell ref="K2054:L2054"/>
    <mergeCell ref="K2055:L2055"/>
    <mergeCell ref="K2056:L2056"/>
    <mergeCell ref="K2057:L2057"/>
    <mergeCell ref="K2058:L2058"/>
    <mergeCell ref="K2059:L2059"/>
    <mergeCell ref="I2062:J2062"/>
    <mergeCell ref="M2062:O2062"/>
    <mergeCell ref="P2062:Q2062"/>
    <mergeCell ref="T2062:U2062"/>
    <mergeCell ref="V2062:W2062"/>
    <mergeCell ref="A2063:A2069"/>
    <mergeCell ref="B2063:D2063"/>
    <mergeCell ref="B2064:D2064"/>
    <mergeCell ref="B2065:D2065"/>
    <mergeCell ref="B2066:D2066"/>
    <mergeCell ref="P2060:Q2060"/>
    <mergeCell ref="T2060:U2060"/>
    <mergeCell ref="V2060:W2060"/>
    <mergeCell ref="X2060:Z2062"/>
    <mergeCell ref="AA2060:AB2062"/>
    <mergeCell ref="I2061:J2061"/>
    <mergeCell ref="M2061:O2061"/>
    <mergeCell ref="P2061:Q2061"/>
    <mergeCell ref="T2061:U2061"/>
    <mergeCell ref="V2061:W2061"/>
    <mergeCell ref="AC2060:AD2060"/>
    <mergeCell ref="AC2061:AD2061"/>
    <mergeCell ref="AC2062:AD2062"/>
    <mergeCell ref="I2059:J2059"/>
    <mergeCell ref="M2059:O2059"/>
    <mergeCell ref="P2059:Q2059"/>
    <mergeCell ref="T2059:U2059"/>
    <mergeCell ref="V2059:W2059"/>
    <mergeCell ref="I2060:J2060"/>
    <mergeCell ref="M2060:O2060"/>
    <mergeCell ref="I2058:J2058"/>
    <mergeCell ref="M2058:O2058"/>
    <mergeCell ref="P2058:Q2058"/>
    <mergeCell ref="T2058:U2058"/>
    <mergeCell ref="V2058:W2058"/>
    <mergeCell ref="AC2058:AD2058"/>
    <mergeCell ref="A2054:A2062"/>
    <mergeCell ref="B2054:D2062"/>
    <mergeCell ref="F2054:H2062"/>
    <mergeCell ref="M2065:O2065"/>
    <mergeCell ref="P2065:Q2065"/>
    <mergeCell ref="T2065:U2065"/>
    <mergeCell ref="V2065:W2065"/>
    <mergeCell ref="I2066:J2066"/>
    <mergeCell ref="M2066:O2066"/>
    <mergeCell ref="P2066:Q2066"/>
    <mergeCell ref="T2066:U2066"/>
    <mergeCell ref="V2066:W2066"/>
    <mergeCell ref="AC2068:AD2068"/>
    <mergeCell ref="AC2069:AD2069"/>
    <mergeCell ref="AF2063:AH2069"/>
    <mergeCell ref="AI2063:AI2069"/>
    <mergeCell ref="I2064:J2064"/>
    <mergeCell ref="M2064:O2064"/>
    <mergeCell ref="P2064:Q2064"/>
    <mergeCell ref="T2064:U2064"/>
    <mergeCell ref="V2064:W2064"/>
    <mergeCell ref="I2065:J2065"/>
    <mergeCell ref="R2069:S2069"/>
    <mergeCell ref="T2063:U2063"/>
    <mergeCell ref="V2063:W2063"/>
    <mergeCell ref="X2063:Z2068"/>
    <mergeCell ref="AA2063:AB2068"/>
    <mergeCell ref="AC2063:AD2063"/>
    <mergeCell ref="AC2064:AD2064"/>
    <mergeCell ref="AC2065:AD2065"/>
    <mergeCell ref="AC2066:AD2066"/>
    <mergeCell ref="AC2067:AD2067"/>
    <mergeCell ref="K2068:L2068"/>
    <mergeCell ref="K2069:L2069"/>
    <mergeCell ref="M2063:O2063"/>
    <mergeCell ref="P2063:Q2063"/>
    <mergeCell ref="R2063:S2063"/>
    <mergeCell ref="R2064:S2064"/>
    <mergeCell ref="R2065:S2065"/>
    <mergeCell ref="R2066:S2066"/>
    <mergeCell ref="R2067:S2067"/>
    <mergeCell ref="R2068:S2068"/>
    <mergeCell ref="I2063:J2063"/>
    <mergeCell ref="K2063:L2063"/>
    <mergeCell ref="K2064:L2064"/>
    <mergeCell ref="K2065:L2065"/>
    <mergeCell ref="K2066:L2066"/>
    <mergeCell ref="K2067:L2067"/>
    <mergeCell ref="AE2070:AE2071"/>
    <mergeCell ref="AF2070:AH2071"/>
    <mergeCell ref="AI2070:AJ2070"/>
    <mergeCell ref="I2071:J2071"/>
    <mergeCell ref="M2071:O2071"/>
    <mergeCell ref="P2071:Q2071"/>
    <mergeCell ref="T2071:U2071"/>
    <mergeCell ref="V2071:W2071"/>
    <mergeCell ref="AI2071:AJ2071"/>
    <mergeCell ref="R2071:S2071"/>
    <mergeCell ref="T2070:U2070"/>
    <mergeCell ref="V2070:W2070"/>
    <mergeCell ref="X2070:Z2071"/>
    <mergeCell ref="AA2070:AB2071"/>
    <mergeCell ref="AC2070:AD2071"/>
    <mergeCell ref="AA2069:AB2069"/>
    <mergeCell ref="A2070:A2071"/>
    <mergeCell ref="B2070:D2071"/>
    <mergeCell ref="F2070:H2071"/>
    <mergeCell ref="I2070:J2070"/>
    <mergeCell ref="K2070:L2070"/>
    <mergeCell ref="K2071:L2071"/>
    <mergeCell ref="M2070:O2070"/>
    <mergeCell ref="P2070:Q2070"/>
    <mergeCell ref="R2070:S2070"/>
    <mergeCell ref="I2069:J2069"/>
    <mergeCell ref="M2069:O2069"/>
    <mergeCell ref="P2069:Q2069"/>
    <mergeCell ref="T2069:U2069"/>
    <mergeCell ref="V2069:W2069"/>
    <mergeCell ref="X2069:Z2069"/>
    <mergeCell ref="I2067:J2067"/>
    <mergeCell ref="M2067:O2067"/>
    <mergeCell ref="P2067:Q2067"/>
    <mergeCell ref="T2067:U2067"/>
    <mergeCell ref="V2067:W2067"/>
    <mergeCell ref="I2068:J2068"/>
    <mergeCell ref="M2068:O2068"/>
    <mergeCell ref="P2068:Q2068"/>
    <mergeCell ref="T2068:U2068"/>
    <mergeCell ref="V2068:W2068"/>
    <mergeCell ref="B2067:D2067"/>
    <mergeCell ref="B2068:D2068"/>
    <mergeCell ref="B2069:D2069"/>
    <mergeCell ref="F2063:H2069"/>
    <mergeCell ref="I2076:J2076"/>
    <mergeCell ref="M2076:O2076"/>
    <mergeCell ref="P2076:Q2076"/>
    <mergeCell ref="T2076:U2076"/>
    <mergeCell ref="V2076:W2076"/>
    <mergeCell ref="AI2076:AJ2076"/>
    <mergeCell ref="I2075:J2075"/>
    <mergeCell ref="M2075:O2075"/>
    <mergeCell ref="P2075:Q2075"/>
    <mergeCell ref="T2075:U2075"/>
    <mergeCell ref="V2075:W2075"/>
    <mergeCell ref="AI2075:AJ2075"/>
    <mergeCell ref="AI2073:AJ2073"/>
    <mergeCell ref="I2074:J2074"/>
    <mergeCell ref="M2074:O2074"/>
    <mergeCell ref="P2074:Q2074"/>
    <mergeCell ref="T2074:U2074"/>
    <mergeCell ref="V2074:W2074"/>
    <mergeCell ref="AI2074:AJ2074"/>
    <mergeCell ref="AC2078:AD2078"/>
    <mergeCell ref="AC2079:AD2079"/>
    <mergeCell ref="AC2080:AD2080"/>
    <mergeCell ref="AF2072:AH2080"/>
    <mergeCell ref="AI2072:AJ2072"/>
    <mergeCell ref="I2073:J2073"/>
    <mergeCell ref="M2073:O2073"/>
    <mergeCell ref="P2073:Q2073"/>
    <mergeCell ref="T2073:U2073"/>
    <mergeCell ref="V2073:W2073"/>
    <mergeCell ref="T2072:U2072"/>
    <mergeCell ref="V2072:W2072"/>
    <mergeCell ref="X2072:Z2077"/>
    <mergeCell ref="AA2072:AB2077"/>
    <mergeCell ref="AC2072:AD2072"/>
    <mergeCell ref="AC2073:AD2073"/>
    <mergeCell ref="AC2074:AD2074"/>
    <mergeCell ref="AC2075:AD2075"/>
    <mergeCell ref="AC2076:AD2076"/>
    <mergeCell ref="AC2077:AD2077"/>
    <mergeCell ref="R2077:S2077"/>
    <mergeCell ref="R2078:S2078"/>
    <mergeCell ref="R2079:S2079"/>
    <mergeCell ref="R2080:S2080"/>
    <mergeCell ref="K2078:L2078"/>
    <mergeCell ref="K2079:L2079"/>
    <mergeCell ref="K2080:L2080"/>
    <mergeCell ref="M2072:O2072"/>
    <mergeCell ref="P2072:Q2072"/>
    <mergeCell ref="R2072:S2072"/>
    <mergeCell ref="R2073:S2073"/>
    <mergeCell ref="R2074:S2074"/>
    <mergeCell ref="R2075:S2075"/>
    <mergeCell ref="R2076:S2076"/>
    <mergeCell ref="I2072:J2072"/>
    <mergeCell ref="K2072:L2072"/>
    <mergeCell ref="K2073:L2073"/>
    <mergeCell ref="K2074:L2074"/>
    <mergeCell ref="K2075:L2075"/>
    <mergeCell ref="K2076:L2076"/>
    <mergeCell ref="K2077:L2077"/>
    <mergeCell ref="AI2080:AJ2080"/>
    <mergeCell ref="A2081:A2098"/>
    <mergeCell ref="B2081:D2098"/>
    <mergeCell ref="F2081:H2082"/>
    <mergeCell ref="I2081:J2081"/>
    <mergeCell ref="K2081:L2081"/>
    <mergeCell ref="K2082:L2082"/>
    <mergeCell ref="M2081:O2081"/>
    <mergeCell ref="P2081:Q2081"/>
    <mergeCell ref="T2081:U2081"/>
    <mergeCell ref="AA2078:AB2080"/>
    <mergeCell ref="AI2078:AJ2078"/>
    <mergeCell ref="I2079:J2079"/>
    <mergeCell ref="M2079:O2079"/>
    <mergeCell ref="P2079:Q2079"/>
    <mergeCell ref="T2079:U2079"/>
    <mergeCell ref="V2079:W2079"/>
    <mergeCell ref="AI2079:AJ2079"/>
    <mergeCell ref="I2080:J2080"/>
    <mergeCell ref="M2080:O2080"/>
    <mergeCell ref="I2078:J2078"/>
    <mergeCell ref="M2078:O2078"/>
    <mergeCell ref="P2078:Q2078"/>
    <mergeCell ref="T2078:U2078"/>
    <mergeCell ref="V2078:W2078"/>
    <mergeCell ref="X2078:Z2080"/>
    <mergeCell ref="P2080:Q2080"/>
    <mergeCell ref="T2080:U2080"/>
    <mergeCell ref="V2080:W2080"/>
    <mergeCell ref="I2077:J2077"/>
    <mergeCell ref="M2077:O2077"/>
    <mergeCell ref="P2077:Q2077"/>
    <mergeCell ref="T2077:U2077"/>
    <mergeCell ref="V2077:W2077"/>
    <mergeCell ref="AI2077:AJ2077"/>
    <mergeCell ref="R2081:S2081"/>
    <mergeCell ref="R2082:S2082"/>
    <mergeCell ref="A2072:A2080"/>
    <mergeCell ref="B2072:D2080"/>
    <mergeCell ref="F2072:H2080"/>
    <mergeCell ref="AI2085:AJ2085"/>
    <mergeCell ref="I2086:J2086"/>
    <mergeCell ref="M2086:O2086"/>
    <mergeCell ref="P2086:Q2086"/>
    <mergeCell ref="T2086:U2086"/>
    <mergeCell ref="V2086:W2086"/>
    <mergeCell ref="AI2086:AJ2086"/>
    <mergeCell ref="R2085:S2085"/>
    <mergeCell ref="R2086:S2086"/>
    <mergeCell ref="T2085:U2085"/>
    <mergeCell ref="V2085:W2085"/>
    <mergeCell ref="X2085:Z2086"/>
    <mergeCell ref="AA2085:AB2086"/>
    <mergeCell ref="F2085:H2086"/>
    <mergeCell ref="I2085:J2085"/>
    <mergeCell ref="K2085:L2085"/>
    <mergeCell ref="K2086:L2086"/>
    <mergeCell ref="M2085:O2085"/>
    <mergeCell ref="P2085:Q2085"/>
    <mergeCell ref="AI2083:AJ2083"/>
    <mergeCell ref="I2084:J2084"/>
    <mergeCell ref="M2084:O2084"/>
    <mergeCell ref="P2084:Q2084"/>
    <mergeCell ref="T2084:U2084"/>
    <mergeCell ref="V2084:W2084"/>
    <mergeCell ref="AI2084:AJ2084"/>
    <mergeCell ref="AI2082:AJ2082"/>
    <mergeCell ref="F2083:H2084"/>
    <mergeCell ref="I2083:J2083"/>
    <mergeCell ref="K2083:L2083"/>
    <mergeCell ref="K2084:L2084"/>
    <mergeCell ref="M2083:O2083"/>
    <mergeCell ref="P2083:Q2083"/>
    <mergeCell ref="R2083:S2083"/>
    <mergeCell ref="R2084:S2084"/>
    <mergeCell ref="T2083:U2083"/>
    <mergeCell ref="AF2081:AH2098"/>
    <mergeCell ref="AI2081:AJ2081"/>
    <mergeCell ref="I2082:J2082"/>
    <mergeCell ref="M2082:O2082"/>
    <mergeCell ref="P2082:Q2082"/>
    <mergeCell ref="T2082:U2082"/>
    <mergeCell ref="V2082:W2082"/>
    <mergeCell ref="AC2090:AD2090"/>
    <mergeCell ref="AC2091:AD2091"/>
    <mergeCell ref="AC2092:AD2092"/>
    <mergeCell ref="AC2093:AD2093"/>
    <mergeCell ref="AC2094:AD2094"/>
    <mergeCell ref="AC2095:AD2095"/>
    <mergeCell ref="AC2084:AD2084"/>
    <mergeCell ref="AC2085:AD2085"/>
    <mergeCell ref="AC2086:AD2086"/>
    <mergeCell ref="AC2087:AD2087"/>
    <mergeCell ref="AC2088:AD2088"/>
    <mergeCell ref="AC2089:AD2089"/>
    <mergeCell ref="V2081:W2081"/>
    <mergeCell ref="X2081:Z2082"/>
    <mergeCell ref="AA2081:AB2082"/>
    <mergeCell ref="AC2081:AD2081"/>
    <mergeCell ref="AC2082:AD2082"/>
    <mergeCell ref="AC2083:AD2083"/>
    <mergeCell ref="V2083:W2083"/>
    <mergeCell ref="X2083:Z2084"/>
    <mergeCell ref="AA2083:AB2084"/>
    <mergeCell ref="AI2089:AJ2089"/>
    <mergeCell ref="I2090:J2090"/>
    <mergeCell ref="M2090:O2090"/>
    <mergeCell ref="P2090:Q2090"/>
    <mergeCell ref="T2090:U2090"/>
    <mergeCell ref="V2090:W2090"/>
    <mergeCell ref="AI2090:AJ2090"/>
    <mergeCell ref="R2089:S2089"/>
    <mergeCell ref="R2090:S2090"/>
    <mergeCell ref="T2089:U2089"/>
    <mergeCell ref="V2089:W2089"/>
    <mergeCell ref="X2089:Z2090"/>
    <mergeCell ref="AA2089:AB2090"/>
    <mergeCell ref="F2089:H2090"/>
    <mergeCell ref="I2089:J2089"/>
    <mergeCell ref="K2089:L2089"/>
    <mergeCell ref="K2090:L2090"/>
    <mergeCell ref="M2089:O2089"/>
    <mergeCell ref="P2089:Q2089"/>
    <mergeCell ref="AI2087:AJ2087"/>
    <mergeCell ref="I2088:J2088"/>
    <mergeCell ref="M2088:O2088"/>
    <mergeCell ref="P2088:Q2088"/>
    <mergeCell ref="T2088:U2088"/>
    <mergeCell ref="V2088:W2088"/>
    <mergeCell ref="AI2088:AJ2088"/>
    <mergeCell ref="R2087:S2087"/>
    <mergeCell ref="R2088:S2088"/>
    <mergeCell ref="T2087:U2087"/>
    <mergeCell ref="V2087:W2087"/>
    <mergeCell ref="X2087:Z2088"/>
    <mergeCell ref="AA2087:AB2088"/>
    <mergeCell ref="F2087:H2088"/>
    <mergeCell ref="I2087:J2087"/>
    <mergeCell ref="K2087:L2087"/>
    <mergeCell ref="K2088:L2088"/>
    <mergeCell ref="M2087:O2087"/>
    <mergeCell ref="P2087:Q2087"/>
    <mergeCell ref="R2094:S2094"/>
    <mergeCell ref="T2094:U2094"/>
    <mergeCell ref="V2094:W2094"/>
    <mergeCell ref="X2094:Z2094"/>
    <mergeCell ref="AA2094:AB2094"/>
    <mergeCell ref="AI2094:AJ2094"/>
    <mergeCell ref="T2093:U2093"/>
    <mergeCell ref="V2093:W2093"/>
    <mergeCell ref="X2093:Z2093"/>
    <mergeCell ref="AA2093:AB2093"/>
    <mergeCell ref="AI2093:AJ2093"/>
    <mergeCell ref="F2094:H2094"/>
    <mergeCell ref="I2094:J2094"/>
    <mergeCell ref="K2094:L2094"/>
    <mergeCell ref="M2094:O2094"/>
    <mergeCell ref="P2094:Q2094"/>
    <mergeCell ref="F2093:H2093"/>
    <mergeCell ref="I2093:J2093"/>
    <mergeCell ref="K2093:L2093"/>
    <mergeCell ref="M2093:O2093"/>
    <mergeCell ref="P2093:Q2093"/>
    <mergeCell ref="R2093:S2093"/>
    <mergeCell ref="AI2091:AJ2091"/>
    <mergeCell ref="I2092:J2092"/>
    <mergeCell ref="M2092:O2092"/>
    <mergeCell ref="P2092:Q2092"/>
    <mergeCell ref="T2092:U2092"/>
    <mergeCell ref="V2092:W2092"/>
    <mergeCell ref="AI2092:AJ2092"/>
    <mergeCell ref="R2091:S2091"/>
    <mergeCell ref="R2092:S2092"/>
    <mergeCell ref="T2091:U2091"/>
    <mergeCell ref="V2091:W2091"/>
    <mergeCell ref="X2091:Z2092"/>
    <mergeCell ref="AA2091:AB2092"/>
    <mergeCell ref="F2091:H2092"/>
    <mergeCell ref="I2091:J2091"/>
    <mergeCell ref="K2091:L2091"/>
    <mergeCell ref="K2092:L2092"/>
    <mergeCell ref="M2091:O2091"/>
    <mergeCell ref="P2091:Q2091"/>
    <mergeCell ref="R2098:S2098"/>
    <mergeCell ref="T2098:U2098"/>
    <mergeCell ref="V2098:W2098"/>
    <mergeCell ref="X2098:Z2098"/>
    <mergeCell ref="AA2098:AB2098"/>
    <mergeCell ref="AI2098:AJ2098"/>
    <mergeCell ref="T2097:U2097"/>
    <mergeCell ref="V2097:W2097"/>
    <mergeCell ref="X2097:Z2097"/>
    <mergeCell ref="AA2097:AB2097"/>
    <mergeCell ref="AI2097:AJ2097"/>
    <mergeCell ref="F2098:H2098"/>
    <mergeCell ref="I2098:J2098"/>
    <mergeCell ref="K2098:L2098"/>
    <mergeCell ref="M2098:O2098"/>
    <mergeCell ref="P2098:Q2098"/>
    <mergeCell ref="F2097:H2097"/>
    <mergeCell ref="I2097:J2097"/>
    <mergeCell ref="K2097:L2097"/>
    <mergeCell ref="M2097:O2097"/>
    <mergeCell ref="P2097:Q2097"/>
    <mergeCell ref="R2097:S2097"/>
    <mergeCell ref="R2096:S2096"/>
    <mergeCell ref="T2096:U2096"/>
    <mergeCell ref="V2096:W2096"/>
    <mergeCell ref="X2096:Z2096"/>
    <mergeCell ref="AA2096:AB2096"/>
    <mergeCell ref="AI2096:AJ2096"/>
    <mergeCell ref="T2095:U2095"/>
    <mergeCell ref="V2095:W2095"/>
    <mergeCell ref="X2095:Z2095"/>
    <mergeCell ref="AA2095:AB2095"/>
    <mergeCell ref="AI2095:AJ2095"/>
    <mergeCell ref="F2096:H2096"/>
    <mergeCell ref="I2096:J2096"/>
    <mergeCell ref="K2096:L2096"/>
    <mergeCell ref="M2096:O2096"/>
    <mergeCell ref="P2096:Q2096"/>
    <mergeCell ref="F2095:H2095"/>
    <mergeCell ref="I2095:J2095"/>
    <mergeCell ref="K2095:L2095"/>
    <mergeCell ref="M2095:O2095"/>
    <mergeCell ref="P2095:Q2095"/>
    <mergeCell ref="R2095:S2095"/>
    <mergeCell ref="AC2096:AD2096"/>
    <mergeCell ref="AC2097:AD2097"/>
    <mergeCell ref="AC2098:AD2098"/>
    <mergeCell ref="AI2101:AJ2101"/>
    <mergeCell ref="A2102:A2104"/>
    <mergeCell ref="B2102:D2104"/>
    <mergeCell ref="F2102:H2104"/>
    <mergeCell ref="I2102:J2102"/>
    <mergeCell ref="K2102:L2102"/>
    <mergeCell ref="M2102:O2102"/>
    <mergeCell ref="P2102:Q2102"/>
    <mergeCell ref="R2102:S2102"/>
    <mergeCell ref="R2103:S2103"/>
    <mergeCell ref="AF2099:AH2101"/>
    <mergeCell ref="AI2099:AJ2099"/>
    <mergeCell ref="I2100:J2100"/>
    <mergeCell ref="K2100:L2100"/>
    <mergeCell ref="M2100:O2100"/>
    <mergeCell ref="P2100:Q2100"/>
    <mergeCell ref="T2100:U2100"/>
    <mergeCell ref="V2100:W2100"/>
    <mergeCell ref="AI2100:AJ2100"/>
    <mergeCell ref="I2101:J2101"/>
    <mergeCell ref="X2099:Z2101"/>
    <mergeCell ref="AA2099:AB2101"/>
    <mergeCell ref="AC2099:AD2099"/>
    <mergeCell ref="AC2100:AD2100"/>
    <mergeCell ref="AC2101:AD2101"/>
    <mergeCell ref="AE2099:AE2101"/>
    <mergeCell ref="P2099:Q2099"/>
    <mergeCell ref="R2099:S2099"/>
    <mergeCell ref="R2100:S2100"/>
    <mergeCell ref="R2101:S2101"/>
    <mergeCell ref="T2099:U2099"/>
    <mergeCell ref="V2099:W2099"/>
    <mergeCell ref="P2101:Q2101"/>
    <mergeCell ref="T2101:U2101"/>
    <mergeCell ref="V2101:W2101"/>
    <mergeCell ref="A2099:A2101"/>
    <mergeCell ref="B2099:D2101"/>
    <mergeCell ref="F2099:H2101"/>
    <mergeCell ref="I2099:J2099"/>
    <mergeCell ref="K2099:L2099"/>
    <mergeCell ref="M2099:O2099"/>
    <mergeCell ref="K2101:L2101"/>
    <mergeCell ref="M2101:O2101"/>
    <mergeCell ref="AI2104:AJ2104"/>
    <mergeCell ref="A2105:A2122"/>
    <mergeCell ref="B2105:D2122"/>
    <mergeCell ref="F2105:H2107"/>
    <mergeCell ref="I2105:J2105"/>
    <mergeCell ref="K2105:L2105"/>
    <mergeCell ref="M2105:O2105"/>
    <mergeCell ref="P2105:Q2105"/>
    <mergeCell ref="R2105:S2105"/>
    <mergeCell ref="R2106:S2106"/>
    <mergeCell ref="K2104:L2104"/>
    <mergeCell ref="M2104:O2104"/>
    <mergeCell ref="P2104:Q2104"/>
    <mergeCell ref="T2104:U2104"/>
    <mergeCell ref="V2104:W2104"/>
    <mergeCell ref="X2104:Z2104"/>
    <mergeCell ref="AF2102:AH2104"/>
    <mergeCell ref="AI2102:AJ2102"/>
    <mergeCell ref="I2103:J2103"/>
    <mergeCell ref="K2103:L2103"/>
    <mergeCell ref="M2103:O2103"/>
    <mergeCell ref="P2103:Q2103"/>
    <mergeCell ref="T2103:U2103"/>
    <mergeCell ref="V2103:W2103"/>
    <mergeCell ref="AI2103:AJ2103"/>
    <mergeCell ref="I2104:J2104"/>
    <mergeCell ref="R2104:S2104"/>
    <mergeCell ref="T2102:U2102"/>
    <mergeCell ref="V2102:W2102"/>
    <mergeCell ref="X2102:Z2103"/>
    <mergeCell ref="AA2102:AB2103"/>
    <mergeCell ref="AC2102:AD2102"/>
    <mergeCell ref="AC2103:AD2103"/>
    <mergeCell ref="AC2104:AD2104"/>
    <mergeCell ref="AA2104:AB2104"/>
    <mergeCell ref="I2106:J2106"/>
    <mergeCell ref="K2106:L2106"/>
    <mergeCell ref="M2106:O2106"/>
    <mergeCell ref="P2106:Q2106"/>
    <mergeCell ref="T2106:U2106"/>
    <mergeCell ref="V2106:W2106"/>
    <mergeCell ref="AC2120:AD2120"/>
    <mergeCell ref="AC2121:AD2121"/>
    <mergeCell ref="AC2122:AD2122"/>
    <mergeCell ref="AE2105:AE2122"/>
    <mergeCell ref="AF2105:AH2122"/>
    <mergeCell ref="AI2105:AJ2105"/>
    <mergeCell ref="AI2106:AJ2106"/>
    <mergeCell ref="AI2107:AJ2107"/>
    <mergeCell ref="AI2119:AJ2119"/>
    <mergeCell ref="AC2114:AD2114"/>
    <mergeCell ref="AC2115:AD2115"/>
    <mergeCell ref="AC2116:AD2116"/>
    <mergeCell ref="AC2117:AD2117"/>
    <mergeCell ref="AC2118:AD2118"/>
    <mergeCell ref="AC2119:AD2119"/>
    <mergeCell ref="AC2108:AD2108"/>
    <mergeCell ref="AC2109:AD2109"/>
    <mergeCell ref="AC2110:AD2110"/>
    <mergeCell ref="AC2111:AD2111"/>
    <mergeCell ref="AC2112:AD2112"/>
    <mergeCell ref="AC2113:AD2113"/>
    <mergeCell ref="R2107:S2107"/>
    <mergeCell ref="T2105:U2105"/>
    <mergeCell ref="V2105:W2105"/>
    <mergeCell ref="X2105:Z2107"/>
    <mergeCell ref="AA2105:AB2105"/>
    <mergeCell ref="AC2105:AD2105"/>
    <mergeCell ref="AC2106:AD2106"/>
    <mergeCell ref="AC2107:AD2107"/>
    <mergeCell ref="AA2106:AB2106"/>
    <mergeCell ref="AA2107:AB2107"/>
    <mergeCell ref="AA2108:AB2108"/>
    <mergeCell ref="AI2108:AJ2108"/>
    <mergeCell ref="I2109:J2109"/>
    <mergeCell ref="K2109:L2109"/>
    <mergeCell ref="M2109:O2109"/>
    <mergeCell ref="P2109:Q2109"/>
    <mergeCell ref="T2109:U2109"/>
    <mergeCell ref="V2109:W2109"/>
    <mergeCell ref="AA2109:AB2109"/>
    <mergeCell ref="AI2109:AJ2109"/>
    <mergeCell ref="R2111:S2111"/>
    <mergeCell ref="R2112:S2112"/>
    <mergeCell ref="R2113:S2113"/>
    <mergeCell ref="T2108:U2108"/>
    <mergeCell ref="V2108:W2108"/>
    <mergeCell ref="X2108:Z2110"/>
    <mergeCell ref="V2111:W2111"/>
    <mergeCell ref="X2111:Z2113"/>
    <mergeCell ref="T2113:U2113"/>
    <mergeCell ref="V2113:W2113"/>
    <mergeCell ref="F2108:H2110"/>
    <mergeCell ref="I2108:J2108"/>
    <mergeCell ref="K2108:L2108"/>
    <mergeCell ref="M2108:O2108"/>
    <mergeCell ref="P2108:Q2108"/>
    <mergeCell ref="R2108:S2108"/>
    <mergeCell ref="R2109:S2109"/>
    <mergeCell ref="R2110:S2110"/>
    <mergeCell ref="I2110:J2110"/>
    <mergeCell ref="K2110:L2110"/>
    <mergeCell ref="I2107:J2107"/>
    <mergeCell ref="K2107:L2107"/>
    <mergeCell ref="M2107:O2107"/>
    <mergeCell ref="P2107:Q2107"/>
    <mergeCell ref="T2107:U2107"/>
    <mergeCell ref="V2107:W2107"/>
    <mergeCell ref="AA2113:AB2113"/>
    <mergeCell ref="AI2113:AJ2113"/>
    <mergeCell ref="F2114:H2122"/>
    <mergeCell ref="I2114:J2114"/>
    <mergeCell ref="I2115:J2115"/>
    <mergeCell ref="I2116:J2116"/>
    <mergeCell ref="I2117:J2117"/>
    <mergeCell ref="I2118:J2118"/>
    <mergeCell ref="I2119:J2119"/>
    <mergeCell ref="I2120:J2120"/>
    <mergeCell ref="AA2111:AB2111"/>
    <mergeCell ref="AI2111:AJ2111"/>
    <mergeCell ref="I2112:J2112"/>
    <mergeCell ref="K2112:L2112"/>
    <mergeCell ref="M2112:O2112"/>
    <mergeCell ref="P2112:Q2112"/>
    <mergeCell ref="T2112:U2112"/>
    <mergeCell ref="V2112:W2112"/>
    <mergeCell ref="AA2112:AB2112"/>
    <mergeCell ref="AI2112:AJ2112"/>
    <mergeCell ref="F2111:H2113"/>
    <mergeCell ref="I2111:J2111"/>
    <mergeCell ref="K2111:L2111"/>
    <mergeCell ref="M2111:O2111"/>
    <mergeCell ref="P2111:Q2111"/>
    <mergeCell ref="T2111:U2111"/>
    <mergeCell ref="I2113:J2113"/>
    <mergeCell ref="K2113:L2113"/>
    <mergeCell ref="M2113:O2113"/>
    <mergeCell ref="P2113:Q2113"/>
    <mergeCell ref="M2110:O2110"/>
    <mergeCell ref="P2110:Q2110"/>
    <mergeCell ref="T2110:U2110"/>
    <mergeCell ref="V2110:W2110"/>
    <mergeCell ref="AA2110:AB2110"/>
    <mergeCell ref="AI2110:AJ2110"/>
    <mergeCell ref="K2119:L2119"/>
    <mergeCell ref="M2119:O2119"/>
    <mergeCell ref="P2119:Q2119"/>
    <mergeCell ref="T2119:U2119"/>
    <mergeCell ref="V2119:W2119"/>
    <mergeCell ref="AA2119:AB2119"/>
    <mergeCell ref="X2117:Z2119"/>
    <mergeCell ref="AA2117:AB2117"/>
    <mergeCell ref="AI2117:AJ2117"/>
    <mergeCell ref="K2118:L2118"/>
    <mergeCell ref="M2118:O2118"/>
    <mergeCell ref="P2118:Q2118"/>
    <mergeCell ref="T2118:U2118"/>
    <mergeCell ref="V2118:W2118"/>
    <mergeCell ref="AA2118:AB2118"/>
    <mergeCell ref="AI2118:AJ2118"/>
    <mergeCell ref="P2117:Q2117"/>
    <mergeCell ref="R2117:S2117"/>
    <mergeCell ref="R2118:S2118"/>
    <mergeCell ref="R2119:S2119"/>
    <mergeCell ref="T2117:U2117"/>
    <mergeCell ref="V2117:W2117"/>
    <mergeCell ref="AA2115:AB2115"/>
    <mergeCell ref="AI2115:AJ2115"/>
    <mergeCell ref="K2116:L2116"/>
    <mergeCell ref="M2116:O2116"/>
    <mergeCell ref="P2116:Q2116"/>
    <mergeCell ref="T2116:U2116"/>
    <mergeCell ref="V2116:W2116"/>
    <mergeCell ref="AA2116:AB2116"/>
    <mergeCell ref="AI2116:AJ2116"/>
    <mergeCell ref="T2114:U2114"/>
    <mergeCell ref="V2114:W2114"/>
    <mergeCell ref="X2114:Z2116"/>
    <mergeCell ref="AA2114:AB2114"/>
    <mergeCell ref="AI2114:AJ2114"/>
    <mergeCell ref="K2115:L2115"/>
    <mergeCell ref="M2115:O2115"/>
    <mergeCell ref="P2115:Q2115"/>
    <mergeCell ref="T2115:U2115"/>
    <mergeCell ref="V2115:W2115"/>
    <mergeCell ref="K2114:L2114"/>
    <mergeCell ref="M2114:O2114"/>
    <mergeCell ref="P2114:Q2114"/>
    <mergeCell ref="R2114:S2114"/>
    <mergeCell ref="R2115:S2115"/>
    <mergeCell ref="R2116:S2116"/>
    <mergeCell ref="K2117:L2117"/>
    <mergeCell ref="M2117:O2117"/>
    <mergeCell ref="P2123:Q2123"/>
    <mergeCell ref="R2123:S2123"/>
    <mergeCell ref="R2124:S2124"/>
    <mergeCell ref="R2125:S2125"/>
    <mergeCell ref="R2126:S2126"/>
    <mergeCell ref="R2127:S2127"/>
    <mergeCell ref="P2125:Q2125"/>
    <mergeCell ref="A2123:A2140"/>
    <mergeCell ref="B2123:D2140"/>
    <mergeCell ref="F2123:H2131"/>
    <mergeCell ref="I2123:J2123"/>
    <mergeCell ref="K2123:L2123"/>
    <mergeCell ref="M2123:O2123"/>
    <mergeCell ref="I2125:J2125"/>
    <mergeCell ref="K2125:L2125"/>
    <mergeCell ref="M2125:O2125"/>
    <mergeCell ref="I2127:J2127"/>
    <mergeCell ref="AA2121:AB2121"/>
    <mergeCell ref="AI2121:AJ2121"/>
    <mergeCell ref="K2122:L2122"/>
    <mergeCell ref="M2122:O2122"/>
    <mergeCell ref="P2122:Q2122"/>
    <mergeCell ref="T2122:U2122"/>
    <mergeCell ref="V2122:W2122"/>
    <mergeCell ref="AA2122:AB2122"/>
    <mergeCell ref="AI2122:AJ2122"/>
    <mergeCell ref="T2120:U2120"/>
    <mergeCell ref="V2120:W2120"/>
    <mergeCell ref="X2120:Z2122"/>
    <mergeCell ref="AA2120:AB2120"/>
    <mergeCell ref="AI2120:AJ2120"/>
    <mergeCell ref="K2121:L2121"/>
    <mergeCell ref="M2121:O2121"/>
    <mergeCell ref="P2121:Q2121"/>
    <mergeCell ref="T2121:U2121"/>
    <mergeCell ref="V2121:W2121"/>
    <mergeCell ref="K2120:L2120"/>
    <mergeCell ref="M2120:O2120"/>
    <mergeCell ref="P2120:Q2120"/>
    <mergeCell ref="R2120:S2120"/>
    <mergeCell ref="R2121:S2121"/>
    <mergeCell ref="R2122:S2122"/>
    <mergeCell ref="I2121:J2121"/>
    <mergeCell ref="I2122:J2122"/>
    <mergeCell ref="AC2128:AD2128"/>
    <mergeCell ref="AC2129:AD2129"/>
    <mergeCell ref="AC2130:AD2130"/>
    <mergeCell ref="AC2131:AD2131"/>
    <mergeCell ref="AC2132:AD2132"/>
    <mergeCell ref="AC2133:AD2133"/>
    <mergeCell ref="R2158:S2158"/>
    <mergeCell ref="T2123:U2123"/>
    <mergeCell ref="V2123:W2123"/>
    <mergeCell ref="X2123:Z2131"/>
    <mergeCell ref="AA2123:AB2131"/>
    <mergeCell ref="AC2123:AD2123"/>
    <mergeCell ref="AC2124:AD2124"/>
    <mergeCell ref="AC2125:AD2125"/>
    <mergeCell ref="AC2126:AD2126"/>
    <mergeCell ref="AC2127:AD2127"/>
    <mergeCell ref="R2152:S2152"/>
    <mergeCell ref="R2153:S2153"/>
    <mergeCell ref="R2154:S2154"/>
    <mergeCell ref="R2155:S2155"/>
    <mergeCell ref="R2156:S2156"/>
    <mergeCell ref="R2157:S2157"/>
    <mergeCell ref="R2146:S2146"/>
    <mergeCell ref="R2147:S2147"/>
    <mergeCell ref="R2148:S2148"/>
    <mergeCell ref="R2149:S2149"/>
    <mergeCell ref="R2150:S2150"/>
    <mergeCell ref="R2151:S2151"/>
    <mergeCell ref="R2140:S2140"/>
    <mergeCell ref="R2141:S2141"/>
    <mergeCell ref="R2142:S2142"/>
    <mergeCell ref="R2143:S2143"/>
    <mergeCell ref="R2144:S2144"/>
    <mergeCell ref="R2145:S2145"/>
    <mergeCell ref="R2134:S2134"/>
    <mergeCell ref="R2135:S2135"/>
    <mergeCell ref="R2136:S2136"/>
    <mergeCell ref="R2137:S2137"/>
    <mergeCell ref="R2138:S2138"/>
    <mergeCell ref="R2139:S2139"/>
    <mergeCell ref="R2128:S2128"/>
    <mergeCell ref="R2129:S2129"/>
    <mergeCell ref="R2130:S2130"/>
    <mergeCell ref="R2131:S2131"/>
    <mergeCell ref="R2132:S2132"/>
    <mergeCell ref="R2133:S2133"/>
    <mergeCell ref="AI2128:AJ2128"/>
    <mergeCell ref="I2129:J2129"/>
    <mergeCell ref="K2129:L2129"/>
    <mergeCell ref="M2129:O2129"/>
    <mergeCell ref="P2129:Q2129"/>
    <mergeCell ref="T2129:U2129"/>
    <mergeCell ref="V2129:W2129"/>
    <mergeCell ref="AI2129:AJ2129"/>
    <mergeCell ref="I2128:J2128"/>
    <mergeCell ref="K2128:L2128"/>
    <mergeCell ref="M2128:O2128"/>
    <mergeCell ref="P2128:Q2128"/>
    <mergeCell ref="T2128:U2128"/>
    <mergeCell ref="V2128:W2128"/>
    <mergeCell ref="K2127:L2127"/>
    <mergeCell ref="M2127:O2127"/>
    <mergeCell ref="P2127:Q2127"/>
    <mergeCell ref="T2127:U2127"/>
    <mergeCell ref="V2127:W2127"/>
    <mergeCell ref="AI2127:AJ2127"/>
    <mergeCell ref="T2125:U2125"/>
    <mergeCell ref="V2125:W2125"/>
    <mergeCell ref="AI2125:AJ2125"/>
    <mergeCell ref="I2126:J2126"/>
    <mergeCell ref="K2126:L2126"/>
    <mergeCell ref="M2126:O2126"/>
    <mergeCell ref="P2126:Q2126"/>
    <mergeCell ref="T2126:U2126"/>
    <mergeCell ref="V2126:W2126"/>
    <mergeCell ref="AI2126:AJ2126"/>
    <mergeCell ref="AC2158:AD2158"/>
    <mergeCell ref="AF2123:AH2140"/>
    <mergeCell ref="AI2123:AJ2123"/>
    <mergeCell ref="I2124:J2124"/>
    <mergeCell ref="K2124:L2124"/>
    <mergeCell ref="M2124:O2124"/>
    <mergeCell ref="P2124:Q2124"/>
    <mergeCell ref="T2124:U2124"/>
    <mergeCell ref="V2124:W2124"/>
    <mergeCell ref="AI2124:AJ2124"/>
    <mergeCell ref="AC2152:AD2152"/>
    <mergeCell ref="AC2153:AD2153"/>
    <mergeCell ref="AC2154:AD2154"/>
    <mergeCell ref="AC2155:AD2155"/>
    <mergeCell ref="AC2156:AD2156"/>
    <mergeCell ref="AC2157:AD2157"/>
    <mergeCell ref="AC2146:AD2146"/>
    <mergeCell ref="AC2147:AD2147"/>
    <mergeCell ref="AC2148:AD2148"/>
    <mergeCell ref="AC2149:AD2149"/>
    <mergeCell ref="AC2150:AD2150"/>
    <mergeCell ref="AC2151:AD2151"/>
    <mergeCell ref="AC2140:AD2140"/>
    <mergeCell ref="AC2141:AD2141"/>
    <mergeCell ref="AC2142:AD2142"/>
    <mergeCell ref="AC2143:AD2143"/>
    <mergeCell ref="AC2144:AD2144"/>
    <mergeCell ref="AC2145:AD2145"/>
    <mergeCell ref="AC2134:AD2134"/>
    <mergeCell ref="AC2135:AD2135"/>
    <mergeCell ref="AC2136:AD2136"/>
    <mergeCell ref="AC2137:AD2137"/>
    <mergeCell ref="AC2138:AD2138"/>
    <mergeCell ref="AC2139:AD2139"/>
    <mergeCell ref="AI2133:AJ2133"/>
    <mergeCell ref="I2134:J2134"/>
    <mergeCell ref="K2134:L2134"/>
    <mergeCell ref="M2134:O2134"/>
    <mergeCell ref="P2134:Q2134"/>
    <mergeCell ref="T2134:U2134"/>
    <mergeCell ref="V2134:W2134"/>
    <mergeCell ref="AI2134:AJ2134"/>
    <mergeCell ref="V2132:W2132"/>
    <mergeCell ref="X2132:Z2140"/>
    <mergeCell ref="AA2132:AB2140"/>
    <mergeCell ref="AI2132:AJ2132"/>
    <mergeCell ref="I2133:J2133"/>
    <mergeCell ref="K2133:L2133"/>
    <mergeCell ref="M2133:O2133"/>
    <mergeCell ref="P2133:Q2133"/>
    <mergeCell ref="T2133:U2133"/>
    <mergeCell ref="V2133:W2133"/>
    <mergeCell ref="F2132:H2140"/>
    <mergeCell ref="I2132:J2132"/>
    <mergeCell ref="K2132:L2132"/>
    <mergeCell ref="M2132:O2132"/>
    <mergeCell ref="P2132:Q2132"/>
    <mergeCell ref="T2132:U2132"/>
    <mergeCell ref="I2135:J2135"/>
    <mergeCell ref="K2135:L2135"/>
    <mergeCell ref="M2135:O2135"/>
    <mergeCell ref="P2135:Q2135"/>
    <mergeCell ref="AI2130:AJ2130"/>
    <mergeCell ref="I2131:J2131"/>
    <mergeCell ref="K2131:L2131"/>
    <mergeCell ref="M2131:O2131"/>
    <mergeCell ref="P2131:Q2131"/>
    <mergeCell ref="T2131:U2131"/>
    <mergeCell ref="V2131:W2131"/>
    <mergeCell ref="AI2131:AJ2131"/>
    <mergeCell ref="I2130:J2130"/>
    <mergeCell ref="K2130:L2130"/>
    <mergeCell ref="M2130:O2130"/>
    <mergeCell ref="P2130:Q2130"/>
    <mergeCell ref="T2130:U2130"/>
    <mergeCell ref="V2130:W2130"/>
    <mergeCell ref="AI2139:AJ2139"/>
    <mergeCell ref="I2140:J2140"/>
    <mergeCell ref="K2140:L2140"/>
    <mergeCell ref="M2140:O2140"/>
    <mergeCell ref="P2140:Q2140"/>
    <mergeCell ref="T2140:U2140"/>
    <mergeCell ref="V2140:W2140"/>
    <mergeCell ref="AI2140:AJ2140"/>
    <mergeCell ref="I2139:J2139"/>
    <mergeCell ref="K2139:L2139"/>
    <mergeCell ref="M2139:O2139"/>
    <mergeCell ref="P2139:Q2139"/>
    <mergeCell ref="T2139:U2139"/>
    <mergeCell ref="V2139:W2139"/>
    <mergeCell ref="AI2137:AJ2137"/>
    <mergeCell ref="I2138:J2138"/>
    <mergeCell ref="K2138:L2138"/>
    <mergeCell ref="M2138:O2138"/>
    <mergeCell ref="P2138:Q2138"/>
    <mergeCell ref="T2138:U2138"/>
    <mergeCell ref="V2138:W2138"/>
    <mergeCell ref="AI2138:AJ2138"/>
    <mergeCell ref="I2137:J2137"/>
    <mergeCell ref="K2137:L2137"/>
    <mergeCell ref="M2137:O2137"/>
    <mergeCell ref="P2137:Q2137"/>
    <mergeCell ref="T2137:U2137"/>
    <mergeCell ref="V2137:W2137"/>
    <mergeCell ref="T2135:U2135"/>
    <mergeCell ref="V2135:W2135"/>
    <mergeCell ref="AI2135:AJ2135"/>
    <mergeCell ref="I2136:J2136"/>
    <mergeCell ref="K2136:L2136"/>
    <mergeCell ref="M2136:O2136"/>
    <mergeCell ref="P2136:Q2136"/>
    <mergeCell ref="T2136:U2136"/>
    <mergeCell ref="V2136:W2136"/>
    <mergeCell ref="AI2136:AJ2136"/>
    <mergeCell ref="AI2143:AJ2143"/>
    <mergeCell ref="I2144:J2144"/>
    <mergeCell ref="K2144:L2144"/>
    <mergeCell ref="M2144:O2144"/>
    <mergeCell ref="P2144:Q2144"/>
    <mergeCell ref="T2144:U2144"/>
    <mergeCell ref="V2144:W2144"/>
    <mergeCell ref="AI2144:AJ2144"/>
    <mergeCell ref="AF2141:AH2158"/>
    <mergeCell ref="AI2141:AJ2141"/>
    <mergeCell ref="I2142:J2142"/>
    <mergeCell ref="K2142:L2142"/>
    <mergeCell ref="M2142:O2142"/>
    <mergeCell ref="P2142:Q2142"/>
    <mergeCell ref="T2142:U2142"/>
    <mergeCell ref="V2142:W2142"/>
    <mergeCell ref="AI2142:AJ2142"/>
    <mergeCell ref="I2143:J2143"/>
    <mergeCell ref="M2141:O2141"/>
    <mergeCell ref="P2141:Q2141"/>
    <mergeCell ref="T2141:U2141"/>
    <mergeCell ref="V2141:W2141"/>
    <mergeCell ref="X2141:Z2152"/>
    <mergeCell ref="AA2141:AB2152"/>
    <mergeCell ref="M2143:O2143"/>
    <mergeCell ref="P2143:Q2143"/>
    <mergeCell ref="T2143:U2143"/>
    <mergeCell ref="V2143:W2143"/>
    <mergeCell ref="B2156:D2156"/>
    <mergeCell ref="B2157:D2157"/>
    <mergeCell ref="B2158:D2158"/>
    <mergeCell ref="F2141:H2152"/>
    <mergeCell ref="I2141:J2141"/>
    <mergeCell ref="K2141:L2141"/>
    <mergeCell ref="K2143:L2143"/>
    <mergeCell ref="I2145:J2145"/>
    <mergeCell ref="K2145:L2145"/>
    <mergeCell ref="I2148:J2148"/>
    <mergeCell ref="B2150:D2150"/>
    <mergeCell ref="B2151:D2151"/>
    <mergeCell ref="B2152:D2152"/>
    <mergeCell ref="B2153:D2153"/>
    <mergeCell ref="B2154:D2154"/>
    <mergeCell ref="B2155:D2155"/>
    <mergeCell ref="B2141:D2141"/>
    <mergeCell ref="B2142:D2142"/>
    <mergeCell ref="B2143:D2143"/>
    <mergeCell ref="B2144:D2144"/>
    <mergeCell ref="B2145:D2145"/>
    <mergeCell ref="B2146:D2146"/>
    <mergeCell ref="B2147:D2147"/>
    <mergeCell ref="B2148:D2148"/>
    <mergeCell ref="B2149:D2149"/>
    <mergeCell ref="AI2149:AJ2149"/>
    <mergeCell ref="I2150:J2150"/>
    <mergeCell ref="K2150:L2150"/>
    <mergeCell ref="M2150:O2150"/>
    <mergeCell ref="P2150:Q2150"/>
    <mergeCell ref="T2150:U2150"/>
    <mergeCell ref="V2150:W2150"/>
    <mergeCell ref="AI2150:AJ2150"/>
    <mergeCell ref="I2149:J2149"/>
    <mergeCell ref="K2149:L2149"/>
    <mergeCell ref="M2149:O2149"/>
    <mergeCell ref="P2149:Q2149"/>
    <mergeCell ref="T2149:U2149"/>
    <mergeCell ref="V2149:W2149"/>
    <mergeCell ref="K2148:L2148"/>
    <mergeCell ref="M2148:O2148"/>
    <mergeCell ref="P2148:Q2148"/>
    <mergeCell ref="T2148:U2148"/>
    <mergeCell ref="V2148:W2148"/>
    <mergeCell ref="AI2148:AJ2148"/>
    <mergeCell ref="V2146:W2146"/>
    <mergeCell ref="AI2146:AJ2146"/>
    <mergeCell ref="I2147:J2147"/>
    <mergeCell ref="K2147:L2147"/>
    <mergeCell ref="M2147:O2147"/>
    <mergeCell ref="P2147:Q2147"/>
    <mergeCell ref="T2147:U2147"/>
    <mergeCell ref="V2147:W2147"/>
    <mergeCell ref="AI2147:AJ2147"/>
    <mergeCell ref="M2145:O2145"/>
    <mergeCell ref="P2145:Q2145"/>
    <mergeCell ref="T2145:U2145"/>
    <mergeCell ref="V2145:W2145"/>
    <mergeCell ref="AI2145:AJ2145"/>
    <mergeCell ref="I2146:J2146"/>
    <mergeCell ref="K2146:L2146"/>
    <mergeCell ref="M2146:O2146"/>
    <mergeCell ref="P2146:Q2146"/>
    <mergeCell ref="T2146:U2146"/>
    <mergeCell ref="V2153:W2153"/>
    <mergeCell ref="X2153:Z2158"/>
    <mergeCell ref="AA2153:AB2158"/>
    <mergeCell ref="AI2153:AJ2153"/>
    <mergeCell ref="I2154:J2154"/>
    <mergeCell ref="K2154:L2154"/>
    <mergeCell ref="M2154:O2154"/>
    <mergeCell ref="P2154:Q2154"/>
    <mergeCell ref="T2154:U2154"/>
    <mergeCell ref="V2154:W2154"/>
    <mergeCell ref="F2153:H2158"/>
    <mergeCell ref="I2153:J2153"/>
    <mergeCell ref="K2153:L2153"/>
    <mergeCell ref="M2153:O2153"/>
    <mergeCell ref="P2153:Q2153"/>
    <mergeCell ref="T2153:U2153"/>
    <mergeCell ref="I2156:J2156"/>
    <mergeCell ref="K2156:L2156"/>
    <mergeCell ref="M2156:O2156"/>
    <mergeCell ref="P2156:Q2156"/>
    <mergeCell ref="AI2151:AJ2151"/>
    <mergeCell ref="I2152:J2152"/>
    <mergeCell ref="K2152:L2152"/>
    <mergeCell ref="M2152:O2152"/>
    <mergeCell ref="P2152:Q2152"/>
    <mergeCell ref="T2152:U2152"/>
    <mergeCell ref="V2152:W2152"/>
    <mergeCell ref="AI2152:AJ2152"/>
    <mergeCell ref="I2151:J2151"/>
    <mergeCell ref="K2151:L2151"/>
    <mergeCell ref="M2151:O2151"/>
    <mergeCell ref="P2151:Q2151"/>
    <mergeCell ref="T2151:U2151"/>
    <mergeCell ref="V2151:W2151"/>
    <mergeCell ref="B2167:D2167"/>
    <mergeCell ref="B2168:D2168"/>
    <mergeCell ref="B2169:D2169"/>
    <mergeCell ref="B2170:D2170"/>
    <mergeCell ref="B2171:D2171"/>
    <mergeCell ref="B2172:D2172"/>
    <mergeCell ref="AI2158:AJ2158"/>
    <mergeCell ref="A2159:A2174"/>
    <mergeCell ref="B2159:D2159"/>
    <mergeCell ref="B2160:D2160"/>
    <mergeCell ref="B2161:D2161"/>
    <mergeCell ref="B2162:D2162"/>
    <mergeCell ref="B2163:D2163"/>
    <mergeCell ref="B2164:D2164"/>
    <mergeCell ref="B2165:D2165"/>
    <mergeCell ref="B2166:D2166"/>
    <mergeCell ref="I2158:J2158"/>
    <mergeCell ref="K2158:L2158"/>
    <mergeCell ref="M2158:O2158"/>
    <mergeCell ref="P2158:Q2158"/>
    <mergeCell ref="T2158:U2158"/>
    <mergeCell ref="V2158:W2158"/>
    <mergeCell ref="T2156:U2156"/>
    <mergeCell ref="V2156:W2156"/>
    <mergeCell ref="AI2156:AJ2156"/>
    <mergeCell ref="I2157:J2157"/>
    <mergeCell ref="K2157:L2157"/>
    <mergeCell ref="M2157:O2157"/>
    <mergeCell ref="P2157:Q2157"/>
    <mergeCell ref="T2157:U2157"/>
    <mergeCell ref="V2157:W2157"/>
    <mergeCell ref="AI2157:AJ2157"/>
    <mergeCell ref="AI2154:AJ2154"/>
    <mergeCell ref="I2155:J2155"/>
    <mergeCell ref="K2155:L2155"/>
    <mergeCell ref="M2155:O2155"/>
    <mergeCell ref="P2155:Q2155"/>
    <mergeCell ref="T2155:U2155"/>
    <mergeCell ref="V2155:W2155"/>
    <mergeCell ref="AI2155:AJ2155"/>
    <mergeCell ref="A2141:A2158"/>
    <mergeCell ref="AI2160:AJ2160"/>
    <mergeCell ref="I2161:J2161"/>
    <mergeCell ref="M2161:O2161"/>
    <mergeCell ref="P2161:Q2161"/>
    <mergeCell ref="R2161:S2161"/>
    <mergeCell ref="T2161:U2161"/>
    <mergeCell ref="V2161:W2161"/>
    <mergeCell ref="AI2161:AJ2161"/>
    <mergeCell ref="AC2172:AD2172"/>
    <mergeCell ref="AC2173:AD2173"/>
    <mergeCell ref="AC2174:AD2174"/>
    <mergeCell ref="AF2159:AH2174"/>
    <mergeCell ref="AI2159:AJ2159"/>
    <mergeCell ref="I2160:J2160"/>
    <mergeCell ref="M2160:O2160"/>
    <mergeCell ref="P2160:Q2160"/>
    <mergeCell ref="R2160:S2160"/>
    <mergeCell ref="T2160:U2160"/>
    <mergeCell ref="AC2166:AD2166"/>
    <mergeCell ref="AC2167:AD2167"/>
    <mergeCell ref="AC2168:AD2168"/>
    <mergeCell ref="AC2169:AD2169"/>
    <mergeCell ref="AC2170:AD2170"/>
    <mergeCell ref="AC2171:AD2171"/>
    <mergeCell ref="X2159:Z2165"/>
    <mergeCell ref="AA2159:AB2165"/>
    <mergeCell ref="AC2159:AD2159"/>
    <mergeCell ref="AC2160:AD2160"/>
    <mergeCell ref="AC2161:AD2161"/>
    <mergeCell ref="AC2162:AD2162"/>
    <mergeCell ref="AC2163:AD2163"/>
    <mergeCell ref="AC2164:AD2164"/>
    <mergeCell ref="AC2165:AD2165"/>
    <mergeCell ref="K2165:L2165"/>
    <mergeCell ref="M2159:O2159"/>
    <mergeCell ref="P2159:Q2159"/>
    <mergeCell ref="R2159:S2159"/>
    <mergeCell ref="T2159:U2159"/>
    <mergeCell ref="V2159:W2159"/>
    <mergeCell ref="V2160:W2160"/>
    <mergeCell ref="I2159:J2159"/>
    <mergeCell ref="K2159:L2159"/>
    <mergeCell ref="K2160:L2160"/>
    <mergeCell ref="K2161:L2161"/>
    <mergeCell ref="K2162:L2162"/>
    <mergeCell ref="K2163:L2163"/>
    <mergeCell ref="K2164:L2164"/>
    <mergeCell ref="T2165:U2165"/>
    <mergeCell ref="V2165:W2165"/>
    <mergeCell ref="AI2165:AJ2165"/>
    <mergeCell ref="F2166:H2174"/>
    <mergeCell ref="I2166:J2166"/>
    <mergeCell ref="K2166:L2166"/>
    <mergeCell ref="K2167:L2167"/>
    <mergeCell ref="K2168:L2168"/>
    <mergeCell ref="R2167:S2167"/>
    <mergeCell ref="R2168:S2168"/>
    <mergeCell ref="R2169:S2169"/>
    <mergeCell ref="R2170:S2170"/>
    <mergeCell ref="R2171:S2171"/>
    <mergeCell ref="R2172:S2172"/>
    <mergeCell ref="AI2164:AJ2164"/>
    <mergeCell ref="I2165:J2165"/>
    <mergeCell ref="M2165:O2165"/>
    <mergeCell ref="P2165:Q2165"/>
    <mergeCell ref="R2165:S2165"/>
    <mergeCell ref="R2166:S2166"/>
    <mergeCell ref="M2166:O2166"/>
    <mergeCell ref="P2166:Q2166"/>
    <mergeCell ref="T2166:U2166"/>
    <mergeCell ref="V2166:W2166"/>
    <mergeCell ref="I2164:J2164"/>
    <mergeCell ref="M2164:O2164"/>
    <mergeCell ref="P2164:Q2164"/>
    <mergeCell ref="R2164:S2164"/>
    <mergeCell ref="T2164:U2164"/>
    <mergeCell ref="V2164:W2164"/>
    <mergeCell ref="AI2162:AJ2162"/>
    <mergeCell ref="I2163:J2163"/>
    <mergeCell ref="M2163:O2163"/>
    <mergeCell ref="P2163:Q2163"/>
    <mergeCell ref="R2163:S2163"/>
    <mergeCell ref="T2163:U2163"/>
    <mergeCell ref="V2163:W2163"/>
    <mergeCell ref="AI2163:AJ2163"/>
    <mergeCell ref="I2162:J2162"/>
    <mergeCell ref="M2162:O2162"/>
    <mergeCell ref="P2162:Q2162"/>
    <mergeCell ref="R2162:S2162"/>
    <mergeCell ref="T2162:U2162"/>
    <mergeCell ref="V2162:W2162"/>
    <mergeCell ref="F2159:H2165"/>
    <mergeCell ref="I2172:J2172"/>
    <mergeCell ref="M2172:O2172"/>
    <mergeCell ref="P2172:Q2172"/>
    <mergeCell ref="T2172:U2172"/>
    <mergeCell ref="V2172:W2172"/>
    <mergeCell ref="AI2172:AJ2172"/>
    <mergeCell ref="I2171:J2171"/>
    <mergeCell ref="M2171:O2171"/>
    <mergeCell ref="P2171:Q2171"/>
    <mergeCell ref="T2171:U2171"/>
    <mergeCell ref="V2171:W2171"/>
    <mergeCell ref="AI2171:AJ2171"/>
    <mergeCell ref="AI2169:AJ2169"/>
    <mergeCell ref="I2170:J2170"/>
    <mergeCell ref="M2170:O2170"/>
    <mergeCell ref="P2170:Q2170"/>
    <mergeCell ref="T2170:U2170"/>
    <mergeCell ref="V2170:W2170"/>
    <mergeCell ref="AI2170:AJ2170"/>
    <mergeCell ref="M2168:O2168"/>
    <mergeCell ref="P2168:Q2168"/>
    <mergeCell ref="T2168:U2168"/>
    <mergeCell ref="V2168:W2168"/>
    <mergeCell ref="AI2168:AJ2168"/>
    <mergeCell ref="I2169:J2169"/>
    <mergeCell ref="M2169:O2169"/>
    <mergeCell ref="P2169:Q2169"/>
    <mergeCell ref="T2169:U2169"/>
    <mergeCell ref="V2169:W2169"/>
    <mergeCell ref="X2166:Z2174"/>
    <mergeCell ref="AA2166:AB2174"/>
    <mergeCell ref="AI2166:AJ2166"/>
    <mergeCell ref="I2167:J2167"/>
    <mergeCell ref="M2167:O2167"/>
    <mergeCell ref="P2167:Q2167"/>
    <mergeCell ref="T2167:U2167"/>
    <mergeCell ref="V2167:W2167"/>
    <mergeCell ref="AI2167:AJ2167"/>
    <mergeCell ref="I2168:J2168"/>
    <mergeCell ref="K2169:L2169"/>
    <mergeCell ref="K2170:L2170"/>
    <mergeCell ref="K2171:L2171"/>
    <mergeCell ref="K2172:L2172"/>
    <mergeCell ref="K2173:L2173"/>
    <mergeCell ref="K2174:L2174"/>
    <mergeCell ref="R2173:S2173"/>
    <mergeCell ref="R2174:S2174"/>
    <mergeCell ref="K2177:L2177"/>
    <mergeCell ref="K2178:L2178"/>
    <mergeCell ref="K2179:L2179"/>
    <mergeCell ref="I2178:J2178"/>
    <mergeCell ref="B2184:D2184"/>
    <mergeCell ref="B2185:D2185"/>
    <mergeCell ref="B2186:D2186"/>
    <mergeCell ref="B2187:D2187"/>
    <mergeCell ref="B2188:D2188"/>
    <mergeCell ref="F2175:H2179"/>
    <mergeCell ref="F2180:H2188"/>
    <mergeCell ref="A2175:A2188"/>
    <mergeCell ref="B2175:D2175"/>
    <mergeCell ref="B2176:D2176"/>
    <mergeCell ref="B2177:D2177"/>
    <mergeCell ref="B2178:D2178"/>
    <mergeCell ref="B2179:D2179"/>
    <mergeCell ref="B2180:D2180"/>
    <mergeCell ref="B2181:D2181"/>
    <mergeCell ref="B2182:D2182"/>
    <mergeCell ref="B2183:D2183"/>
    <mergeCell ref="I2174:J2174"/>
    <mergeCell ref="M2174:O2174"/>
    <mergeCell ref="P2174:Q2174"/>
    <mergeCell ref="T2174:U2174"/>
    <mergeCell ref="V2174:W2174"/>
    <mergeCell ref="AI2174:AJ2174"/>
    <mergeCell ref="I2173:J2173"/>
    <mergeCell ref="M2173:O2173"/>
    <mergeCell ref="P2173:Q2173"/>
    <mergeCell ref="T2173:U2173"/>
    <mergeCell ref="V2173:W2173"/>
    <mergeCell ref="AI2173:AJ2173"/>
    <mergeCell ref="B2173:D2173"/>
    <mergeCell ref="B2174:D2174"/>
    <mergeCell ref="AI2178:AJ2178"/>
    <mergeCell ref="I2179:J2179"/>
    <mergeCell ref="M2179:O2179"/>
    <mergeCell ref="P2179:Q2179"/>
    <mergeCell ref="T2179:U2179"/>
    <mergeCell ref="V2179:W2179"/>
    <mergeCell ref="AI2179:AJ2179"/>
    <mergeCell ref="AI2176:AJ2176"/>
    <mergeCell ref="I2177:J2177"/>
    <mergeCell ref="M2177:O2177"/>
    <mergeCell ref="P2177:Q2177"/>
    <mergeCell ref="T2177:U2177"/>
    <mergeCell ref="V2177:W2177"/>
    <mergeCell ref="AI2177:AJ2177"/>
    <mergeCell ref="AC2186:AD2186"/>
    <mergeCell ref="AC2187:AD2187"/>
    <mergeCell ref="AC2188:AD2188"/>
    <mergeCell ref="AF2175:AH2188"/>
    <mergeCell ref="AI2175:AJ2175"/>
    <mergeCell ref="I2176:J2176"/>
    <mergeCell ref="M2176:O2176"/>
    <mergeCell ref="P2176:Q2176"/>
    <mergeCell ref="T2176:U2176"/>
    <mergeCell ref="V2176:W2176"/>
    <mergeCell ref="AC2180:AD2180"/>
    <mergeCell ref="AC2181:AD2181"/>
    <mergeCell ref="AC2182:AD2182"/>
    <mergeCell ref="AC2183:AD2183"/>
    <mergeCell ref="AC2184:AD2184"/>
    <mergeCell ref="AC2185:AD2185"/>
    <mergeCell ref="X2175:Z2179"/>
    <mergeCell ref="AA2175:AB2179"/>
    <mergeCell ref="AC2175:AD2175"/>
    <mergeCell ref="AC2176:AD2176"/>
    <mergeCell ref="AC2177:AD2177"/>
    <mergeCell ref="AC2178:AD2178"/>
    <mergeCell ref="AC2179:AD2179"/>
    <mergeCell ref="R2185:S2185"/>
    <mergeCell ref="R2186:S2186"/>
    <mergeCell ref="R2187:S2187"/>
    <mergeCell ref="R2188:S2188"/>
    <mergeCell ref="T2175:U2175"/>
    <mergeCell ref="V2175:W2175"/>
    <mergeCell ref="T2178:U2178"/>
    <mergeCell ref="V2178:W2178"/>
    <mergeCell ref="T2180:U2180"/>
    <mergeCell ref="V2180:W2180"/>
    <mergeCell ref="R2179:S2179"/>
    <mergeCell ref="R2180:S2180"/>
    <mergeCell ref="R2181:S2181"/>
    <mergeCell ref="R2182:S2182"/>
    <mergeCell ref="R2183:S2183"/>
    <mergeCell ref="R2184:S2184"/>
    <mergeCell ref="M2175:O2175"/>
    <mergeCell ref="P2175:Q2175"/>
    <mergeCell ref="R2175:S2175"/>
    <mergeCell ref="R2176:S2176"/>
    <mergeCell ref="R2177:S2177"/>
    <mergeCell ref="R2178:S2178"/>
    <mergeCell ref="M2178:O2178"/>
    <mergeCell ref="P2178:Q2178"/>
    <mergeCell ref="I2175:J2175"/>
    <mergeCell ref="K2175:L2175"/>
    <mergeCell ref="K2176:L2176"/>
    <mergeCell ref="T2184:U2184"/>
    <mergeCell ref="V2184:W2184"/>
    <mergeCell ref="AI2184:AJ2184"/>
    <mergeCell ref="I2185:J2185"/>
    <mergeCell ref="M2185:O2185"/>
    <mergeCell ref="P2185:Q2185"/>
    <mergeCell ref="T2185:U2185"/>
    <mergeCell ref="V2185:W2185"/>
    <mergeCell ref="AI2185:AJ2185"/>
    <mergeCell ref="T2182:U2182"/>
    <mergeCell ref="V2182:W2182"/>
    <mergeCell ref="AI2182:AJ2182"/>
    <mergeCell ref="I2183:J2183"/>
    <mergeCell ref="M2183:O2183"/>
    <mergeCell ref="P2183:Q2183"/>
    <mergeCell ref="T2183:U2183"/>
    <mergeCell ref="V2183:W2183"/>
    <mergeCell ref="AI2183:AJ2183"/>
    <mergeCell ref="X2180:Z2188"/>
    <mergeCell ref="AA2180:AB2188"/>
    <mergeCell ref="AI2180:AJ2180"/>
    <mergeCell ref="I2181:J2181"/>
    <mergeCell ref="M2181:O2181"/>
    <mergeCell ref="P2181:Q2181"/>
    <mergeCell ref="T2181:U2181"/>
    <mergeCell ref="V2181:W2181"/>
    <mergeCell ref="AI2181:AJ2181"/>
    <mergeCell ref="I2182:J2182"/>
    <mergeCell ref="K2185:L2185"/>
    <mergeCell ref="K2186:L2186"/>
    <mergeCell ref="K2187:L2187"/>
    <mergeCell ref="K2188:L2188"/>
    <mergeCell ref="M2180:O2180"/>
    <mergeCell ref="P2180:Q2180"/>
    <mergeCell ref="M2182:O2182"/>
    <mergeCell ref="P2182:Q2182"/>
    <mergeCell ref="M2184:O2184"/>
    <mergeCell ref="P2184:Q2184"/>
    <mergeCell ref="I2180:J2180"/>
    <mergeCell ref="K2180:L2180"/>
    <mergeCell ref="K2181:L2181"/>
    <mergeCell ref="K2182:L2182"/>
    <mergeCell ref="K2183:L2183"/>
    <mergeCell ref="K2184:L2184"/>
    <mergeCell ref="I2184:J2184"/>
    <mergeCell ref="F2189:H2192"/>
    <mergeCell ref="I2189:J2189"/>
    <mergeCell ref="K2189:L2190"/>
    <mergeCell ref="M2189:O2190"/>
    <mergeCell ref="P2189:Q2190"/>
    <mergeCell ref="F2193:H2198"/>
    <mergeCell ref="I2193:J2193"/>
    <mergeCell ref="K2193:L2193"/>
    <mergeCell ref="K2194:L2194"/>
    <mergeCell ref="A2189:A2198"/>
    <mergeCell ref="B2189:D2189"/>
    <mergeCell ref="B2190:D2190"/>
    <mergeCell ref="B2191:D2191"/>
    <mergeCell ref="B2192:D2192"/>
    <mergeCell ref="B2193:D2193"/>
    <mergeCell ref="B2194:D2194"/>
    <mergeCell ref="B2195:D2195"/>
    <mergeCell ref="B2196:D2196"/>
    <mergeCell ref="B2197:D2197"/>
    <mergeCell ref="I2188:J2188"/>
    <mergeCell ref="M2188:O2188"/>
    <mergeCell ref="P2188:Q2188"/>
    <mergeCell ref="T2188:U2188"/>
    <mergeCell ref="V2188:W2188"/>
    <mergeCell ref="AI2188:AJ2188"/>
    <mergeCell ref="I2187:J2187"/>
    <mergeCell ref="M2187:O2187"/>
    <mergeCell ref="P2187:Q2187"/>
    <mergeCell ref="T2187:U2187"/>
    <mergeCell ref="V2187:W2187"/>
    <mergeCell ref="AI2187:AJ2187"/>
    <mergeCell ref="I2186:J2186"/>
    <mergeCell ref="M2186:O2186"/>
    <mergeCell ref="P2186:Q2186"/>
    <mergeCell ref="T2186:U2186"/>
    <mergeCell ref="V2186:W2186"/>
    <mergeCell ref="AI2186:AJ2186"/>
    <mergeCell ref="AI2191:AJ2191"/>
    <mergeCell ref="I2192:J2192"/>
    <mergeCell ref="M2192:O2192"/>
    <mergeCell ref="P2192:Q2192"/>
    <mergeCell ref="T2192:U2192"/>
    <mergeCell ref="V2192:W2192"/>
    <mergeCell ref="AI2192:AJ2192"/>
    <mergeCell ref="R2195:S2195"/>
    <mergeCell ref="R2196:S2196"/>
    <mergeCell ref="R2197:S2197"/>
    <mergeCell ref="R2198:S2198"/>
    <mergeCell ref="T2191:U2191"/>
    <mergeCell ref="V2191:W2191"/>
    <mergeCell ref="T2193:U2193"/>
    <mergeCell ref="V2193:W2193"/>
    <mergeCell ref="T2195:U2195"/>
    <mergeCell ref="V2195:W2195"/>
    <mergeCell ref="AE2189:AE2198"/>
    <mergeCell ref="AF2189:AH2198"/>
    <mergeCell ref="AI2189:AJ2189"/>
    <mergeCell ref="I2190:J2190"/>
    <mergeCell ref="AI2190:AJ2190"/>
    <mergeCell ref="I2191:J2191"/>
    <mergeCell ref="K2191:L2191"/>
    <mergeCell ref="K2192:L2192"/>
    <mergeCell ref="M2191:O2191"/>
    <mergeCell ref="P2191:Q2191"/>
    <mergeCell ref="R2189:S2190"/>
    <mergeCell ref="T2189:U2190"/>
    <mergeCell ref="V2189:W2190"/>
    <mergeCell ref="X2189:Z2192"/>
    <mergeCell ref="AA2189:AB2192"/>
    <mergeCell ref="AC2189:AD2198"/>
    <mergeCell ref="R2191:S2191"/>
    <mergeCell ref="R2192:S2192"/>
    <mergeCell ref="R2193:S2193"/>
    <mergeCell ref="R2194:S2194"/>
    <mergeCell ref="A2199:A2204"/>
    <mergeCell ref="B2199:D2204"/>
    <mergeCell ref="F2199:H2204"/>
    <mergeCell ref="I2199:J2199"/>
    <mergeCell ref="K2199:L2199"/>
    <mergeCell ref="K2200:L2200"/>
    <mergeCell ref="K2201:L2201"/>
    <mergeCell ref="K2202:L2202"/>
    <mergeCell ref="K2203:L2203"/>
    <mergeCell ref="K2204:L2204"/>
    <mergeCell ref="I2198:J2198"/>
    <mergeCell ref="M2198:O2198"/>
    <mergeCell ref="P2198:Q2198"/>
    <mergeCell ref="T2198:U2198"/>
    <mergeCell ref="V2198:W2198"/>
    <mergeCell ref="AI2198:AJ2198"/>
    <mergeCell ref="I2197:J2197"/>
    <mergeCell ref="M2197:O2197"/>
    <mergeCell ref="P2197:Q2197"/>
    <mergeCell ref="T2197:U2197"/>
    <mergeCell ref="V2197:W2197"/>
    <mergeCell ref="AI2197:AJ2197"/>
    <mergeCell ref="AI2195:AJ2195"/>
    <mergeCell ref="I2196:J2196"/>
    <mergeCell ref="M2196:O2196"/>
    <mergeCell ref="P2196:Q2196"/>
    <mergeCell ref="T2196:U2196"/>
    <mergeCell ref="V2196:W2196"/>
    <mergeCell ref="AI2196:AJ2196"/>
    <mergeCell ref="X2193:Z2198"/>
    <mergeCell ref="AA2193:AB2198"/>
    <mergeCell ref="AI2193:AJ2193"/>
    <mergeCell ref="I2194:J2194"/>
    <mergeCell ref="M2194:O2194"/>
    <mergeCell ref="P2194:Q2194"/>
    <mergeCell ref="T2194:U2194"/>
    <mergeCell ref="V2194:W2194"/>
    <mergeCell ref="AI2194:AJ2194"/>
    <mergeCell ref="I2195:J2195"/>
    <mergeCell ref="K2195:L2195"/>
    <mergeCell ref="K2196:L2196"/>
    <mergeCell ref="K2197:L2197"/>
    <mergeCell ref="K2198:L2198"/>
    <mergeCell ref="M2193:O2193"/>
    <mergeCell ref="P2193:Q2193"/>
    <mergeCell ref="M2195:O2195"/>
    <mergeCell ref="P2195:Q2195"/>
    <mergeCell ref="B2198:D2198"/>
    <mergeCell ref="I2202:J2202"/>
    <mergeCell ref="M2202:O2202"/>
    <mergeCell ref="P2202:Q2202"/>
    <mergeCell ref="T2202:U2202"/>
    <mergeCell ref="V2202:W2202"/>
    <mergeCell ref="AI2202:AJ2202"/>
    <mergeCell ref="I2201:J2201"/>
    <mergeCell ref="M2201:O2201"/>
    <mergeCell ref="P2201:Q2201"/>
    <mergeCell ref="T2201:U2201"/>
    <mergeCell ref="V2201:W2201"/>
    <mergeCell ref="AI2201:AJ2201"/>
    <mergeCell ref="AI2199:AJ2199"/>
    <mergeCell ref="I2200:J2200"/>
    <mergeCell ref="M2200:O2200"/>
    <mergeCell ref="P2200:Q2200"/>
    <mergeCell ref="T2200:U2200"/>
    <mergeCell ref="V2200:W2200"/>
    <mergeCell ref="AI2200:AJ2200"/>
    <mergeCell ref="AF2199:AH2199"/>
    <mergeCell ref="AF2200:AH2200"/>
    <mergeCell ref="AF2201:AH2201"/>
    <mergeCell ref="AF2202:AH2202"/>
    <mergeCell ref="AF2203:AH2203"/>
    <mergeCell ref="AF2204:AH2204"/>
    <mergeCell ref="AC2199:AD2199"/>
    <mergeCell ref="AC2200:AD2200"/>
    <mergeCell ref="AC2201:AD2201"/>
    <mergeCell ref="AC2202:AD2202"/>
    <mergeCell ref="AC2203:AD2203"/>
    <mergeCell ref="AC2204:AD2204"/>
    <mergeCell ref="R2203:S2203"/>
    <mergeCell ref="R2204:S2204"/>
    <mergeCell ref="T2199:U2199"/>
    <mergeCell ref="V2199:W2199"/>
    <mergeCell ref="X2199:Z2202"/>
    <mergeCell ref="AA2199:AB2202"/>
    <mergeCell ref="AA2203:AB2204"/>
    <mergeCell ref="M2199:O2199"/>
    <mergeCell ref="P2199:Q2199"/>
    <mergeCell ref="R2199:S2199"/>
    <mergeCell ref="R2200:S2200"/>
    <mergeCell ref="R2201:S2201"/>
    <mergeCell ref="R2202:S2202"/>
    <mergeCell ref="V2206:W2206"/>
    <mergeCell ref="X2206:Z2206"/>
    <mergeCell ref="AA2206:AB2206"/>
    <mergeCell ref="AC2206:AD2206"/>
    <mergeCell ref="AF2206:AH2206"/>
    <mergeCell ref="AI2206:AI2256"/>
    <mergeCell ref="AC2207:AD2207"/>
    <mergeCell ref="AC2208:AD2208"/>
    <mergeCell ref="AC2209:AD2209"/>
    <mergeCell ref="AC2210:AD2210"/>
    <mergeCell ref="AF2205:AH2205"/>
    <mergeCell ref="AI2205:AJ2205"/>
    <mergeCell ref="B2206:D2206"/>
    <mergeCell ref="F2206:H2206"/>
    <mergeCell ref="I2206:J2206"/>
    <mergeCell ref="K2206:L2206"/>
    <mergeCell ref="M2206:O2206"/>
    <mergeCell ref="P2206:Q2206"/>
    <mergeCell ref="R2206:S2206"/>
    <mergeCell ref="T2206:U2206"/>
    <mergeCell ref="R2205:S2205"/>
    <mergeCell ref="T2205:U2205"/>
    <mergeCell ref="V2205:W2205"/>
    <mergeCell ref="X2205:Z2205"/>
    <mergeCell ref="AA2205:AB2205"/>
    <mergeCell ref="AC2205:AD2205"/>
    <mergeCell ref="B2205:D2205"/>
    <mergeCell ref="F2205:H2205"/>
    <mergeCell ref="I2205:J2205"/>
    <mergeCell ref="K2205:L2205"/>
    <mergeCell ref="M2205:O2205"/>
    <mergeCell ref="P2205:Q2205"/>
    <mergeCell ref="AI2203:AJ2203"/>
    <mergeCell ref="I2204:J2204"/>
    <mergeCell ref="M2204:O2204"/>
    <mergeCell ref="P2204:Q2204"/>
    <mergeCell ref="T2204:U2204"/>
    <mergeCell ref="V2204:W2204"/>
    <mergeCell ref="AI2204:AJ2204"/>
    <mergeCell ref="I2203:J2203"/>
    <mergeCell ref="M2203:O2203"/>
    <mergeCell ref="P2203:Q2203"/>
    <mergeCell ref="T2203:U2203"/>
    <mergeCell ref="V2203:W2203"/>
    <mergeCell ref="X2203:Z2204"/>
    <mergeCell ref="R2211:S2211"/>
    <mergeCell ref="T2211:U2211"/>
    <mergeCell ref="V2211:W2211"/>
    <mergeCell ref="B2212:D2212"/>
    <mergeCell ref="F2212:H2212"/>
    <mergeCell ref="I2212:J2212"/>
    <mergeCell ref="K2212:L2212"/>
    <mergeCell ref="M2212:O2212"/>
    <mergeCell ref="P2212:Q2212"/>
    <mergeCell ref="R2212:S2212"/>
    <mergeCell ref="B2211:D2211"/>
    <mergeCell ref="F2211:H2211"/>
    <mergeCell ref="I2211:J2211"/>
    <mergeCell ref="K2211:L2211"/>
    <mergeCell ref="M2211:O2211"/>
    <mergeCell ref="P2211:Q2211"/>
    <mergeCell ref="M2209:O2209"/>
    <mergeCell ref="P2209:Q2209"/>
    <mergeCell ref="R2209:S2209"/>
    <mergeCell ref="T2209:U2209"/>
    <mergeCell ref="V2209:W2209"/>
    <mergeCell ref="B2210:D2210"/>
    <mergeCell ref="F2210:H2210"/>
    <mergeCell ref="I2210:J2210"/>
    <mergeCell ref="K2210:L2210"/>
    <mergeCell ref="M2210:O2210"/>
    <mergeCell ref="P2208:Q2208"/>
    <mergeCell ref="R2208:S2208"/>
    <mergeCell ref="T2208:U2208"/>
    <mergeCell ref="V2208:W2208"/>
    <mergeCell ref="X2208:Z2215"/>
    <mergeCell ref="AA2208:AB2215"/>
    <mergeCell ref="P2210:Q2210"/>
    <mergeCell ref="R2210:S2210"/>
    <mergeCell ref="T2210:U2210"/>
    <mergeCell ref="V2210:W2210"/>
    <mergeCell ref="B2208:D2208"/>
    <mergeCell ref="F2208:H2208"/>
    <mergeCell ref="I2208:J2208"/>
    <mergeCell ref="K2208:L2208"/>
    <mergeCell ref="M2208:O2208"/>
    <mergeCell ref="B2209:D2209"/>
    <mergeCell ref="F2209:H2209"/>
    <mergeCell ref="I2209:J2209"/>
    <mergeCell ref="K2209:L2209"/>
    <mergeCell ref="R2215:S2215"/>
    <mergeCell ref="T2215:U2215"/>
    <mergeCell ref="V2215:W2215"/>
    <mergeCell ref="B2216:D2216"/>
    <mergeCell ref="F2216:H2216"/>
    <mergeCell ref="I2216:J2216"/>
    <mergeCell ref="K2216:L2216"/>
    <mergeCell ref="M2216:O2216"/>
    <mergeCell ref="P2216:Q2216"/>
    <mergeCell ref="R2216:S2216"/>
    <mergeCell ref="B2215:D2215"/>
    <mergeCell ref="F2215:H2215"/>
    <mergeCell ref="I2215:J2215"/>
    <mergeCell ref="K2215:L2215"/>
    <mergeCell ref="M2215:O2215"/>
    <mergeCell ref="P2215:Q2215"/>
    <mergeCell ref="R2213:S2213"/>
    <mergeCell ref="R2214:S2214"/>
    <mergeCell ref="T2213:U2213"/>
    <mergeCell ref="V2213:W2213"/>
    <mergeCell ref="AE2213:AE2214"/>
    <mergeCell ref="I2214:J2214"/>
    <mergeCell ref="M2214:O2214"/>
    <mergeCell ref="T2214:U2214"/>
    <mergeCell ref="V2214:W2214"/>
    <mergeCell ref="T2212:U2212"/>
    <mergeCell ref="V2212:W2212"/>
    <mergeCell ref="B2213:D2214"/>
    <mergeCell ref="F2213:H2214"/>
    <mergeCell ref="I2213:J2213"/>
    <mergeCell ref="K2213:L2213"/>
    <mergeCell ref="K2214:L2214"/>
    <mergeCell ref="M2213:O2213"/>
    <mergeCell ref="P2213:Q2213"/>
    <mergeCell ref="P2214:Q2214"/>
    <mergeCell ref="AC2212:AD2212"/>
    <mergeCell ref="AC2213:AD2213"/>
    <mergeCell ref="AC2214:AD2214"/>
    <mergeCell ref="AC2215:AD2215"/>
    <mergeCell ref="AC2216:AD2216"/>
    <mergeCell ref="T2219:U2220"/>
    <mergeCell ref="V2219:W2220"/>
    <mergeCell ref="AJ2219:AJ2220"/>
    <mergeCell ref="B2221:D2221"/>
    <mergeCell ref="F2221:H2221"/>
    <mergeCell ref="I2221:J2221"/>
    <mergeCell ref="K2221:L2221"/>
    <mergeCell ref="M2221:O2221"/>
    <mergeCell ref="P2221:Q2221"/>
    <mergeCell ref="R2221:S2221"/>
    <mergeCell ref="T2218:U2218"/>
    <mergeCell ref="V2218:W2218"/>
    <mergeCell ref="B2219:D2220"/>
    <mergeCell ref="E2219:E2220"/>
    <mergeCell ref="F2219:H2220"/>
    <mergeCell ref="I2219:J2220"/>
    <mergeCell ref="K2219:L2220"/>
    <mergeCell ref="M2219:O2220"/>
    <mergeCell ref="P2219:Q2220"/>
    <mergeCell ref="R2219:S2220"/>
    <mergeCell ref="R2217:S2217"/>
    <mergeCell ref="T2217:U2217"/>
    <mergeCell ref="V2217:W2217"/>
    <mergeCell ref="B2218:D2218"/>
    <mergeCell ref="F2218:H2218"/>
    <mergeCell ref="I2218:J2218"/>
    <mergeCell ref="K2218:L2218"/>
    <mergeCell ref="M2218:O2218"/>
    <mergeCell ref="P2218:Q2218"/>
    <mergeCell ref="R2218:S2218"/>
    <mergeCell ref="T2216:U2216"/>
    <mergeCell ref="V2216:W2216"/>
    <mergeCell ref="X2216:Z2220"/>
    <mergeCell ref="AA2216:AB2220"/>
    <mergeCell ref="B2217:D2217"/>
    <mergeCell ref="F2217:H2217"/>
    <mergeCell ref="I2217:J2217"/>
    <mergeCell ref="K2217:L2217"/>
    <mergeCell ref="M2217:O2217"/>
    <mergeCell ref="P2217:Q2217"/>
    <mergeCell ref="AF2207:AH2232"/>
    <mergeCell ref="AC2223:AD2223"/>
    <mergeCell ref="AC2224:AD2224"/>
    <mergeCell ref="AC2225:AD2225"/>
    <mergeCell ref="AC2226:AD2226"/>
    <mergeCell ref="AC2227:AD2227"/>
    <mergeCell ref="AC2228:AD2228"/>
    <mergeCell ref="AC2217:AD2217"/>
    <mergeCell ref="AC2218:AD2218"/>
    <mergeCell ref="AC2219:AD2219"/>
    <mergeCell ref="AC2220:AD2220"/>
    <mergeCell ref="AC2221:AD2221"/>
    <mergeCell ref="AC2222:AD2222"/>
    <mergeCell ref="AC2211:AD2211"/>
    <mergeCell ref="P2207:Q2207"/>
    <mergeCell ref="R2207:S2207"/>
    <mergeCell ref="T2207:U2207"/>
    <mergeCell ref="V2207:W2207"/>
    <mergeCell ref="X2207:Z2207"/>
    <mergeCell ref="AA2207:AB2207"/>
    <mergeCell ref="B2207:D2207"/>
    <mergeCell ref="F2207:H2207"/>
    <mergeCell ref="I2207:J2207"/>
    <mergeCell ref="K2207:L2207"/>
    <mergeCell ref="V2224:W2224"/>
    <mergeCell ref="B2225:D2225"/>
    <mergeCell ref="F2225:H2225"/>
    <mergeCell ref="I2225:J2225"/>
    <mergeCell ref="K2225:L2225"/>
    <mergeCell ref="M2225:O2225"/>
    <mergeCell ref="P2225:Q2225"/>
    <mergeCell ref="R2225:S2225"/>
    <mergeCell ref="T2225:U2225"/>
    <mergeCell ref="V2225:W2225"/>
    <mergeCell ref="T2223:U2223"/>
    <mergeCell ref="V2223:W2223"/>
    <mergeCell ref="B2224:D2224"/>
    <mergeCell ref="F2224:H2224"/>
    <mergeCell ref="I2224:J2224"/>
    <mergeCell ref="K2224:L2224"/>
    <mergeCell ref="M2224:O2224"/>
    <mergeCell ref="P2224:Q2224"/>
    <mergeCell ref="R2224:S2224"/>
    <mergeCell ref="T2224:U2224"/>
    <mergeCell ref="R2222:S2222"/>
    <mergeCell ref="T2222:U2222"/>
    <mergeCell ref="V2222:W2222"/>
    <mergeCell ref="B2223:D2223"/>
    <mergeCell ref="F2223:H2223"/>
    <mergeCell ref="I2223:J2223"/>
    <mergeCell ref="K2223:L2223"/>
    <mergeCell ref="M2223:O2223"/>
    <mergeCell ref="P2223:Q2223"/>
    <mergeCell ref="R2223:S2223"/>
    <mergeCell ref="T2221:U2221"/>
    <mergeCell ref="V2221:W2221"/>
    <mergeCell ref="X2221:Z2228"/>
    <mergeCell ref="B2222:D2222"/>
    <mergeCell ref="F2222:H2222"/>
    <mergeCell ref="I2222:J2222"/>
    <mergeCell ref="K2222:L2222"/>
    <mergeCell ref="M2222:O2222"/>
    <mergeCell ref="P2222:Q2222"/>
    <mergeCell ref="T2229:U2229"/>
    <mergeCell ref="V2229:W2229"/>
    <mergeCell ref="X2229:Z2232"/>
    <mergeCell ref="AA2229:AB2232"/>
    <mergeCell ref="B2230:D2230"/>
    <mergeCell ref="F2230:H2230"/>
    <mergeCell ref="I2230:J2230"/>
    <mergeCell ref="K2230:L2230"/>
    <mergeCell ref="M2230:O2230"/>
    <mergeCell ref="P2230:Q2230"/>
    <mergeCell ref="R2228:S2228"/>
    <mergeCell ref="T2228:U2228"/>
    <mergeCell ref="V2228:W2228"/>
    <mergeCell ref="B2229:D2229"/>
    <mergeCell ref="F2229:H2229"/>
    <mergeCell ref="I2229:J2229"/>
    <mergeCell ref="K2229:L2229"/>
    <mergeCell ref="M2229:O2229"/>
    <mergeCell ref="P2229:Q2229"/>
    <mergeCell ref="R2229:S2229"/>
    <mergeCell ref="B2228:D2228"/>
    <mergeCell ref="F2228:H2228"/>
    <mergeCell ref="I2228:J2228"/>
    <mergeCell ref="K2228:L2228"/>
    <mergeCell ref="M2228:O2228"/>
    <mergeCell ref="P2228:Q2228"/>
    <mergeCell ref="P2226:Q2226"/>
    <mergeCell ref="R2226:S2226"/>
    <mergeCell ref="R2227:S2227"/>
    <mergeCell ref="T2226:U2226"/>
    <mergeCell ref="V2226:W2226"/>
    <mergeCell ref="AE2226:AE2227"/>
    <mergeCell ref="P2227:Q2227"/>
    <mergeCell ref="T2227:U2227"/>
    <mergeCell ref="V2227:W2227"/>
    <mergeCell ref="B2226:D2227"/>
    <mergeCell ref="F2226:H2227"/>
    <mergeCell ref="I2226:J2226"/>
    <mergeCell ref="K2226:L2226"/>
    <mergeCell ref="K2227:L2227"/>
    <mergeCell ref="M2226:O2226"/>
    <mergeCell ref="I2227:J2227"/>
    <mergeCell ref="M2227:O2227"/>
    <mergeCell ref="AA2221:AB2228"/>
    <mergeCell ref="AC2229:AD2229"/>
    <mergeCell ref="AC2230:AD2230"/>
    <mergeCell ref="AC2231:AD2231"/>
    <mergeCell ref="AC2232:AD2232"/>
    <mergeCell ref="AC2233:AD2233"/>
    <mergeCell ref="AC2234:AD2234"/>
    <mergeCell ref="AC2235:AD2235"/>
    <mergeCell ref="AC2236:AD2236"/>
    <mergeCell ref="AC2237:AD2237"/>
    <mergeCell ref="AC2238:AD2238"/>
    <mergeCell ref="AC2239:AD2239"/>
    <mergeCell ref="V2232:W2232"/>
    <mergeCell ref="A2233:A2256"/>
    <mergeCell ref="B2233:D2233"/>
    <mergeCell ref="F2233:H2233"/>
    <mergeCell ref="I2233:J2233"/>
    <mergeCell ref="K2233:L2233"/>
    <mergeCell ref="M2233:O2233"/>
    <mergeCell ref="P2233:Q2233"/>
    <mergeCell ref="R2233:S2233"/>
    <mergeCell ref="T2233:U2233"/>
    <mergeCell ref="T2231:U2231"/>
    <mergeCell ref="V2231:W2231"/>
    <mergeCell ref="B2232:D2232"/>
    <mergeCell ref="F2232:H2232"/>
    <mergeCell ref="I2232:J2232"/>
    <mergeCell ref="K2232:L2232"/>
    <mergeCell ref="M2232:O2232"/>
    <mergeCell ref="P2232:Q2232"/>
    <mergeCell ref="R2232:S2232"/>
    <mergeCell ref="T2232:U2232"/>
    <mergeCell ref="R2230:S2230"/>
    <mergeCell ref="T2230:U2230"/>
    <mergeCell ref="V2230:W2230"/>
    <mergeCell ref="B2231:D2231"/>
    <mergeCell ref="F2231:H2231"/>
    <mergeCell ref="I2231:J2231"/>
    <mergeCell ref="K2231:L2231"/>
    <mergeCell ref="M2231:O2231"/>
    <mergeCell ref="P2231:Q2231"/>
    <mergeCell ref="R2231:S2231"/>
    <mergeCell ref="A2207:A2232"/>
    <mergeCell ref="M2207:O2207"/>
    <mergeCell ref="V2236:W2236"/>
    <mergeCell ref="B2237:D2237"/>
    <mergeCell ref="F2237:H2237"/>
    <mergeCell ref="I2237:J2237"/>
    <mergeCell ref="K2237:L2237"/>
    <mergeCell ref="M2237:O2237"/>
    <mergeCell ref="P2237:Q2237"/>
    <mergeCell ref="R2237:S2237"/>
    <mergeCell ref="T2237:U2237"/>
    <mergeCell ref="V2237:W2237"/>
    <mergeCell ref="T2235:U2235"/>
    <mergeCell ref="V2235:W2235"/>
    <mergeCell ref="B2236:D2236"/>
    <mergeCell ref="F2236:H2236"/>
    <mergeCell ref="I2236:J2236"/>
    <mergeCell ref="K2236:L2236"/>
    <mergeCell ref="M2236:O2236"/>
    <mergeCell ref="P2236:Q2236"/>
    <mergeCell ref="R2236:S2236"/>
    <mergeCell ref="T2236:U2236"/>
    <mergeCell ref="R2234:S2234"/>
    <mergeCell ref="T2234:U2234"/>
    <mergeCell ref="V2234:W2234"/>
    <mergeCell ref="B2235:D2235"/>
    <mergeCell ref="F2235:H2235"/>
    <mergeCell ref="I2235:J2235"/>
    <mergeCell ref="K2235:L2235"/>
    <mergeCell ref="M2235:O2235"/>
    <mergeCell ref="P2235:Q2235"/>
    <mergeCell ref="R2235:S2235"/>
    <mergeCell ref="B2234:D2234"/>
    <mergeCell ref="F2234:H2234"/>
    <mergeCell ref="I2234:J2234"/>
    <mergeCell ref="K2234:L2234"/>
    <mergeCell ref="M2234:O2234"/>
    <mergeCell ref="P2234:Q2234"/>
    <mergeCell ref="V2240:W2240"/>
    <mergeCell ref="B2241:D2241"/>
    <mergeCell ref="F2241:H2241"/>
    <mergeCell ref="I2241:J2241"/>
    <mergeCell ref="K2241:L2241"/>
    <mergeCell ref="M2241:O2241"/>
    <mergeCell ref="P2241:Q2241"/>
    <mergeCell ref="R2241:S2241"/>
    <mergeCell ref="T2241:U2241"/>
    <mergeCell ref="V2241:W2241"/>
    <mergeCell ref="T2239:U2239"/>
    <mergeCell ref="V2239:W2239"/>
    <mergeCell ref="B2240:D2240"/>
    <mergeCell ref="F2240:H2240"/>
    <mergeCell ref="I2240:J2240"/>
    <mergeCell ref="K2240:L2240"/>
    <mergeCell ref="M2240:O2240"/>
    <mergeCell ref="P2240:Q2240"/>
    <mergeCell ref="R2240:S2240"/>
    <mergeCell ref="T2240:U2240"/>
    <mergeCell ref="R2238:S2238"/>
    <mergeCell ref="T2238:U2238"/>
    <mergeCell ref="V2238:W2238"/>
    <mergeCell ref="B2239:D2239"/>
    <mergeCell ref="F2239:H2239"/>
    <mergeCell ref="I2239:J2239"/>
    <mergeCell ref="K2239:L2239"/>
    <mergeCell ref="M2239:O2239"/>
    <mergeCell ref="P2239:Q2239"/>
    <mergeCell ref="R2239:S2239"/>
    <mergeCell ref="B2238:D2238"/>
    <mergeCell ref="F2238:H2238"/>
    <mergeCell ref="I2238:J2238"/>
    <mergeCell ref="K2238:L2238"/>
    <mergeCell ref="M2238:O2238"/>
    <mergeCell ref="P2238:Q2238"/>
    <mergeCell ref="R2245:S2245"/>
    <mergeCell ref="T2244:U2244"/>
    <mergeCell ref="V2244:W2244"/>
    <mergeCell ref="I2245:J2245"/>
    <mergeCell ref="M2245:O2245"/>
    <mergeCell ref="P2245:Q2245"/>
    <mergeCell ref="T2245:U2245"/>
    <mergeCell ref="V2245:W2245"/>
    <mergeCell ref="T2243:U2243"/>
    <mergeCell ref="V2243:W2243"/>
    <mergeCell ref="B2244:D2245"/>
    <mergeCell ref="F2244:H2245"/>
    <mergeCell ref="I2244:J2244"/>
    <mergeCell ref="K2244:L2244"/>
    <mergeCell ref="K2245:L2245"/>
    <mergeCell ref="M2244:O2244"/>
    <mergeCell ref="P2244:Q2244"/>
    <mergeCell ref="R2244:S2244"/>
    <mergeCell ref="R2242:S2242"/>
    <mergeCell ref="T2242:U2242"/>
    <mergeCell ref="V2242:W2242"/>
    <mergeCell ref="B2243:D2243"/>
    <mergeCell ref="F2243:H2243"/>
    <mergeCell ref="I2243:J2243"/>
    <mergeCell ref="K2243:L2243"/>
    <mergeCell ref="M2243:O2243"/>
    <mergeCell ref="P2243:Q2243"/>
    <mergeCell ref="R2243:S2243"/>
    <mergeCell ref="B2242:D2242"/>
    <mergeCell ref="F2242:H2242"/>
    <mergeCell ref="I2242:J2242"/>
    <mergeCell ref="K2242:L2242"/>
    <mergeCell ref="M2242:O2242"/>
    <mergeCell ref="P2242:Q2242"/>
    <mergeCell ref="V2248:W2248"/>
    <mergeCell ref="B2249:D2249"/>
    <mergeCell ref="F2249:H2249"/>
    <mergeCell ref="I2249:J2249"/>
    <mergeCell ref="K2249:L2249"/>
    <mergeCell ref="M2249:O2249"/>
    <mergeCell ref="P2249:Q2249"/>
    <mergeCell ref="R2249:S2249"/>
    <mergeCell ref="T2249:U2249"/>
    <mergeCell ref="V2249:W2249"/>
    <mergeCell ref="T2247:U2247"/>
    <mergeCell ref="V2247:W2247"/>
    <mergeCell ref="B2248:D2248"/>
    <mergeCell ref="F2248:H2248"/>
    <mergeCell ref="I2248:J2248"/>
    <mergeCell ref="K2248:L2248"/>
    <mergeCell ref="M2248:O2248"/>
    <mergeCell ref="P2248:Q2248"/>
    <mergeCell ref="R2248:S2248"/>
    <mergeCell ref="T2248:U2248"/>
    <mergeCell ref="R2246:S2246"/>
    <mergeCell ref="T2246:U2246"/>
    <mergeCell ref="V2246:W2246"/>
    <mergeCell ref="B2247:D2247"/>
    <mergeCell ref="F2247:H2247"/>
    <mergeCell ref="I2247:J2247"/>
    <mergeCell ref="K2247:L2247"/>
    <mergeCell ref="M2247:O2247"/>
    <mergeCell ref="P2247:Q2247"/>
    <mergeCell ref="R2247:S2247"/>
    <mergeCell ref="B2246:D2246"/>
    <mergeCell ref="F2246:H2246"/>
    <mergeCell ref="I2246:J2246"/>
    <mergeCell ref="K2246:L2246"/>
    <mergeCell ref="M2246:O2246"/>
    <mergeCell ref="P2246:Q2246"/>
    <mergeCell ref="T2253:U2253"/>
    <mergeCell ref="V2253:W2253"/>
    <mergeCell ref="B2254:D2254"/>
    <mergeCell ref="F2254:H2254"/>
    <mergeCell ref="I2254:J2254"/>
    <mergeCell ref="K2254:L2254"/>
    <mergeCell ref="M2254:O2254"/>
    <mergeCell ref="P2254:Q2254"/>
    <mergeCell ref="R2254:S2254"/>
    <mergeCell ref="T2254:U2254"/>
    <mergeCell ref="R2252:S2252"/>
    <mergeCell ref="T2252:U2252"/>
    <mergeCell ref="V2252:W2252"/>
    <mergeCell ref="B2253:D2253"/>
    <mergeCell ref="F2253:H2253"/>
    <mergeCell ref="I2253:J2253"/>
    <mergeCell ref="K2253:L2253"/>
    <mergeCell ref="M2253:O2253"/>
    <mergeCell ref="P2253:Q2253"/>
    <mergeCell ref="R2253:S2253"/>
    <mergeCell ref="B2252:D2252"/>
    <mergeCell ref="F2252:H2252"/>
    <mergeCell ref="I2252:J2252"/>
    <mergeCell ref="K2252:L2252"/>
    <mergeCell ref="M2252:O2252"/>
    <mergeCell ref="P2252:Q2252"/>
    <mergeCell ref="V2250:W2250"/>
    <mergeCell ref="B2251:D2251"/>
    <mergeCell ref="F2251:H2251"/>
    <mergeCell ref="I2251:J2251"/>
    <mergeCell ref="K2251:L2251"/>
    <mergeCell ref="M2251:O2251"/>
    <mergeCell ref="P2251:Q2251"/>
    <mergeCell ref="R2251:S2251"/>
    <mergeCell ref="T2251:U2251"/>
    <mergeCell ref="V2251:W2251"/>
    <mergeCell ref="B2250:D2250"/>
    <mergeCell ref="F2250:H2250"/>
    <mergeCell ref="I2250:J2250"/>
    <mergeCell ref="K2250:L2250"/>
    <mergeCell ref="M2250:O2250"/>
    <mergeCell ref="P2250:Q2250"/>
    <mergeCell ref="R2250:S2250"/>
    <mergeCell ref="T2250:U2250"/>
    <mergeCell ref="AF2257:AH2257"/>
    <mergeCell ref="AF2258:AH2258"/>
    <mergeCell ref="F2258:H2258"/>
    <mergeCell ref="I2258:J2258"/>
    <mergeCell ref="K2258:L2258"/>
    <mergeCell ref="M2258:O2258"/>
    <mergeCell ref="P2258:Q2258"/>
    <mergeCell ref="R2258:S2258"/>
    <mergeCell ref="T2258:U2258"/>
    <mergeCell ref="R2257:S2257"/>
    <mergeCell ref="T2257:U2257"/>
    <mergeCell ref="V2257:W2257"/>
    <mergeCell ref="X2257:Z2257"/>
    <mergeCell ref="AA2257:AB2257"/>
    <mergeCell ref="AC2257:AD2257"/>
    <mergeCell ref="R2256:S2256"/>
    <mergeCell ref="T2256:U2256"/>
    <mergeCell ref="V2256:W2256"/>
    <mergeCell ref="A2257:A2258"/>
    <mergeCell ref="B2257:D2258"/>
    <mergeCell ref="F2257:H2257"/>
    <mergeCell ref="I2257:J2257"/>
    <mergeCell ref="K2257:L2257"/>
    <mergeCell ref="M2257:O2257"/>
    <mergeCell ref="P2257:Q2257"/>
    <mergeCell ref="B2256:D2256"/>
    <mergeCell ref="F2256:H2256"/>
    <mergeCell ref="I2256:J2256"/>
    <mergeCell ref="K2256:L2256"/>
    <mergeCell ref="M2256:O2256"/>
    <mergeCell ref="P2256:Q2256"/>
    <mergeCell ref="V2254:W2254"/>
    <mergeCell ref="B2255:D2255"/>
    <mergeCell ref="F2255:H2255"/>
    <mergeCell ref="I2255:J2255"/>
    <mergeCell ref="K2255:L2255"/>
    <mergeCell ref="M2255:O2255"/>
    <mergeCell ref="P2255:Q2255"/>
    <mergeCell ref="R2255:S2255"/>
    <mergeCell ref="T2255:U2255"/>
    <mergeCell ref="V2255:W2255"/>
    <mergeCell ref="X2249:Z2256"/>
    <mergeCell ref="AA2249:AB2256"/>
    <mergeCell ref="AC2252:AD2252"/>
    <mergeCell ref="AC2253:AD2253"/>
    <mergeCell ref="AC2254:AD2254"/>
    <mergeCell ref="AC2255:AD2255"/>
    <mergeCell ref="AC2256:AD2256"/>
    <mergeCell ref="AF2233:AH2256"/>
    <mergeCell ref="AC2246:AD2246"/>
    <mergeCell ref="AC2247:AD2247"/>
    <mergeCell ref="AC2248:AD2248"/>
    <mergeCell ref="AC2249:AD2249"/>
    <mergeCell ref="AC2250:AD2250"/>
    <mergeCell ref="AC2251:AD2251"/>
    <mergeCell ref="AC2240:AD2240"/>
    <mergeCell ref="AC2241:AD2241"/>
    <mergeCell ref="AC2242:AD2242"/>
    <mergeCell ref="AC2243:AD2243"/>
    <mergeCell ref="AC2244:AD2244"/>
    <mergeCell ref="AC2245:AD2245"/>
    <mergeCell ref="V2233:W2233"/>
    <mergeCell ref="X2233:Z2248"/>
    <mergeCell ref="AA2233:AB2248"/>
    <mergeCell ref="V2260:W2260"/>
    <mergeCell ref="X2260:Z2260"/>
    <mergeCell ref="AA2260:AB2260"/>
    <mergeCell ref="AC2260:AD2260"/>
    <mergeCell ref="B2261:D2261"/>
    <mergeCell ref="F2261:H2261"/>
    <mergeCell ref="I2261:J2261"/>
    <mergeCell ref="K2261:L2261"/>
    <mergeCell ref="M2261:O2261"/>
    <mergeCell ref="P2261:Q2261"/>
    <mergeCell ref="AF2259:AH2267"/>
    <mergeCell ref="AI2259:AI2267"/>
    <mergeCell ref="B2260:D2260"/>
    <mergeCell ref="F2260:H2260"/>
    <mergeCell ref="I2260:J2260"/>
    <mergeCell ref="K2260:L2260"/>
    <mergeCell ref="M2260:O2260"/>
    <mergeCell ref="P2260:Q2260"/>
    <mergeCell ref="R2260:S2260"/>
    <mergeCell ref="T2260:U2260"/>
    <mergeCell ref="R2259:S2259"/>
    <mergeCell ref="T2259:U2259"/>
    <mergeCell ref="V2259:W2259"/>
    <mergeCell ref="X2259:Z2259"/>
    <mergeCell ref="AA2259:AB2259"/>
    <mergeCell ref="AC2259:AD2259"/>
    <mergeCell ref="V2258:W2258"/>
    <mergeCell ref="X2258:Z2258"/>
    <mergeCell ref="AA2258:AB2258"/>
    <mergeCell ref="A2259:A2267"/>
    <mergeCell ref="B2259:D2259"/>
    <mergeCell ref="F2259:H2259"/>
    <mergeCell ref="I2259:J2259"/>
    <mergeCell ref="K2259:L2259"/>
    <mergeCell ref="M2259:O2259"/>
    <mergeCell ref="P2259:Q2259"/>
    <mergeCell ref="AC2258:AD2258"/>
    <mergeCell ref="T2264:U2264"/>
    <mergeCell ref="V2264:W2264"/>
    <mergeCell ref="X2264:Z2264"/>
    <mergeCell ref="AA2264:AB2264"/>
    <mergeCell ref="AC2264:AD2264"/>
    <mergeCell ref="B2265:D2266"/>
    <mergeCell ref="F2265:H2266"/>
    <mergeCell ref="I2265:J2265"/>
    <mergeCell ref="K2265:L2265"/>
    <mergeCell ref="M2265:O2265"/>
    <mergeCell ref="AC2262:AD2262"/>
    <mergeCell ref="AC2263:AD2263"/>
    <mergeCell ref="AJ2262:AJ2263"/>
    <mergeCell ref="B2264:D2264"/>
    <mergeCell ref="F2264:H2264"/>
    <mergeCell ref="I2264:J2264"/>
    <mergeCell ref="K2264:L2264"/>
    <mergeCell ref="M2264:O2264"/>
    <mergeCell ref="P2264:Q2264"/>
    <mergeCell ref="R2264:S2264"/>
    <mergeCell ref="P2262:Q2263"/>
    <mergeCell ref="R2262:S2263"/>
    <mergeCell ref="T2262:U2263"/>
    <mergeCell ref="V2262:W2263"/>
    <mergeCell ref="X2262:Z2263"/>
    <mergeCell ref="AA2262:AB2263"/>
    <mergeCell ref="B2262:D2263"/>
    <mergeCell ref="E2262:E2263"/>
    <mergeCell ref="F2262:H2263"/>
    <mergeCell ref="I2262:J2263"/>
    <mergeCell ref="K2262:L2263"/>
    <mergeCell ref="M2262:O2263"/>
    <mergeCell ref="R2261:S2261"/>
    <mergeCell ref="T2261:U2261"/>
    <mergeCell ref="V2261:W2261"/>
    <mergeCell ref="X2261:Z2261"/>
    <mergeCell ref="AA2261:AB2261"/>
    <mergeCell ref="AC2261:AD2261"/>
    <mergeCell ref="X2268:Z2268"/>
    <mergeCell ref="AA2268:AB2268"/>
    <mergeCell ref="A2268:A2297"/>
    <mergeCell ref="B2268:D2268"/>
    <mergeCell ref="F2268:H2268"/>
    <mergeCell ref="I2268:J2268"/>
    <mergeCell ref="K2268:L2268"/>
    <mergeCell ref="M2268:O2268"/>
    <mergeCell ref="B2274:D2275"/>
    <mergeCell ref="F2274:H2275"/>
    <mergeCell ref="I2274:J2274"/>
    <mergeCell ref="K2274:L2274"/>
    <mergeCell ref="R2267:S2267"/>
    <mergeCell ref="T2267:U2267"/>
    <mergeCell ref="V2267:W2267"/>
    <mergeCell ref="X2267:Z2267"/>
    <mergeCell ref="AA2267:AB2267"/>
    <mergeCell ref="AC2267:AD2267"/>
    <mergeCell ref="B2267:D2267"/>
    <mergeCell ref="F2267:H2267"/>
    <mergeCell ref="I2267:J2267"/>
    <mergeCell ref="K2267:L2267"/>
    <mergeCell ref="M2267:O2267"/>
    <mergeCell ref="P2267:Q2267"/>
    <mergeCell ref="AC2265:AD2266"/>
    <mergeCell ref="AE2265:AE2266"/>
    <mergeCell ref="I2266:J2266"/>
    <mergeCell ref="K2266:L2266"/>
    <mergeCell ref="M2266:O2266"/>
    <mergeCell ref="P2266:Q2266"/>
    <mergeCell ref="T2266:U2266"/>
    <mergeCell ref="V2266:W2266"/>
    <mergeCell ref="X2266:Z2266"/>
    <mergeCell ref="AA2266:AB2266"/>
    <mergeCell ref="P2265:Q2265"/>
    <mergeCell ref="R2265:S2266"/>
    <mergeCell ref="T2265:U2265"/>
    <mergeCell ref="V2265:W2265"/>
    <mergeCell ref="X2265:Z2265"/>
    <mergeCell ref="AA2265:AB2265"/>
    <mergeCell ref="V2270:W2270"/>
    <mergeCell ref="X2270:Z2270"/>
    <mergeCell ref="AA2270:AB2270"/>
    <mergeCell ref="B2271:D2271"/>
    <mergeCell ref="F2271:H2271"/>
    <mergeCell ref="I2271:J2271"/>
    <mergeCell ref="K2271:L2271"/>
    <mergeCell ref="M2271:O2271"/>
    <mergeCell ref="P2271:Q2271"/>
    <mergeCell ref="R2271:S2271"/>
    <mergeCell ref="X2269:Z2269"/>
    <mergeCell ref="AA2269:AB2269"/>
    <mergeCell ref="B2270:D2270"/>
    <mergeCell ref="F2270:H2270"/>
    <mergeCell ref="I2270:J2270"/>
    <mergeCell ref="K2270:L2270"/>
    <mergeCell ref="M2270:O2270"/>
    <mergeCell ref="P2270:Q2270"/>
    <mergeCell ref="R2270:S2270"/>
    <mergeCell ref="T2270:U2270"/>
    <mergeCell ref="AF2268:AH2297"/>
    <mergeCell ref="B2269:D2269"/>
    <mergeCell ref="F2269:H2269"/>
    <mergeCell ref="I2269:J2269"/>
    <mergeCell ref="K2269:L2269"/>
    <mergeCell ref="M2269:O2269"/>
    <mergeCell ref="P2269:Q2269"/>
    <mergeCell ref="R2269:S2269"/>
    <mergeCell ref="T2269:U2269"/>
    <mergeCell ref="V2269:W2269"/>
    <mergeCell ref="AC2292:AD2292"/>
    <mergeCell ref="AC2293:AD2293"/>
    <mergeCell ref="AC2294:AD2294"/>
    <mergeCell ref="AC2295:AD2295"/>
    <mergeCell ref="AC2296:AD2296"/>
    <mergeCell ref="AC2297:AD2297"/>
    <mergeCell ref="AC2286:AD2286"/>
    <mergeCell ref="AC2287:AD2287"/>
    <mergeCell ref="AC2288:AD2288"/>
    <mergeCell ref="AC2289:AD2289"/>
    <mergeCell ref="AC2290:AD2290"/>
    <mergeCell ref="AC2291:AD2291"/>
    <mergeCell ref="AC2280:AD2280"/>
    <mergeCell ref="AC2281:AD2281"/>
    <mergeCell ref="AC2282:AD2282"/>
    <mergeCell ref="AC2283:AD2283"/>
    <mergeCell ref="AC2284:AD2284"/>
    <mergeCell ref="AC2285:AD2285"/>
    <mergeCell ref="AC2274:AD2274"/>
    <mergeCell ref="AC2275:AD2275"/>
    <mergeCell ref="AC2276:AD2276"/>
    <mergeCell ref="AC2277:AD2277"/>
    <mergeCell ref="AC2278:AD2278"/>
    <mergeCell ref="AC2279:AD2279"/>
    <mergeCell ref="AC2268:AD2268"/>
    <mergeCell ref="AC2269:AD2269"/>
    <mergeCell ref="AC2270:AD2270"/>
    <mergeCell ref="AC2271:AD2271"/>
    <mergeCell ref="AC2272:AD2272"/>
    <mergeCell ref="AC2273:AD2273"/>
    <mergeCell ref="P2268:Q2268"/>
    <mergeCell ref="R2268:S2268"/>
    <mergeCell ref="T2268:U2268"/>
    <mergeCell ref="V2268:W2268"/>
    <mergeCell ref="V2274:W2274"/>
    <mergeCell ref="X2274:Z2275"/>
    <mergeCell ref="AA2274:AB2275"/>
    <mergeCell ref="AE2274:AE2275"/>
    <mergeCell ref="I2275:J2275"/>
    <mergeCell ref="M2275:O2275"/>
    <mergeCell ref="P2275:Q2275"/>
    <mergeCell ref="T2275:U2275"/>
    <mergeCell ref="V2275:W2275"/>
    <mergeCell ref="K2275:L2275"/>
    <mergeCell ref="M2274:O2274"/>
    <mergeCell ref="P2274:Q2274"/>
    <mergeCell ref="R2274:S2274"/>
    <mergeCell ref="R2275:S2275"/>
    <mergeCell ref="T2274:U2274"/>
    <mergeCell ref="P2273:Q2273"/>
    <mergeCell ref="R2273:S2273"/>
    <mergeCell ref="T2273:U2273"/>
    <mergeCell ref="V2273:W2273"/>
    <mergeCell ref="X2273:Z2273"/>
    <mergeCell ref="AA2273:AB2273"/>
    <mergeCell ref="R2272:S2272"/>
    <mergeCell ref="T2272:U2272"/>
    <mergeCell ref="V2272:W2272"/>
    <mergeCell ref="X2272:Z2272"/>
    <mergeCell ref="AA2272:AB2272"/>
    <mergeCell ref="B2273:D2273"/>
    <mergeCell ref="F2273:H2273"/>
    <mergeCell ref="I2273:J2273"/>
    <mergeCell ref="K2273:L2273"/>
    <mergeCell ref="M2273:O2273"/>
    <mergeCell ref="T2271:U2271"/>
    <mergeCell ref="V2271:W2271"/>
    <mergeCell ref="X2271:Z2271"/>
    <mergeCell ref="AA2271:AB2271"/>
    <mergeCell ref="B2272:D2272"/>
    <mergeCell ref="F2272:H2272"/>
    <mergeCell ref="I2272:J2272"/>
    <mergeCell ref="K2272:L2272"/>
    <mergeCell ref="M2272:O2272"/>
    <mergeCell ref="P2272:Q2272"/>
    <mergeCell ref="R2278:S2278"/>
    <mergeCell ref="T2278:U2278"/>
    <mergeCell ref="V2278:W2278"/>
    <mergeCell ref="X2278:Z2278"/>
    <mergeCell ref="AA2278:AB2278"/>
    <mergeCell ref="B2279:D2279"/>
    <mergeCell ref="F2279:H2279"/>
    <mergeCell ref="I2279:J2279"/>
    <mergeCell ref="K2279:L2279"/>
    <mergeCell ref="M2279:O2279"/>
    <mergeCell ref="B2278:D2278"/>
    <mergeCell ref="F2278:H2278"/>
    <mergeCell ref="I2278:J2278"/>
    <mergeCell ref="K2278:L2278"/>
    <mergeCell ref="M2278:O2278"/>
    <mergeCell ref="P2278:Q2278"/>
    <mergeCell ref="P2277:Q2277"/>
    <mergeCell ref="R2277:S2277"/>
    <mergeCell ref="T2277:U2277"/>
    <mergeCell ref="V2277:W2277"/>
    <mergeCell ref="X2277:Z2277"/>
    <mergeCell ref="AA2277:AB2277"/>
    <mergeCell ref="R2276:S2276"/>
    <mergeCell ref="T2276:U2276"/>
    <mergeCell ref="V2276:W2276"/>
    <mergeCell ref="X2276:Z2276"/>
    <mergeCell ref="AA2276:AB2276"/>
    <mergeCell ref="B2277:D2277"/>
    <mergeCell ref="F2277:H2277"/>
    <mergeCell ref="I2277:J2277"/>
    <mergeCell ref="K2277:L2277"/>
    <mergeCell ref="M2277:O2277"/>
    <mergeCell ref="B2276:D2276"/>
    <mergeCell ref="F2276:H2276"/>
    <mergeCell ref="I2276:J2276"/>
    <mergeCell ref="K2276:L2276"/>
    <mergeCell ref="M2276:O2276"/>
    <mergeCell ref="P2276:Q2276"/>
    <mergeCell ref="AA2281:AB2281"/>
    <mergeCell ref="B2282:D2282"/>
    <mergeCell ref="F2282:H2282"/>
    <mergeCell ref="K2282:L2282"/>
    <mergeCell ref="R2282:S2282"/>
    <mergeCell ref="X2282:Z2282"/>
    <mergeCell ref="AA2282:AB2282"/>
    <mergeCell ref="M2281:O2282"/>
    <mergeCell ref="P2281:Q2282"/>
    <mergeCell ref="R2281:S2281"/>
    <mergeCell ref="T2281:U2282"/>
    <mergeCell ref="V2281:W2282"/>
    <mergeCell ref="X2281:Z2281"/>
    <mergeCell ref="R2280:S2280"/>
    <mergeCell ref="T2280:U2280"/>
    <mergeCell ref="V2280:W2280"/>
    <mergeCell ref="X2280:Z2280"/>
    <mergeCell ref="AA2280:AB2280"/>
    <mergeCell ref="B2281:D2281"/>
    <mergeCell ref="E2281:E2282"/>
    <mergeCell ref="F2281:H2281"/>
    <mergeCell ref="I2281:J2282"/>
    <mergeCell ref="K2281:L2281"/>
    <mergeCell ref="B2280:D2280"/>
    <mergeCell ref="F2280:H2280"/>
    <mergeCell ref="I2280:J2280"/>
    <mergeCell ref="K2280:L2280"/>
    <mergeCell ref="M2280:O2280"/>
    <mergeCell ref="P2280:Q2280"/>
    <mergeCell ref="P2279:Q2279"/>
    <mergeCell ref="R2279:S2279"/>
    <mergeCell ref="T2279:U2279"/>
    <mergeCell ref="V2279:W2279"/>
    <mergeCell ref="X2279:Z2279"/>
    <mergeCell ref="AA2279:AB2279"/>
    <mergeCell ref="X2285:Z2285"/>
    <mergeCell ref="AA2285:AB2285"/>
    <mergeCell ref="B2286:D2286"/>
    <mergeCell ref="F2286:H2286"/>
    <mergeCell ref="I2286:J2286"/>
    <mergeCell ref="K2286:L2286"/>
    <mergeCell ref="M2286:O2286"/>
    <mergeCell ref="P2286:Q2286"/>
    <mergeCell ref="T2286:U2286"/>
    <mergeCell ref="V2286:W2286"/>
    <mergeCell ref="B2285:D2285"/>
    <mergeCell ref="F2285:H2285"/>
    <mergeCell ref="I2285:J2285"/>
    <mergeCell ref="K2285:L2285"/>
    <mergeCell ref="M2285:O2285"/>
    <mergeCell ref="P2285:Q2285"/>
    <mergeCell ref="X2283:Z2283"/>
    <mergeCell ref="AA2283:AB2283"/>
    <mergeCell ref="B2284:D2284"/>
    <mergeCell ref="F2284:H2284"/>
    <mergeCell ref="K2284:L2284"/>
    <mergeCell ref="X2284:Z2284"/>
    <mergeCell ref="AA2284:AB2284"/>
    <mergeCell ref="R2294:S2294"/>
    <mergeCell ref="R2295:S2295"/>
    <mergeCell ref="R2296:S2296"/>
    <mergeCell ref="R2297:S2297"/>
    <mergeCell ref="T2283:U2284"/>
    <mergeCell ref="V2283:W2284"/>
    <mergeCell ref="T2285:U2285"/>
    <mergeCell ref="V2285:W2285"/>
    <mergeCell ref="V2290:W2290"/>
    <mergeCell ref="T2292:U2292"/>
    <mergeCell ref="R2288:S2288"/>
    <mergeCell ref="R2289:S2289"/>
    <mergeCell ref="R2290:S2290"/>
    <mergeCell ref="R2291:S2291"/>
    <mergeCell ref="R2292:S2292"/>
    <mergeCell ref="R2293:S2293"/>
    <mergeCell ref="P2283:Q2284"/>
    <mergeCell ref="R2283:S2283"/>
    <mergeCell ref="R2284:S2284"/>
    <mergeCell ref="R2285:S2285"/>
    <mergeCell ref="R2286:S2286"/>
    <mergeCell ref="R2287:S2287"/>
    <mergeCell ref="B2283:D2283"/>
    <mergeCell ref="E2283:E2284"/>
    <mergeCell ref="F2283:H2283"/>
    <mergeCell ref="I2283:J2284"/>
    <mergeCell ref="K2283:L2283"/>
    <mergeCell ref="M2283:O2284"/>
    <mergeCell ref="X2289:Z2289"/>
    <mergeCell ref="AA2289:AB2289"/>
    <mergeCell ref="B2290:D2291"/>
    <mergeCell ref="F2290:H2291"/>
    <mergeCell ref="I2290:J2290"/>
    <mergeCell ref="K2290:L2290"/>
    <mergeCell ref="K2291:L2291"/>
    <mergeCell ref="M2290:O2290"/>
    <mergeCell ref="P2290:Q2290"/>
    <mergeCell ref="T2290:U2290"/>
    <mergeCell ref="X2288:Z2288"/>
    <mergeCell ref="AA2288:AB2288"/>
    <mergeCell ref="B2289:D2289"/>
    <mergeCell ref="F2289:H2289"/>
    <mergeCell ref="I2289:J2289"/>
    <mergeCell ref="K2289:L2289"/>
    <mergeCell ref="M2289:O2289"/>
    <mergeCell ref="P2289:Q2289"/>
    <mergeCell ref="T2289:U2289"/>
    <mergeCell ref="V2289:W2289"/>
    <mergeCell ref="X2287:Z2287"/>
    <mergeCell ref="AA2287:AB2287"/>
    <mergeCell ref="B2288:D2288"/>
    <mergeCell ref="F2288:H2288"/>
    <mergeCell ref="I2288:J2288"/>
    <mergeCell ref="K2288:L2288"/>
    <mergeCell ref="M2288:O2288"/>
    <mergeCell ref="P2288:Q2288"/>
    <mergeCell ref="T2288:U2288"/>
    <mergeCell ref="V2288:W2288"/>
    <mergeCell ref="X2286:Z2286"/>
    <mergeCell ref="AA2286:AB2286"/>
    <mergeCell ref="B2287:D2287"/>
    <mergeCell ref="F2287:H2287"/>
    <mergeCell ref="I2287:J2287"/>
    <mergeCell ref="K2287:L2287"/>
    <mergeCell ref="M2287:O2287"/>
    <mergeCell ref="P2287:Q2287"/>
    <mergeCell ref="T2287:U2287"/>
    <mergeCell ref="V2287:W2287"/>
    <mergeCell ref="V2293:W2293"/>
    <mergeCell ref="X2293:Z2293"/>
    <mergeCell ref="AA2293:AB2293"/>
    <mergeCell ref="B2294:D2294"/>
    <mergeCell ref="F2294:H2294"/>
    <mergeCell ref="I2294:J2294"/>
    <mergeCell ref="K2294:L2294"/>
    <mergeCell ref="M2294:O2294"/>
    <mergeCell ref="P2294:Q2294"/>
    <mergeCell ref="T2294:U2294"/>
    <mergeCell ref="V2292:W2292"/>
    <mergeCell ref="X2292:Z2292"/>
    <mergeCell ref="AA2292:AB2292"/>
    <mergeCell ref="B2293:D2293"/>
    <mergeCell ref="F2293:H2293"/>
    <mergeCell ref="I2293:J2293"/>
    <mergeCell ref="K2293:L2293"/>
    <mergeCell ref="M2293:O2293"/>
    <mergeCell ref="P2293:Q2293"/>
    <mergeCell ref="T2293:U2293"/>
    <mergeCell ref="B2292:D2292"/>
    <mergeCell ref="F2292:H2292"/>
    <mergeCell ref="I2292:J2292"/>
    <mergeCell ref="K2292:L2292"/>
    <mergeCell ref="M2292:O2292"/>
    <mergeCell ref="P2292:Q2292"/>
    <mergeCell ref="X2290:Z2291"/>
    <mergeCell ref="AA2290:AB2291"/>
    <mergeCell ref="AE2290:AE2291"/>
    <mergeCell ref="I2291:J2291"/>
    <mergeCell ref="M2291:O2291"/>
    <mergeCell ref="P2291:Q2291"/>
    <mergeCell ref="T2291:U2291"/>
    <mergeCell ref="V2291:W2291"/>
    <mergeCell ref="V2297:W2297"/>
    <mergeCell ref="X2297:Z2297"/>
    <mergeCell ref="AA2297:AB2297"/>
    <mergeCell ref="A2298:A2321"/>
    <mergeCell ref="B2298:D2298"/>
    <mergeCell ref="F2298:H2321"/>
    <mergeCell ref="I2298:J2298"/>
    <mergeCell ref="K2298:L2298"/>
    <mergeCell ref="M2298:O2298"/>
    <mergeCell ref="P2298:Q2298"/>
    <mergeCell ref="V2296:W2296"/>
    <mergeCell ref="X2296:Z2296"/>
    <mergeCell ref="AA2296:AB2296"/>
    <mergeCell ref="B2297:D2297"/>
    <mergeCell ref="F2297:H2297"/>
    <mergeCell ref="I2297:J2297"/>
    <mergeCell ref="K2297:L2297"/>
    <mergeCell ref="M2297:O2297"/>
    <mergeCell ref="P2297:Q2297"/>
    <mergeCell ref="T2297:U2297"/>
    <mergeCell ref="V2295:W2295"/>
    <mergeCell ref="X2295:Z2295"/>
    <mergeCell ref="AA2295:AB2295"/>
    <mergeCell ref="B2296:D2296"/>
    <mergeCell ref="F2296:H2296"/>
    <mergeCell ref="I2296:J2296"/>
    <mergeCell ref="K2296:L2296"/>
    <mergeCell ref="M2296:O2296"/>
    <mergeCell ref="P2296:Q2296"/>
    <mergeCell ref="T2296:U2296"/>
    <mergeCell ref="V2294:W2294"/>
    <mergeCell ref="X2294:Z2294"/>
    <mergeCell ref="AA2294:AB2294"/>
    <mergeCell ref="B2295:D2295"/>
    <mergeCell ref="F2295:H2295"/>
    <mergeCell ref="I2295:J2295"/>
    <mergeCell ref="K2295:L2295"/>
    <mergeCell ref="M2295:O2295"/>
    <mergeCell ref="P2295:Q2295"/>
    <mergeCell ref="T2295:U2295"/>
    <mergeCell ref="V2299:W2299"/>
    <mergeCell ref="B2300:D2300"/>
    <mergeCell ref="I2300:J2300"/>
    <mergeCell ref="K2300:L2300"/>
    <mergeCell ref="M2300:O2300"/>
    <mergeCell ref="P2300:Q2300"/>
    <mergeCell ref="R2300:S2300"/>
    <mergeCell ref="T2300:U2300"/>
    <mergeCell ref="V2300:W2300"/>
    <mergeCell ref="AC2321:AD2321"/>
    <mergeCell ref="AF2298:AH2321"/>
    <mergeCell ref="AI2298:AI2354"/>
    <mergeCell ref="B2299:D2299"/>
    <mergeCell ref="I2299:J2299"/>
    <mergeCell ref="K2299:L2299"/>
    <mergeCell ref="M2299:O2299"/>
    <mergeCell ref="P2299:Q2299"/>
    <mergeCell ref="R2299:S2299"/>
    <mergeCell ref="T2299:U2299"/>
    <mergeCell ref="AC2315:AD2315"/>
    <mergeCell ref="AC2316:AD2316"/>
    <mergeCell ref="AC2317:AD2317"/>
    <mergeCell ref="AC2318:AD2318"/>
    <mergeCell ref="AC2319:AD2319"/>
    <mergeCell ref="AC2320:AD2320"/>
    <mergeCell ref="AC2309:AD2309"/>
    <mergeCell ref="AC2310:AD2310"/>
    <mergeCell ref="AC2311:AD2311"/>
    <mergeCell ref="AC2312:AD2312"/>
    <mergeCell ref="AC2313:AD2313"/>
    <mergeCell ref="AC2314:AD2314"/>
    <mergeCell ref="AC2303:AD2303"/>
    <mergeCell ref="AC2304:AD2304"/>
    <mergeCell ref="AC2305:AD2305"/>
    <mergeCell ref="AC2306:AD2306"/>
    <mergeCell ref="AC2307:AD2307"/>
    <mergeCell ref="AC2308:AD2308"/>
    <mergeCell ref="R2298:S2298"/>
    <mergeCell ref="T2298:U2298"/>
    <mergeCell ref="V2298:W2298"/>
    <mergeCell ref="X2298:Z2321"/>
    <mergeCell ref="AA2298:AB2321"/>
    <mergeCell ref="AC2298:AD2298"/>
    <mergeCell ref="AC2299:AD2299"/>
    <mergeCell ref="AC2300:AD2300"/>
    <mergeCell ref="AC2301:AD2301"/>
    <mergeCell ref="AC2302:AD2302"/>
    <mergeCell ref="T2305:U2305"/>
    <mergeCell ref="V2305:W2305"/>
    <mergeCell ref="B2306:D2306"/>
    <mergeCell ref="I2306:J2306"/>
    <mergeCell ref="K2306:L2306"/>
    <mergeCell ref="M2306:O2306"/>
    <mergeCell ref="P2306:Q2306"/>
    <mergeCell ref="R2306:S2306"/>
    <mergeCell ref="T2306:U2306"/>
    <mergeCell ref="V2306:W2306"/>
    <mergeCell ref="B2305:D2305"/>
    <mergeCell ref="I2305:J2305"/>
    <mergeCell ref="K2305:L2305"/>
    <mergeCell ref="M2305:O2305"/>
    <mergeCell ref="P2305:Q2305"/>
    <mergeCell ref="R2305:S2305"/>
    <mergeCell ref="T2303:U2303"/>
    <mergeCell ref="V2303:W2303"/>
    <mergeCell ref="B2304:D2304"/>
    <mergeCell ref="I2304:J2304"/>
    <mergeCell ref="K2304:L2304"/>
    <mergeCell ref="M2304:O2304"/>
    <mergeCell ref="P2304:Q2304"/>
    <mergeCell ref="R2304:S2304"/>
    <mergeCell ref="T2304:U2304"/>
    <mergeCell ref="V2304:W2304"/>
    <mergeCell ref="B2303:D2303"/>
    <mergeCell ref="I2303:J2303"/>
    <mergeCell ref="K2303:L2303"/>
    <mergeCell ref="M2303:O2303"/>
    <mergeCell ref="P2303:Q2303"/>
    <mergeCell ref="R2303:S2303"/>
    <mergeCell ref="T2301:U2301"/>
    <mergeCell ref="V2301:W2301"/>
    <mergeCell ref="B2302:D2302"/>
    <mergeCell ref="I2302:J2302"/>
    <mergeCell ref="K2302:L2302"/>
    <mergeCell ref="M2302:O2302"/>
    <mergeCell ref="P2302:Q2302"/>
    <mergeCell ref="R2302:S2302"/>
    <mergeCell ref="T2302:U2302"/>
    <mergeCell ref="V2302:W2302"/>
    <mergeCell ref="B2301:D2301"/>
    <mergeCell ref="I2301:J2301"/>
    <mergeCell ref="K2301:L2301"/>
    <mergeCell ref="M2301:O2301"/>
    <mergeCell ref="P2301:Q2301"/>
    <mergeCell ref="R2301:S2301"/>
    <mergeCell ref="T2311:U2311"/>
    <mergeCell ref="V2311:W2311"/>
    <mergeCell ref="B2312:D2312"/>
    <mergeCell ref="I2312:J2312"/>
    <mergeCell ref="K2312:L2312"/>
    <mergeCell ref="M2312:O2312"/>
    <mergeCell ref="P2312:Q2312"/>
    <mergeCell ref="R2312:S2312"/>
    <mergeCell ref="T2312:U2312"/>
    <mergeCell ref="V2312:W2312"/>
    <mergeCell ref="B2311:D2311"/>
    <mergeCell ref="I2311:J2311"/>
    <mergeCell ref="K2311:L2311"/>
    <mergeCell ref="M2311:O2311"/>
    <mergeCell ref="P2311:Q2311"/>
    <mergeCell ref="R2311:S2311"/>
    <mergeCell ref="T2309:U2309"/>
    <mergeCell ref="V2309:W2309"/>
    <mergeCell ref="B2310:D2310"/>
    <mergeCell ref="I2310:J2310"/>
    <mergeCell ref="K2310:L2310"/>
    <mergeCell ref="M2310:O2310"/>
    <mergeCell ref="P2310:Q2310"/>
    <mergeCell ref="R2310:S2310"/>
    <mergeCell ref="T2310:U2310"/>
    <mergeCell ref="V2310:W2310"/>
    <mergeCell ref="B2309:D2309"/>
    <mergeCell ref="I2309:J2309"/>
    <mergeCell ref="K2309:L2309"/>
    <mergeCell ref="M2309:O2309"/>
    <mergeCell ref="P2309:Q2309"/>
    <mergeCell ref="R2309:S2309"/>
    <mergeCell ref="T2307:U2307"/>
    <mergeCell ref="V2307:W2307"/>
    <mergeCell ref="B2308:D2308"/>
    <mergeCell ref="I2308:J2308"/>
    <mergeCell ref="K2308:L2308"/>
    <mergeCell ref="M2308:O2308"/>
    <mergeCell ref="P2308:Q2308"/>
    <mergeCell ref="R2308:S2308"/>
    <mergeCell ref="T2308:U2308"/>
    <mergeCell ref="V2308:W2308"/>
    <mergeCell ref="B2307:D2307"/>
    <mergeCell ref="I2307:J2307"/>
    <mergeCell ref="K2307:L2307"/>
    <mergeCell ref="M2307:O2307"/>
    <mergeCell ref="P2307:Q2307"/>
    <mergeCell ref="R2307:S2307"/>
    <mergeCell ref="T2317:U2317"/>
    <mergeCell ref="V2317:W2317"/>
    <mergeCell ref="B2318:D2318"/>
    <mergeCell ref="I2318:J2318"/>
    <mergeCell ref="K2318:L2318"/>
    <mergeCell ref="M2318:O2318"/>
    <mergeCell ref="P2318:Q2318"/>
    <mergeCell ref="R2318:S2318"/>
    <mergeCell ref="T2318:U2318"/>
    <mergeCell ref="V2318:W2318"/>
    <mergeCell ref="B2317:D2317"/>
    <mergeCell ref="I2317:J2317"/>
    <mergeCell ref="K2317:L2317"/>
    <mergeCell ref="M2317:O2317"/>
    <mergeCell ref="P2317:Q2317"/>
    <mergeCell ref="R2317:S2317"/>
    <mergeCell ref="T2315:U2315"/>
    <mergeCell ref="V2315:W2315"/>
    <mergeCell ref="B2316:D2316"/>
    <mergeCell ref="I2316:J2316"/>
    <mergeCell ref="K2316:L2316"/>
    <mergeCell ref="M2316:O2316"/>
    <mergeCell ref="P2316:Q2316"/>
    <mergeCell ref="R2316:S2316"/>
    <mergeCell ref="T2316:U2316"/>
    <mergeCell ref="V2316:W2316"/>
    <mergeCell ref="B2315:D2315"/>
    <mergeCell ref="I2315:J2315"/>
    <mergeCell ref="K2315:L2315"/>
    <mergeCell ref="M2315:O2315"/>
    <mergeCell ref="P2315:Q2315"/>
    <mergeCell ref="R2315:S2315"/>
    <mergeCell ref="T2313:U2313"/>
    <mergeCell ref="V2313:W2313"/>
    <mergeCell ref="B2314:D2314"/>
    <mergeCell ref="I2314:J2314"/>
    <mergeCell ref="K2314:L2314"/>
    <mergeCell ref="M2314:O2314"/>
    <mergeCell ref="P2314:Q2314"/>
    <mergeCell ref="R2314:S2314"/>
    <mergeCell ref="T2314:U2314"/>
    <mergeCell ref="V2314:W2314"/>
    <mergeCell ref="B2313:D2313"/>
    <mergeCell ref="I2313:J2313"/>
    <mergeCell ref="K2313:L2313"/>
    <mergeCell ref="M2313:O2313"/>
    <mergeCell ref="P2313:Q2313"/>
    <mergeCell ref="R2313:S2313"/>
    <mergeCell ref="AA2323:AB2323"/>
    <mergeCell ref="AC2323:AD2323"/>
    <mergeCell ref="AC2324:AD2324"/>
    <mergeCell ref="T2321:U2321"/>
    <mergeCell ref="V2321:W2321"/>
    <mergeCell ref="A2322:A2329"/>
    <mergeCell ref="B2322:D2322"/>
    <mergeCell ref="F2322:H2322"/>
    <mergeCell ref="I2322:J2322"/>
    <mergeCell ref="K2322:L2322"/>
    <mergeCell ref="M2322:O2322"/>
    <mergeCell ref="P2322:Q2322"/>
    <mergeCell ref="R2322:S2322"/>
    <mergeCell ref="B2321:D2321"/>
    <mergeCell ref="I2321:J2321"/>
    <mergeCell ref="K2321:L2321"/>
    <mergeCell ref="M2321:O2321"/>
    <mergeCell ref="P2321:Q2321"/>
    <mergeCell ref="R2321:S2321"/>
    <mergeCell ref="T2319:U2319"/>
    <mergeCell ref="V2319:W2319"/>
    <mergeCell ref="B2320:D2320"/>
    <mergeCell ref="I2320:J2320"/>
    <mergeCell ref="K2320:L2320"/>
    <mergeCell ref="M2320:O2320"/>
    <mergeCell ref="P2320:Q2320"/>
    <mergeCell ref="R2320:S2320"/>
    <mergeCell ref="T2320:U2320"/>
    <mergeCell ref="V2320:W2320"/>
    <mergeCell ref="B2319:D2319"/>
    <mergeCell ref="I2319:J2319"/>
    <mergeCell ref="K2319:L2319"/>
    <mergeCell ref="M2319:O2319"/>
    <mergeCell ref="P2319:Q2319"/>
    <mergeCell ref="R2319:S2319"/>
    <mergeCell ref="R2328:S2328"/>
    <mergeCell ref="T2328:U2328"/>
    <mergeCell ref="V2328:W2328"/>
    <mergeCell ref="X2328:Z2328"/>
    <mergeCell ref="AA2328:AB2328"/>
    <mergeCell ref="AC2328:AD2328"/>
    <mergeCell ref="B2328:D2328"/>
    <mergeCell ref="F2328:H2328"/>
    <mergeCell ref="I2328:J2328"/>
    <mergeCell ref="K2328:L2328"/>
    <mergeCell ref="M2328:O2328"/>
    <mergeCell ref="P2328:Q2328"/>
    <mergeCell ref="V2326:W2326"/>
    <mergeCell ref="X2326:Z2327"/>
    <mergeCell ref="AA2326:AB2327"/>
    <mergeCell ref="AC2326:AD2326"/>
    <mergeCell ref="AC2327:AD2327"/>
    <mergeCell ref="M2327:O2327"/>
    <mergeCell ref="V2327:W2327"/>
    <mergeCell ref="P2326:Q2326"/>
    <mergeCell ref="P2327:Q2327"/>
    <mergeCell ref="R2326:S2326"/>
    <mergeCell ref="R2327:S2327"/>
    <mergeCell ref="T2326:U2326"/>
    <mergeCell ref="T2327:U2327"/>
    <mergeCell ref="AC2325:AD2325"/>
    <mergeCell ref="AJ2324:AJ2325"/>
    <mergeCell ref="B2326:D2326"/>
    <mergeCell ref="B2327:D2327"/>
    <mergeCell ref="F2326:H2327"/>
    <mergeCell ref="I2326:J2326"/>
    <mergeCell ref="I2327:J2327"/>
    <mergeCell ref="K2326:L2326"/>
    <mergeCell ref="K2327:L2327"/>
    <mergeCell ref="M2326:O2326"/>
    <mergeCell ref="P2324:Q2325"/>
    <mergeCell ref="R2324:S2325"/>
    <mergeCell ref="T2324:U2325"/>
    <mergeCell ref="V2324:W2325"/>
    <mergeCell ref="X2324:Z2325"/>
    <mergeCell ref="AA2324:AB2325"/>
    <mergeCell ref="B2324:D2325"/>
    <mergeCell ref="E2324:E2325"/>
    <mergeCell ref="F2324:H2325"/>
    <mergeCell ref="I2324:J2325"/>
    <mergeCell ref="K2324:L2325"/>
    <mergeCell ref="M2324:O2325"/>
    <mergeCell ref="AF2322:AH2329"/>
    <mergeCell ref="B2323:D2323"/>
    <mergeCell ref="F2323:H2323"/>
    <mergeCell ref="I2323:J2323"/>
    <mergeCell ref="K2323:L2323"/>
    <mergeCell ref="M2323:O2323"/>
    <mergeCell ref="P2323:Q2323"/>
    <mergeCell ref="R2323:S2323"/>
    <mergeCell ref="T2323:U2323"/>
    <mergeCell ref="V2323:W2323"/>
    <mergeCell ref="T2322:U2322"/>
    <mergeCell ref="V2322:W2322"/>
    <mergeCell ref="X2322:Z2322"/>
    <mergeCell ref="AA2322:AB2322"/>
    <mergeCell ref="AC2322:AD2322"/>
    <mergeCell ref="AE2322:AE2329"/>
    <mergeCell ref="X2323:Z2323"/>
    <mergeCell ref="X2330:Z2331"/>
    <mergeCell ref="AA2330:AB2331"/>
    <mergeCell ref="AC2330:AD2331"/>
    <mergeCell ref="AE2330:AE2331"/>
    <mergeCell ref="AF2330:AH2339"/>
    <mergeCell ref="I2331:J2331"/>
    <mergeCell ref="M2331:O2331"/>
    <mergeCell ref="P2331:Q2331"/>
    <mergeCell ref="T2331:U2331"/>
    <mergeCell ref="V2331:W2331"/>
    <mergeCell ref="M2330:O2330"/>
    <mergeCell ref="P2330:Q2330"/>
    <mergeCell ref="R2330:S2330"/>
    <mergeCell ref="R2331:S2331"/>
    <mergeCell ref="T2330:U2330"/>
    <mergeCell ref="V2330:W2330"/>
    <mergeCell ref="A2330:A2339"/>
    <mergeCell ref="B2330:D2331"/>
    <mergeCell ref="F2330:H2331"/>
    <mergeCell ref="I2330:J2330"/>
    <mergeCell ref="K2330:L2330"/>
    <mergeCell ref="K2331:L2331"/>
    <mergeCell ref="B2332:D2333"/>
    <mergeCell ref="F2332:H2333"/>
    <mergeCell ref="I2332:J2332"/>
    <mergeCell ref="K2332:L2332"/>
    <mergeCell ref="R2329:S2329"/>
    <mergeCell ref="T2329:U2329"/>
    <mergeCell ref="V2329:W2329"/>
    <mergeCell ref="X2329:Z2329"/>
    <mergeCell ref="AA2329:AB2329"/>
    <mergeCell ref="AC2329:AD2329"/>
    <mergeCell ref="B2329:D2329"/>
    <mergeCell ref="F2329:H2329"/>
    <mergeCell ref="I2329:J2329"/>
    <mergeCell ref="K2329:L2329"/>
    <mergeCell ref="M2329:O2329"/>
    <mergeCell ref="P2329:Q2329"/>
    <mergeCell ref="AJ2334:AJ2335"/>
    <mergeCell ref="I2336:J2336"/>
    <mergeCell ref="M2336:O2336"/>
    <mergeCell ref="P2336:Q2336"/>
    <mergeCell ref="T2336:U2336"/>
    <mergeCell ref="V2336:W2336"/>
    <mergeCell ref="T2334:U2335"/>
    <mergeCell ref="V2334:W2335"/>
    <mergeCell ref="X2334:Z2336"/>
    <mergeCell ref="AA2334:AB2336"/>
    <mergeCell ref="AC2334:AD2334"/>
    <mergeCell ref="AC2335:AD2335"/>
    <mergeCell ref="AC2336:AD2336"/>
    <mergeCell ref="K2335:L2335"/>
    <mergeCell ref="K2336:L2336"/>
    <mergeCell ref="M2334:O2335"/>
    <mergeCell ref="P2334:Q2335"/>
    <mergeCell ref="R2334:S2334"/>
    <mergeCell ref="R2335:S2335"/>
    <mergeCell ref="R2336:S2336"/>
    <mergeCell ref="I2333:J2333"/>
    <mergeCell ref="M2333:O2333"/>
    <mergeCell ref="P2333:Q2333"/>
    <mergeCell ref="T2333:U2333"/>
    <mergeCell ref="V2333:W2333"/>
    <mergeCell ref="B2334:D2336"/>
    <mergeCell ref="E2334:E2335"/>
    <mergeCell ref="F2334:H2336"/>
    <mergeCell ref="I2334:J2335"/>
    <mergeCell ref="K2334:L2334"/>
    <mergeCell ref="V2332:W2332"/>
    <mergeCell ref="X2332:Z2333"/>
    <mergeCell ref="AA2332:AB2333"/>
    <mergeCell ref="AC2332:AD2332"/>
    <mergeCell ref="AC2333:AD2333"/>
    <mergeCell ref="AE2332:AE2333"/>
    <mergeCell ref="K2333:L2333"/>
    <mergeCell ref="M2332:O2332"/>
    <mergeCell ref="P2332:Q2332"/>
    <mergeCell ref="R2332:S2332"/>
    <mergeCell ref="R2333:S2333"/>
    <mergeCell ref="T2332:U2332"/>
    <mergeCell ref="R2339:S2339"/>
    <mergeCell ref="T2339:U2339"/>
    <mergeCell ref="V2339:W2339"/>
    <mergeCell ref="X2339:Z2339"/>
    <mergeCell ref="AA2339:AB2339"/>
    <mergeCell ref="AC2339:AD2339"/>
    <mergeCell ref="B2339:D2339"/>
    <mergeCell ref="F2339:H2339"/>
    <mergeCell ref="I2339:J2339"/>
    <mergeCell ref="K2339:L2339"/>
    <mergeCell ref="M2339:O2339"/>
    <mergeCell ref="P2339:Q2339"/>
    <mergeCell ref="R2338:S2338"/>
    <mergeCell ref="T2338:U2338"/>
    <mergeCell ref="V2338:W2338"/>
    <mergeCell ref="X2338:Z2338"/>
    <mergeCell ref="AA2338:AB2338"/>
    <mergeCell ref="AC2338:AD2338"/>
    <mergeCell ref="B2338:D2338"/>
    <mergeCell ref="F2338:H2338"/>
    <mergeCell ref="I2338:J2338"/>
    <mergeCell ref="K2338:L2338"/>
    <mergeCell ref="M2338:O2338"/>
    <mergeCell ref="P2338:Q2338"/>
    <mergeCell ref="R2337:S2337"/>
    <mergeCell ref="T2337:U2337"/>
    <mergeCell ref="V2337:W2337"/>
    <mergeCell ref="X2337:Z2337"/>
    <mergeCell ref="AA2337:AB2337"/>
    <mergeCell ref="AC2337:AD2337"/>
    <mergeCell ref="B2337:D2337"/>
    <mergeCell ref="F2337:H2337"/>
    <mergeCell ref="I2337:J2337"/>
    <mergeCell ref="K2337:L2337"/>
    <mergeCell ref="M2337:O2337"/>
    <mergeCell ref="P2337:Q2337"/>
    <mergeCell ref="V2341:W2341"/>
    <mergeCell ref="X2341:Z2341"/>
    <mergeCell ref="AA2341:AB2341"/>
    <mergeCell ref="AC2341:AD2341"/>
    <mergeCell ref="B2342:D2342"/>
    <mergeCell ref="F2342:H2342"/>
    <mergeCell ref="I2342:J2342"/>
    <mergeCell ref="K2342:L2342"/>
    <mergeCell ref="M2342:O2342"/>
    <mergeCell ref="P2342:Q2342"/>
    <mergeCell ref="AC2340:AD2340"/>
    <mergeCell ref="AF2340:AH2354"/>
    <mergeCell ref="B2341:D2341"/>
    <mergeCell ref="F2341:H2341"/>
    <mergeCell ref="I2341:J2341"/>
    <mergeCell ref="K2341:L2341"/>
    <mergeCell ref="M2341:O2341"/>
    <mergeCell ref="P2341:Q2341"/>
    <mergeCell ref="R2341:S2341"/>
    <mergeCell ref="T2341:U2341"/>
    <mergeCell ref="P2340:Q2340"/>
    <mergeCell ref="R2340:S2340"/>
    <mergeCell ref="T2340:U2340"/>
    <mergeCell ref="V2340:W2340"/>
    <mergeCell ref="X2340:Z2340"/>
    <mergeCell ref="AA2340:AB2340"/>
    <mergeCell ref="A2340:A2354"/>
    <mergeCell ref="B2340:D2340"/>
    <mergeCell ref="F2340:H2340"/>
    <mergeCell ref="I2340:J2340"/>
    <mergeCell ref="K2340:L2340"/>
    <mergeCell ref="M2340:O2340"/>
    <mergeCell ref="B2343:D2343"/>
    <mergeCell ref="F2343:H2343"/>
    <mergeCell ref="I2343:J2343"/>
    <mergeCell ref="K2343:L2343"/>
    <mergeCell ref="R2345:S2345"/>
    <mergeCell ref="T2345:U2345"/>
    <mergeCell ref="V2345:W2345"/>
    <mergeCell ref="X2345:Z2345"/>
    <mergeCell ref="AA2345:AB2345"/>
    <mergeCell ref="AC2345:AD2345"/>
    <mergeCell ref="V2344:W2344"/>
    <mergeCell ref="X2344:Z2344"/>
    <mergeCell ref="AA2344:AB2344"/>
    <mergeCell ref="AC2344:AD2344"/>
    <mergeCell ref="B2345:D2345"/>
    <mergeCell ref="F2345:H2345"/>
    <mergeCell ref="I2345:J2345"/>
    <mergeCell ref="K2345:L2345"/>
    <mergeCell ref="M2345:O2345"/>
    <mergeCell ref="P2345:Q2345"/>
    <mergeCell ref="AA2343:AB2343"/>
    <mergeCell ref="AC2343:AD2343"/>
    <mergeCell ref="B2344:D2344"/>
    <mergeCell ref="F2344:H2344"/>
    <mergeCell ref="I2344:J2344"/>
    <mergeCell ref="K2344:L2344"/>
    <mergeCell ref="M2344:O2344"/>
    <mergeCell ref="P2344:Q2344"/>
    <mergeCell ref="R2344:S2344"/>
    <mergeCell ref="T2344:U2344"/>
    <mergeCell ref="M2343:O2343"/>
    <mergeCell ref="P2343:Q2343"/>
    <mergeCell ref="R2343:S2343"/>
    <mergeCell ref="T2343:U2343"/>
    <mergeCell ref="V2343:W2343"/>
    <mergeCell ref="X2343:Z2343"/>
    <mergeCell ref="R2342:S2342"/>
    <mergeCell ref="T2342:U2342"/>
    <mergeCell ref="V2342:W2342"/>
    <mergeCell ref="X2342:Z2342"/>
    <mergeCell ref="AA2342:AB2342"/>
    <mergeCell ref="AC2342:AD2342"/>
    <mergeCell ref="R2348:S2348"/>
    <mergeCell ref="T2348:U2348"/>
    <mergeCell ref="V2348:W2348"/>
    <mergeCell ref="X2348:Z2348"/>
    <mergeCell ref="AA2348:AB2348"/>
    <mergeCell ref="AC2348:AD2348"/>
    <mergeCell ref="B2348:D2348"/>
    <mergeCell ref="F2348:H2348"/>
    <mergeCell ref="I2348:J2348"/>
    <mergeCell ref="K2348:L2348"/>
    <mergeCell ref="M2348:O2348"/>
    <mergeCell ref="P2348:Q2348"/>
    <mergeCell ref="R2347:S2347"/>
    <mergeCell ref="T2347:U2347"/>
    <mergeCell ref="V2347:W2347"/>
    <mergeCell ref="X2347:Z2347"/>
    <mergeCell ref="AA2347:AB2347"/>
    <mergeCell ref="AC2347:AD2347"/>
    <mergeCell ref="B2347:D2347"/>
    <mergeCell ref="F2347:H2347"/>
    <mergeCell ref="I2347:J2347"/>
    <mergeCell ref="K2347:L2347"/>
    <mergeCell ref="M2347:O2347"/>
    <mergeCell ref="P2347:Q2347"/>
    <mergeCell ref="R2346:S2346"/>
    <mergeCell ref="T2346:U2346"/>
    <mergeCell ref="V2346:W2346"/>
    <mergeCell ref="X2346:Z2346"/>
    <mergeCell ref="AA2346:AB2346"/>
    <mergeCell ref="AC2346:AD2346"/>
    <mergeCell ref="B2346:D2346"/>
    <mergeCell ref="F2346:H2346"/>
    <mergeCell ref="I2346:J2346"/>
    <mergeCell ref="K2346:L2346"/>
    <mergeCell ref="M2346:O2346"/>
    <mergeCell ref="P2346:Q2346"/>
    <mergeCell ref="R2351:S2351"/>
    <mergeCell ref="T2351:U2351"/>
    <mergeCell ref="V2351:W2351"/>
    <mergeCell ref="X2351:Z2351"/>
    <mergeCell ref="AA2351:AB2351"/>
    <mergeCell ref="AC2351:AD2351"/>
    <mergeCell ref="B2351:D2351"/>
    <mergeCell ref="F2351:H2351"/>
    <mergeCell ref="I2351:J2351"/>
    <mergeCell ref="K2351:L2351"/>
    <mergeCell ref="M2351:O2351"/>
    <mergeCell ref="P2351:Q2351"/>
    <mergeCell ref="R2350:S2350"/>
    <mergeCell ref="T2350:U2350"/>
    <mergeCell ref="V2350:W2350"/>
    <mergeCell ref="X2350:Z2350"/>
    <mergeCell ref="AA2350:AB2350"/>
    <mergeCell ref="AC2350:AD2350"/>
    <mergeCell ref="B2350:D2350"/>
    <mergeCell ref="F2350:H2350"/>
    <mergeCell ref="I2350:J2350"/>
    <mergeCell ref="K2350:L2350"/>
    <mergeCell ref="M2350:O2350"/>
    <mergeCell ref="P2350:Q2350"/>
    <mergeCell ref="R2349:S2349"/>
    <mergeCell ref="T2349:U2349"/>
    <mergeCell ref="V2349:W2349"/>
    <mergeCell ref="X2349:Z2349"/>
    <mergeCell ref="AA2349:AB2349"/>
    <mergeCell ref="AC2349:AD2349"/>
    <mergeCell ref="B2349:D2349"/>
    <mergeCell ref="F2349:H2349"/>
    <mergeCell ref="I2349:J2349"/>
    <mergeCell ref="K2349:L2349"/>
    <mergeCell ref="M2349:O2349"/>
    <mergeCell ref="P2349:Q2349"/>
    <mergeCell ref="AF2355:AH2366"/>
    <mergeCell ref="AI2355:AI2366"/>
    <mergeCell ref="V2356:W2356"/>
    <mergeCell ref="X2356:Z2356"/>
    <mergeCell ref="AA2356:AB2356"/>
    <mergeCell ref="AC2356:AD2356"/>
    <mergeCell ref="V2354:W2354"/>
    <mergeCell ref="A2355:A2366"/>
    <mergeCell ref="B2355:D2366"/>
    <mergeCell ref="F2355:H2366"/>
    <mergeCell ref="I2355:J2355"/>
    <mergeCell ref="K2355:L2355"/>
    <mergeCell ref="M2355:O2355"/>
    <mergeCell ref="P2355:Q2355"/>
    <mergeCell ref="R2355:S2355"/>
    <mergeCell ref="T2355:U2355"/>
    <mergeCell ref="AA2352:AB2354"/>
    <mergeCell ref="AC2352:AD2352"/>
    <mergeCell ref="AC2353:AD2353"/>
    <mergeCell ref="AC2354:AD2354"/>
    <mergeCell ref="I2353:J2353"/>
    <mergeCell ref="M2353:O2353"/>
    <mergeCell ref="P2353:Q2353"/>
    <mergeCell ref="R2353:S2353"/>
    <mergeCell ref="T2353:U2353"/>
    <mergeCell ref="V2353:W2353"/>
    <mergeCell ref="M2352:O2352"/>
    <mergeCell ref="P2352:Q2352"/>
    <mergeCell ref="R2352:S2352"/>
    <mergeCell ref="T2352:U2352"/>
    <mergeCell ref="V2352:W2352"/>
    <mergeCell ref="X2352:Z2354"/>
    <mergeCell ref="M2354:O2354"/>
    <mergeCell ref="P2354:Q2354"/>
    <mergeCell ref="R2354:S2354"/>
    <mergeCell ref="T2354:U2354"/>
    <mergeCell ref="B2352:D2352"/>
    <mergeCell ref="B2353:D2353"/>
    <mergeCell ref="B2354:D2354"/>
    <mergeCell ref="F2352:H2354"/>
    <mergeCell ref="I2352:J2352"/>
    <mergeCell ref="K2352:L2352"/>
    <mergeCell ref="K2353:L2353"/>
    <mergeCell ref="K2354:L2354"/>
    <mergeCell ref="I2354:J2354"/>
    <mergeCell ref="V2358:W2358"/>
    <mergeCell ref="X2358:Z2358"/>
    <mergeCell ref="AA2358:AB2358"/>
    <mergeCell ref="AC2358:AD2358"/>
    <mergeCell ref="I2359:J2359"/>
    <mergeCell ref="K2359:L2359"/>
    <mergeCell ref="M2359:O2359"/>
    <mergeCell ref="P2359:Q2359"/>
    <mergeCell ref="R2359:S2359"/>
    <mergeCell ref="T2359:U2359"/>
    <mergeCell ref="V2357:W2357"/>
    <mergeCell ref="X2357:Z2357"/>
    <mergeCell ref="AA2357:AB2357"/>
    <mergeCell ref="AC2357:AD2357"/>
    <mergeCell ref="I2358:J2358"/>
    <mergeCell ref="K2358:L2358"/>
    <mergeCell ref="M2358:O2358"/>
    <mergeCell ref="P2358:Q2358"/>
    <mergeCell ref="R2358:S2358"/>
    <mergeCell ref="T2358:U2358"/>
    <mergeCell ref="I2357:J2357"/>
    <mergeCell ref="K2357:L2357"/>
    <mergeCell ref="M2357:O2357"/>
    <mergeCell ref="P2357:Q2357"/>
    <mergeCell ref="R2357:S2357"/>
    <mergeCell ref="T2357:U2357"/>
    <mergeCell ref="I2356:J2356"/>
    <mergeCell ref="K2356:L2356"/>
    <mergeCell ref="M2356:O2356"/>
    <mergeCell ref="P2356:Q2356"/>
    <mergeCell ref="R2356:S2356"/>
    <mergeCell ref="T2356:U2356"/>
    <mergeCell ref="V2355:W2355"/>
    <mergeCell ref="X2355:Z2355"/>
    <mergeCell ref="AA2355:AB2355"/>
    <mergeCell ref="AC2355:AD2355"/>
    <mergeCell ref="V2362:W2362"/>
    <mergeCell ref="X2362:Z2362"/>
    <mergeCell ref="AA2362:AB2362"/>
    <mergeCell ref="AC2362:AD2362"/>
    <mergeCell ref="I2363:J2363"/>
    <mergeCell ref="K2363:L2363"/>
    <mergeCell ref="M2363:O2363"/>
    <mergeCell ref="P2363:Q2363"/>
    <mergeCell ref="R2363:S2363"/>
    <mergeCell ref="T2363:U2363"/>
    <mergeCell ref="V2361:W2361"/>
    <mergeCell ref="X2361:Z2361"/>
    <mergeCell ref="AA2361:AB2361"/>
    <mergeCell ref="AC2361:AD2361"/>
    <mergeCell ref="I2362:J2362"/>
    <mergeCell ref="K2362:L2362"/>
    <mergeCell ref="M2362:O2362"/>
    <mergeCell ref="P2362:Q2362"/>
    <mergeCell ref="R2362:S2362"/>
    <mergeCell ref="T2362:U2362"/>
    <mergeCell ref="V2360:W2360"/>
    <mergeCell ref="X2360:Z2360"/>
    <mergeCell ref="AA2360:AB2360"/>
    <mergeCell ref="AC2360:AD2360"/>
    <mergeCell ref="I2361:J2361"/>
    <mergeCell ref="K2361:L2361"/>
    <mergeCell ref="M2361:O2361"/>
    <mergeCell ref="P2361:Q2361"/>
    <mergeCell ref="R2361:S2361"/>
    <mergeCell ref="T2361:U2361"/>
    <mergeCell ref="V2359:W2359"/>
    <mergeCell ref="X2359:Z2359"/>
    <mergeCell ref="AA2359:AB2359"/>
    <mergeCell ref="AC2359:AD2359"/>
    <mergeCell ref="I2360:J2360"/>
    <mergeCell ref="K2360:L2360"/>
    <mergeCell ref="M2360:O2360"/>
    <mergeCell ref="P2360:Q2360"/>
    <mergeCell ref="R2360:S2360"/>
    <mergeCell ref="T2360:U2360"/>
    <mergeCell ref="V2366:W2366"/>
    <mergeCell ref="X2366:Z2366"/>
    <mergeCell ref="AA2366:AB2366"/>
    <mergeCell ref="AC2366:AD2366"/>
    <mergeCell ref="A2367:A2388"/>
    <mergeCell ref="B2367:D2368"/>
    <mergeCell ref="F2367:H2368"/>
    <mergeCell ref="I2367:J2367"/>
    <mergeCell ref="K2367:L2367"/>
    <mergeCell ref="M2367:O2367"/>
    <mergeCell ref="V2365:W2365"/>
    <mergeCell ref="X2365:Z2365"/>
    <mergeCell ref="AA2365:AB2365"/>
    <mergeCell ref="AC2365:AD2365"/>
    <mergeCell ref="I2366:J2366"/>
    <mergeCell ref="K2366:L2366"/>
    <mergeCell ref="M2366:O2366"/>
    <mergeCell ref="P2366:Q2366"/>
    <mergeCell ref="R2366:S2366"/>
    <mergeCell ref="T2366:U2366"/>
    <mergeCell ref="V2364:W2364"/>
    <mergeCell ref="X2364:Z2364"/>
    <mergeCell ref="AA2364:AB2364"/>
    <mergeCell ref="AC2364:AD2364"/>
    <mergeCell ref="I2365:J2365"/>
    <mergeCell ref="K2365:L2365"/>
    <mergeCell ref="M2365:O2365"/>
    <mergeCell ref="P2365:Q2365"/>
    <mergeCell ref="R2365:S2365"/>
    <mergeCell ref="T2365:U2365"/>
    <mergeCell ref="V2363:W2363"/>
    <mergeCell ref="X2363:Z2363"/>
    <mergeCell ref="AA2363:AB2363"/>
    <mergeCell ref="AC2363:AD2363"/>
    <mergeCell ref="I2364:J2364"/>
    <mergeCell ref="K2364:L2364"/>
    <mergeCell ref="M2364:O2364"/>
    <mergeCell ref="P2364:Q2364"/>
    <mergeCell ref="R2364:S2364"/>
    <mergeCell ref="T2364:U2364"/>
    <mergeCell ref="I2368:J2368"/>
    <mergeCell ref="K2368:L2368"/>
    <mergeCell ref="M2368:O2368"/>
    <mergeCell ref="P2368:Q2368"/>
    <mergeCell ref="T2368:U2368"/>
    <mergeCell ref="V2368:W2368"/>
    <mergeCell ref="AC2384:AD2384"/>
    <mergeCell ref="AC2385:AD2385"/>
    <mergeCell ref="AC2386:AD2386"/>
    <mergeCell ref="AC2387:AD2387"/>
    <mergeCell ref="AC2388:AD2388"/>
    <mergeCell ref="AF2367:AH2388"/>
    <mergeCell ref="AC2378:AD2378"/>
    <mergeCell ref="AC2379:AD2379"/>
    <mergeCell ref="AC2380:AD2380"/>
    <mergeCell ref="AC2381:AD2381"/>
    <mergeCell ref="AC2382:AD2382"/>
    <mergeCell ref="AC2383:AD2383"/>
    <mergeCell ref="AC2372:AD2372"/>
    <mergeCell ref="AC2373:AD2373"/>
    <mergeCell ref="AC2374:AD2374"/>
    <mergeCell ref="AC2375:AD2375"/>
    <mergeCell ref="AC2376:AD2376"/>
    <mergeCell ref="AC2377:AD2377"/>
    <mergeCell ref="AA2367:AB2368"/>
    <mergeCell ref="AC2367:AD2367"/>
    <mergeCell ref="AC2368:AD2368"/>
    <mergeCell ref="AC2369:AD2369"/>
    <mergeCell ref="AC2370:AD2370"/>
    <mergeCell ref="AC2371:AD2371"/>
    <mergeCell ref="P2367:Q2367"/>
    <mergeCell ref="R2367:S2367"/>
    <mergeCell ref="R2368:S2368"/>
    <mergeCell ref="T2367:U2367"/>
    <mergeCell ref="V2367:W2367"/>
    <mergeCell ref="X2367:Z2368"/>
    <mergeCell ref="R2371:S2371"/>
    <mergeCell ref="R2372:S2372"/>
    <mergeCell ref="T2371:U2371"/>
    <mergeCell ref="V2371:W2371"/>
    <mergeCell ref="X2371:Z2372"/>
    <mergeCell ref="AA2371:AB2372"/>
    <mergeCell ref="T2372:U2372"/>
    <mergeCell ref="V2372:W2372"/>
    <mergeCell ref="B2371:D2372"/>
    <mergeCell ref="F2371:H2372"/>
    <mergeCell ref="I2371:J2371"/>
    <mergeCell ref="K2371:L2371"/>
    <mergeCell ref="M2371:O2371"/>
    <mergeCell ref="P2371:Q2371"/>
    <mergeCell ref="I2372:J2372"/>
    <mergeCell ref="K2372:L2372"/>
    <mergeCell ref="M2372:O2372"/>
    <mergeCell ref="P2372:Q2372"/>
    <mergeCell ref="R2369:S2369"/>
    <mergeCell ref="R2370:S2370"/>
    <mergeCell ref="T2369:U2369"/>
    <mergeCell ref="V2369:W2369"/>
    <mergeCell ref="X2369:Z2370"/>
    <mergeCell ref="AA2369:AB2370"/>
    <mergeCell ref="T2370:U2370"/>
    <mergeCell ref="V2370:W2370"/>
    <mergeCell ref="B2369:D2370"/>
    <mergeCell ref="F2369:H2370"/>
    <mergeCell ref="I2369:J2369"/>
    <mergeCell ref="K2369:L2369"/>
    <mergeCell ref="M2369:O2369"/>
    <mergeCell ref="P2369:Q2369"/>
    <mergeCell ref="I2370:J2370"/>
    <mergeCell ref="K2370:L2370"/>
    <mergeCell ref="M2370:O2370"/>
    <mergeCell ref="P2370:Q2370"/>
    <mergeCell ref="T2376:U2376"/>
    <mergeCell ref="V2376:W2376"/>
    <mergeCell ref="B2377:D2379"/>
    <mergeCell ref="E2377:E2378"/>
    <mergeCell ref="F2377:H2377"/>
    <mergeCell ref="I2377:J2378"/>
    <mergeCell ref="K2377:L2378"/>
    <mergeCell ref="M2377:O2378"/>
    <mergeCell ref="P2377:Q2378"/>
    <mergeCell ref="R2377:S2378"/>
    <mergeCell ref="R2375:S2375"/>
    <mergeCell ref="T2375:U2375"/>
    <mergeCell ref="V2375:W2375"/>
    <mergeCell ref="X2375:Z2376"/>
    <mergeCell ref="AA2375:AB2376"/>
    <mergeCell ref="I2376:J2376"/>
    <mergeCell ref="K2376:L2376"/>
    <mergeCell ref="M2376:O2376"/>
    <mergeCell ref="P2376:Q2376"/>
    <mergeCell ref="R2376:S2376"/>
    <mergeCell ref="B2375:D2376"/>
    <mergeCell ref="F2375:H2376"/>
    <mergeCell ref="I2375:J2375"/>
    <mergeCell ref="K2375:L2375"/>
    <mergeCell ref="M2375:O2375"/>
    <mergeCell ref="P2375:Q2375"/>
    <mergeCell ref="R2373:S2373"/>
    <mergeCell ref="R2374:S2374"/>
    <mergeCell ref="T2373:U2373"/>
    <mergeCell ref="V2373:W2373"/>
    <mergeCell ref="X2373:Z2374"/>
    <mergeCell ref="AA2373:AB2374"/>
    <mergeCell ref="T2374:U2374"/>
    <mergeCell ref="V2374:W2374"/>
    <mergeCell ref="B2373:D2374"/>
    <mergeCell ref="F2373:H2374"/>
    <mergeCell ref="I2373:J2373"/>
    <mergeCell ref="K2373:L2373"/>
    <mergeCell ref="M2373:O2373"/>
    <mergeCell ref="P2373:Q2373"/>
    <mergeCell ref="I2374:J2374"/>
    <mergeCell ref="K2374:L2374"/>
    <mergeCell ref="M2374:O2374"/>
    <mergeCell ref="P2374:Q2374"/>
    <mergeCell ref="T2381:U2381"/>
    <mergeCell ref="V2381:W2381"/>
    <mergeCell ref="B2382:D2382"/>
    <mergeCell ref="F2382:H2382"/>
    <mergeCell ref="I2382:J2382"/>
    <mergeCell ref="K2382:L2382"/>
    <mergeCell ref="M2382:O2382"/>
    <mergeCell ref="P2382:Q2382"/>
    <mergeCell ref="R2382:S2382"/>
    <mergeCell ref="T2382:U2382"/>
    <mergeCell ref="R2380:S2380"/>
    <mergeCell ref="T2380:U2380"/>
    <mergeCell ref="V2380:W2380"/>
    <mergeCell ref="X2380:Z2381"/>
    <mergeCell ref="AA2380:AB2381"/>
    <mergeCell ref="I2381:J2381"/>
    <mergeCell ref="K2381:L2381"/>
    <mergeCell ref="M2381:O2381"/>
    <mergeCell ref="P2381:Q2381"/>
    <mergeCell ref="R2381:S2381"/>
    <mergeCell ref="P2379:Q2379"/>
    <mergeCell ref="R2379:S2379"/>
    <mergeCell ref="T2379:U2379"/>
    <mergeCell ref="V2379:W2379"/>
    <mergeCell ref="B2380:D2381"/>
    <mergeCell ref="F2380:H2381"/>
    <mergeCell ref="I2380:J2380"/>
    <mergeCell ref="K2380:L2380"/>
    <mergeCell ref="M2380:O2380"/>
    <mergeCell ref="P2380:Q2380"/>
    <mergeCell ref="T2377:U2378"/>
    <mergeCell ref="V2377:W2378"/>
    <mergeCell ref="X2377:Z2377"/>
    <mergeCell ref="AA2377:AB2377"/>
    <mergeCell ref="F2378:H2379"/>
    <mergeCell ref="X2378:Z2379"/>
    <mergeCell ref="AA2378:AB2379"/>
    <mergeCell ref="I2379:J2379"/>
    <mergeCell ref="K2379:L2379"/>
    <mergeCell ref="M2379:O2379"/>
    <mergeCell ref="P2385:Q2385"/>
    <mergeCell ref="R2385:S2385"/>
    <mergeCell ref="T2385:U2385"/>
    <mergeCell ref="V2385:W2385"/>
    <mergeCell ref="X2385:Z2385"/>
    <mergeCell ref="AA2385:AB2385"/>
    <mergeCell ref="R2384:S2384"/>
    <mergeCell ref="T2384:U2384"/>
    <mergeCell ref="V2384:W2384"/>
    <mergeCell ref="X2384:Z2384"/>
    <mergeCell ref="AA2384:AB2384"/>
    <mergeCell ref="B2385:D2385"/>
    <mergeCell ref="F2385:H2385"/>
    <mergeCell ref="I2385:J2385"/>
    <mergeCell ref="K2385:L2385"/>
    <mergeCell ref="M2385:O2385"/>
    <mergeCell ref="T2383:U2383"/>
    <mergeCell ref="V2383:W2383"/>
    <mergeCell ref="X2383:Z2383"/>
    <mergeCell ref="AA2383:AB2383"/>
    <mergeCell ref="B2384:D2384"/>
    <mergeCell ref="F2384:H2384"/>
    <mergeCell ref="I2384:J2384"/>
    <mergeCell ref="K2384:L2384"/>
    <mergeCell ref="M2384:O2384"/>
    <mergeCell ref="P2384:Q2384"/>
    <mergeCell ref="V2382:W2382"/>
    <mergeCell ref="X2382:Z2382"/>
    <mergeCell ref="AA2382:AB2382"/>
    <mergeCell ref="B2383:D2383"/>
    <mergeCell ref="F2383:H2383"/>
    <mergeCell ref="I2383:J2383"/>
    <mergeCell ref="K2383:L2383"/>
    <mergeCell ref="M2383:O2383"/>
    <mergeCell ref="P2383:Q2383"/>
    <mergeCell ref="R2383:S2383"/>
    <mergeCell ref="R2388:S2388"/>
    <mergeCell ref="T2388:U2388"/>
    <mergeCell ref="V2388:W2388"/>
    <mergeCell ref="X2388:Z2388"/>
    <mergeCell ref="AA2388:AB2388"/>
    <mergeCell ref="A2389:A2395"/>
    <mergeCell ref="B2389:D2389"/>
    <mergeCell ref="F2389:H2389"/>
    <mergeCell ref="I2389:J2389"/>
    <mergeCell ref="K2389:L2389"/>
    <mergeCell ref="B2388:D2388"/>
    <mergeCell ref="F2388:H2388"/>
    <mergeCell ref="I2388:J2388"/>
    <mergeCell ref="K2388:L2388"/>
    <mergeCell ref="M2388:O2388"/>
    <mergeCell ref="P2388:Q2388"/>
    <mergeCell ref="P2387:Q2387"/>
    <mergeCell ref="R2387:S2387"/>
    <mergeCell ref="T2387:U2387"/>
    <mergeCell ref="V2387:W2387"/>
    <mergeCell ref="X2387:Z2387"/>
    <mergeCell ref="AA2387:AB2387"/>
    <mergeCell ref="R2386:S2386"/>
    <mergeCell ref="T2386:U2386"/>
    <mergeCell ref="V2386:W2386"/>
    <mergeCell ref="X2386:Z2386"/>
    <mergeCell ref="AA2386:AB2386"/>
    <mergeCell ref="B2387:D2387"/>
    <mergeCell ref="F2387:H2387"/>
    <mergeCell ref="I2387:J2387"/>
    <mergeCell ref="K2387:L2387"/>
    <mergeCell ref="M2387:O2387"/>
    <mergeCell ref="B2386:D2386"/>
    <mergeCell ref="F2386:H2386"/>
    <mergeCell ref="I2386:J2386"/>
    <mergeCell ref="K2386:L2386"/>
    <mergeCell ref="M2386:O2386"/>
    <mergeCell ref="P2386:Q2386"/>
    <mergeCell ref="T2390:U2390"/>
    <mergeCell ref="V2390:W2390"/>
    <mergeCell ref="X2390:Z2390"/>
    <mergeCell ref="B2391:D2391"/>
    <mergeCell ref="F2391:H2391"/>
    <mergeCell ref="I2391:J2391"/>
    <mergeCell ref="K2391:L2391"/>
    <mergeCell ref="M2391:O2391"/>
    <mergeCell ref="P2391:Q2391"/>
    <mergeCell ref="R2391:S2391"/>
    <mergeCell ref="AC2395:AD2395"/>
    <mergeCell ref="AF2389:AH2395"/>
    <mergeCell ref="AI2389:AI2423"/>
    <mergeCell ref="B2390:D2390"/>
    <mergeCell ref="F2390:H2390"/>
    <mergeCell ref="I2390:J2390"/>
    <mergeCell ref="K2390:L2390"/>
    <mergeCell ref="M2390:O2390"/>
    <mergeCell ref="P2390:Q2390"/>
    <mergeCell ref="R2390:S2390"/>
    <mergeCell ref="AA2389:AB2394"/>
    <mergeCell ref="AC2389:AD2389"/>
    <mergeCell ref="AC2390:AD2390"/>
    <mergeCell ref="AC2391:AD2391"/>
    <mergeCell ref="AC2392:AD2392"/>
    <mergeCell ref="AC2393:AD2393"/>
    <mergeCell ref="AC2394:AD2394"/>
    <mergeCell ref="M2389:O2389"/>
    <mergeCell ref="P2389:Q2389"/>
    <mergeCell ref="R2389:S2389"/>
    <mergeCell ref="T2389:U2389"/>
    <mergeCell ref="V2389:W2389"/>
    <mergeCell ref="X2389:Z2389"/>
    <mergeCell ref="T2394:U2394"/>
    <mergeCell ref="V2394:W2394"/>
    <mergeCell ref="X2394:Z2394"/>
    <mergeCell ref="B2395:D2395"/>
    <mergeCell ref="F2395:H2395"/>
    <mergeCell ref="I2395:J2395"/>
    <mergeCell ref="K2395:L2395"/>
    <mergeCell ref="M2395:O2395"/>
    <mergeCell ref="P2395:Q2395"/>
    <mergeCell ref="R2395:S2395"/>
    <mergeCell ref="T2393:U2393"/>
    <mergeCell ref="V2393:W2393"/>
    <mergeCell ref="X2393:Z2393"/>
    <mergeCell ref="B2394:D2394"/>
    <mergeCell ref="F2394:H2394"/>
    <mergeCell ref="I2394:J2394"/>
    <mergeCell ref="K2394:L2394"/>
    <mergeCell ref="M2394:O2394"/>
    <mergeCell ref="P2394:Q2394"/>
    <mergeCell ref="R2394:S2394"/>
    <mergeCell ref="T2392:U2392"/>
    <mergeCell ref="V2392:W2392"/>
    <mergeCell ref="X2392:Z2392"/>
    <mergeCell ref="B2393:D2393"/>
    <mergeCell ref="F2393:H2393"/>
    <mergeCell ref="I2393:J2393"/>
    <mergeCell ref="K2393:L2393"/>
    <mergeCell ref="M2393:O2393"/>
    <mergeCell ref="P2393:Q2393"/>
    <mergeCell ref="R2393:S2393"/>
    <mergeCell ref="T2391:U2391"/>
    <mergeCell ref="V2391:W2391"/>
    <mergeCell ref="X2391:Z2391"/>
    <mergeCell ref="B2392:D2392"/>
    <mergeCell ref="F2392:H2392"/>
    <mergeCell ref="I2392:J2392"/>
    <mergeCell ref="K2392:L2392"/>
    <mergeCell ref="M2392:O2392"/>
    <mergeCell ref="P2392:Q2392"/>
    <mergeCell ref="R2392:S2392"/>
    <mergeCell ref="AC2406:AD2406"/>
    <mergeCell ref="AC2407:AD2407"/>
    <mergeCell ref="AC2408:AD2408"/>
    <mergeCell ref="AC2409:AD2409"/>
    <mergeCell ref="AF2396:AH2409"/>
    <mergeCell ref="I2397:J2397"/>
    <mergeCell ref="M2397:O2397"/>
    <mergeCell ref="P2397:Q2397"/>
    <mergeCell ref="T2397:U2397"/>
    <mergeCell ref="V2397:W2397"/>
    <mergeCell ref="AC2400:AD2400"/>
    <mergeCell ref="AC2401:AD2401"/>
    <mergeCell ref="AC2402:AD2402"/>
    <mergeCell ref="AC2403:AD2403"/>
    <mergeCell ref="AC2404:AD2404"/>
    <mergeCell ref="AC2405:AD2405"/>
    <mergeCell ref="X2396:Z2397"/>
    <mergeCell ref="AA2396:AB2397"/>
    <mergeCell ref="AC2396:AD2396"/>
    <mergeCell ref="AC2397:AD2397"/>
    <mergeCell ref="AC2398:AD2398"/>
    <mergeCell ref="AC2399:AD2399"/>
    <mergeCell ref="AA2398:AB2399"/>
    <mergeCell ref="M2396:O2396"/>
    <mergeCell ref="P2396:Q2396"/>
    <mergeCell ref="R2396:S2396"/>
    <mergeCell ref="R2397:S2397"/>
    <mergeCell ref="T2396:U2396"/>
    <mergeCell ref="V2396:W2396"/>
    <mergeCell ref="T2395:U2395"/>
    <mergeCell ref="V2395:W2395"/>
    <mergeCell ref="X2395:Z2395"/>
    <mergeCell ref="AA2395:AB2395"/>
    <mergeCell ref="I2396:J2396"/>
    <mergeCell ref="K2396:L2396"/>
    <mergeCell ref="K2397:L2397"/>
    <mergeCell ref="R2400:S2400"/>
    <mergeCell ref="T2400:U2400"/>
    <mergeCell ref="V2400:W2400"/>
    <mergeCell ref="X2400:Z2400"/>
    <mergeCell ref="AA2400:AB2400"/>
    <mergeCell ref="B2401:D2401"/>
    <mergeCell ref="E2401:E2402"/>
    <mergeCell ref="F2401:H2402"/>
    <mergeCell ref="I2401:J2402"/>
    <mergeCell ref="K2401:L2401"/>
    <mergeCell ref="B2400:D2400"/>
    <mergeCell ref="F2400:H2400"/>
    <mergeCell ref="I2400:J2400"/>
    <mergeCell ref="K2400:L2400"/>
    <mergeCell ref="M2400:O2400"/>
    <mergeCell ref="P2400:Q2400"/>
    <mergeCell ref="P2398:Q2398"/>
    <mergeCell ref="R2398:S2398"/>
    <mergeCell ref="R2399:S2399"/>
    <mergeCell ref="T2398:U2398"/>
    <mergeCell ref="V2398:W2398"/>
    <mergeCell ref="X2398:Z2399"/>
    <mergeCell ref="P2399:Q2399"/>
    <mergeCell ref="T2399:U2399"/>
    <mergeCell ref="V2399:W2399"/>
    <mergeCell ref="B2398:D2399"/>
    <mergeCell ref="F2398:H2399"/>
    <mergeCell ref="I2398:J2398"/>
    <mergeCell ref="K2398:L2398"/>
    <mergeCell ref="K2399:L2399"/>
    <mergeCell ref="M2398:O2398"/>
    <mergeCell ref="I2399:J2399"/>
    <mergeCell ref="M2399:O2399"/>
    <mergeCell ref="M2405:O2405"/>
    <mergeCell ref="P2405:Q2405"/>
    <mergeCell ref="T2405:U2405"/>
    <mergeCell ref="V2405:W2405"/>
    <mergeCell ref="B2406:D2407"/>
    <mergeCell ref="F2406:H2407"/>
    <mergeCell ref="I2406:J2406"/>
    <mergeCell ref="K2406:L2406"/>
    <mergeCell ref="K2407:L2407"/>
    <mergeCell ref="M2406:O2406"/>
    <mergeCell ref="T2403:U2404"/>
    <mergeCell ref="V2403:W2404"/>
    <mergeCell ref="X2403:Z2403"/>
    <mergeCell ref="AA2403:AB2403"/>
    <mergeCell ref="B2404:D2405"/>
    <mergeCell ref="F2404:H2405"/>
    <mergeCell ref="X2404:Z2405"/>
    <mergeCell ref="AA2404:AB2405"/>
    <mergeCell ref="I2405:J2405"/>
    <mergeCell ref="K2405:L2405"/>
    <mergeCell ref="R2404:S2404"/>
    <mergeCell ref="R2405:S2405"/>
    <mergeCell ref="R2406:S2406"/>
    <mergeCell ref="R2407:S2407"/>
    <mergeCell ref="R2408:S2408"/>
    <mergeCell ref="R2409:S2409"/>
    <mergeCell ref="AA2401:AB2402"/>
    <mergeCell ref="B2402:D2403"/>
    <mergeCell ref="K2402:L2402"/>
    <mergeCell ref="E2403:E2404"/>
    <mergeCell ref="F2403:H2403"/>
    <mergeCell ref="I2403:J2404"/>
    <mergeCell ref="K2403:L2404"/>
    <mergeCell ref="M2403:O2404"/>
    <mergeCell ref="P2403:Q2404"/>
    <mergeCell ref="R2403:S2403"/>
    <mergeCell ref="M2401:O2402"/>
    <mergeCell ref="P2401:Q2402"/>
    <mergeCell ref="R2401:S2402"/>
    <mergeCell ref="T2401:U2402"/>
    <mergeCell ref="V2401:W2402"/>
    <mergeCell ref="X2401:Z2402"/>
    <mergeCell ref="T2409:U2409"/>
    <mergeCell ref="V2409:W2409"/>
    <mergeCell ref="X2409:Z2409"/>
    <mergeCell ref="AA2409:AB2409"/>
    <mergeCell ref="A2410:A2423"/>
    <mergeCell ref="B2410:D2410"/>
    <mergeCell ref="F2410:H2410"/>
    <mergeCell ref="I2410:J2410"/>
    <mergeCell ref="K2410:L2410"/>
    <mergeCell ref="M2410:O2410"/>
    <mergeCell ref="T2408:U2408"/>
    <mergeCell ref="V2408:W2408"/>
    <mergeCell ref="X2408:Z2408"/>
    <mergeCell ref="AA2408:AB2408"/>
    <mergeCell ref="B2409:D2409"/>
    <mergeCell ref="F2409:H2409"/>
    <mergeCell ref="I2409:J2409"/>
    <mergeCell ref="K2409:L2409"/>
    <mergeCell ref="M2409:O2409"/>
    <mergeCell ref="P2409:Q2409"/>
    <mergeCell ref="B2408:D2408"/>
    <mergeCell ref="F2408:H2408"/>
    <mergeCell ref="I2408:J2408"/>
    <mergeCell ref="K2408:L2408"/>
    <mergeCell ref="M2408:O2408"/>
    <mergeCell ref="P2408:Q2408"/>
    <mergeCell ref="P2406:Q2406"/>
    <mergeCell ref="T2406:U2406"/>
    <mergeCell ref="V2406:W2406"/>
    <mergeCell ref="X2406:Z2407"/>
    <mergeCell ref="AA2406:AB2407"/>
    <mergeCell ref="I2407:J2407"/>
    <mergeCell ref="M2407:O2407"/>
    <mergeCell ref="P2407:Q2407"/>
    <mergeCell ref="T2407:U2407"/>
    <mergeCell ref="V2407:W2407"/>
    <mergeCell ref="A2396:A2409"/>
    <mergeCell ref="B2396:D2397"/>
    <mergeCell ref="F2396:H2397"/>
    <mergeCell ref="R2414:S2414"/>
    <mergeCell ref="T2414:U2414"/>
    <mergeCell ref="V2414:W2414"/>
    <mergeCell ref="X2414:Z2414"/>
    <mergeCell ref="AA2414:AB2414"/>
    <mergeCell ref="B2415:D2415"/>
    <mergeCell ref="E2415:E2416"/>
    <mergeCell ref="F2415:H2416"/>
    <mergeCell ref="I2415:J2416"/>
    <mergeCell ref="K2415:L2416"/>
    <mergeCell ref="B2414:D2414"/>
    <mergeCell ref="F2414:H2414"/>
    <mergeCell ref="I2414:J2414"/>
    <mergeCell ref="K2414:L2414"/>
    <mergeCell ref="M2414:O2414"/>
    <mergeCell ref="P2414:Q2414"/>
    <mergeCell ref="F2413:H2413"/>
    <mergeCell ref="I2413:J2413"/>
    <mergeCell ref="K2413:L2413"/>
    <mergeCell ref="M2413:O2413"/>
    <mergeCell ref="P2413:Q2413"/>
    <mergeCell ref="R2413:S2413"/>
    <mergeCell ref="R2412:S2412"/>
    <mergeCell ref="T2412:U2412"/>
    <mergeCell ref="V2412:W2412"/>
    <mergeCell ref="X2412:Z2412"/>
    <mergeCell ref="AA2412:AB2412"/>
    <mergeCell ref="AE2412:AE2413"/>
    <mergeCell ref="T2413:U2413"/>
    <mergeCell ref="V2413:W2413"/>
    <mergeCell ref="X2413:Z2413"/>
    <mergeCell ref="AA2413:AB2413"/>
    <mergeCell ref="T2411:U2411"/>
    <mergeCell ref="V2411:W2411"/>
    <mergeCell ref="X2411:Z2411"/>
    <mergeCell ref="AA2411:AB2411"/>
    <mergeCell ref="B2412:D2413"/>
    <mergeCell ref="F2412:H2412"/>
    <mergeCell ref="I2412:J2412"/>
    <mergeCell ref="K2412:L2412"/>
    <mergeCell ref="M2412:O2412"/>
    <mergeCell ref="P2412:Q2412"/>
    <mergeCell ref="B2411:D2411"/>
    <mergeCell ref="F2411:H2411"/>
    <mergeCell ref="I2411:J2411"/>
    <mergeCell ref="K2411:L2411"/>
    <mergeCell ref="M2411:O2411"/>
    <mergeCell ref="P2411:Q2411"/>
    <mergeCell ref="R2411:S2411"/>
    <mergeCell ref="AC2416:AD2416"/>
    <mergeCell ref="AC2411:AD2411"/>
    <mergeCell ref="AC2412:AD2412"/>
    <mergeCell ref="AC2413:AD2413"/>
    <mergeCell ref="AC2414:AD2414"/>
    <mergeCell ref="AC2415:AD2415"/>
    <mergeCell ref="R2419:S2419"/>
    <mergeCell ref="T2419:U2419"/>
    <mergeCell ref="V2419:W2419"/>
    <mergeCell ref="X2419:Z2419"/>
    <mergeCell ref="AA2419:AB2419"/>
    <mergeCell ref="B2420:D2421"/>
    <mergeCell ref="F2420:H2420"/>
    <mergeCell ref="I2420:J2420"/>
    <mergeCell ref="K2420:L2420"/>
    <mergeCell ref="M2420:O2420"/>
    <mergeCell ref="AA2417:AB2417"/>
    <mergeCell ref="B2418:D2418"/>
    <mergeCell ref="X2418:Z2418"/>
    <mergeCell ref="AA2418:AB2418"/>
    <mergeCell ref="B2419:D2419"/>
    <mergeCell ref="F2419:H2419"/>
    <mergeCell ref="I2419:J2419"/>
    <mergeCell ref="K2419:L2419"/>
    <mergeCell ref="M2419:O2419"/>
    <mergeCell ref="P2419:Q2419"/>
    <mergeCell ref="M2417:O2418"/>
    <mergeCell ref="P2417:Q2418"/>
    <mergeCell ref="R2417:S2418"/>
    <mergeCell ref="T2417:U2418"/>
    <mergeCell ref="V2417:W2418"/>
    <mergeCell ref="X2417:Z2417"/>
    <mergeCell ref="AA2415:AB2415"/>
    <mergeCell ref="B2416:D2416"/>
    <mergeCell ref="R2416:S2416"/>
    <mergeCell ref="X2416:Z2416"/>
    <mergeCell ref="AA2416:AB2416"/>
    <mergeCell ref="B2417:D2417"/>
    <mergeCell ref="E2417:E2418"/>
    <mergeCell ref="F2417:H2418"/>
    <mergeCell ref="I2417:J2418"/>
    <mergeCell ref="K2417:L2418"/>
    <mergeCell ref="M2415:O2416"/>
    <mergeCell ref="P2415:Q2416"/>
    <mergeCell ref="R2415:S2415"/>
    <mergeCell ref="T2415:U2416"/>
    <mergeCell ref="V2415:W2416"/>
    <mergeCell ref="X2415:Z2415"/>
    <mergeCell ref="AC2424:AI2425"/>
    <mergeCell ref="AA2425:AB2425"/>
    <mergeCell ref="V2423:W2423"/>
    <mergeCell ref="X2423:Z2423"/>
    <mergeCell ref="AA2423:AB2423"/>
    <mergeCell ref="A2424:W2425"/>
    <mergeCell ref="X2424:Z2425"/>
    <mergeCell ref="AA2424:AB2424"/>
    <mergeCell ref="X2422:Z2422"/>
    <mergeCell ref="AA2422:AB2422"/>
    <mergeCell ref="B2423:D2423"/>
    <mergeCell ref="F2423:H2423"/>
    <mergeCell ref="I2423:J2423"/>
    <mergeCell ref="K2423:L2423"/>
    <mergeCell ref="M2423:O2423"/>
    <mergeCell ref="P2423:Q2423"/>
    <mergeCell ref="R2423:S2423"/>
    <mergeCell ref="T2423:U2423"/>
    <mergeCell ref="AA2421:AB2421"/>
    <mergeCell ref="B2422:D2422"/>
    <mergeCell ref="F2422:H2422"/>
    <mergeCell ref="I2422:J2422"/>
    <mergeCell ref="K2422:L2422"/>
    <mergeCell ref="M2422:O2422"/>
    <mergeCell ref="P2422:Q2422"/>
    <mergeCell ref="R2422:S2422"/>
    <mergeCell ref="T2422:U2422"/>
    <mergeCell ref="V2422:W2422"/>
    <mergeCell ref="AE2420:AE2421"/>
    <mergeCell ref="F2421:H2421"/>
    <mergeCell ref="I2421:J2421"/>
    <mergeCell ref="K2421:L2421"/>
    <mergeCell ref="M2421:O2421"/>
    <mergeCell ref="P2421:Q2421"/>
    <mergeCell ref="R2421:S2421"/>
    <mergeCell ref="T2421:U2421"/>
    <mergeCell ref="V2421:W2421"/>
    <mergeCell ref="X2421:Z2421"/>
    <mergeCell ref="P2420:Q2420"/>
    <mergeCell ref="R2420:S2420"/>
    <mergeCell ref="T2420:U2420"/>
    <mergeCell ref="V2420:W2420"/>
    <mergeCell ref="X2420:Z2420"/>
    <mergeCell ref="AA2420:AB2420"/>
    <mergeCell ref="AC2422:AD2422"/>
    <mergeCell ref="AC2423:AD2423"/>
    <mergeCell ref="AF2410:AH2423"/>
    <mergeCell ref="AC2417:AD2417"/>
    <mergeCell ref="AC2418:AD2418"/>
    <mergeCell ref="AC2419:AD2419"/>
    <mergeCell ref="AC2420:AD2420"/>
    <mergeCell ref="AC2421:AD2421"/>
    <mergeCell ref="AC2410:AD2410"/>
    <mergeCell ref="P2410:Q2410"/>
    <mergeCell ref="R2410:S2410"/>
    <mergeCell ref="T2410:U2410"/>
    <mergeCell ref="V2410:W2410"/>
    <mergeCell ref="X2410:Z2410"/>
    <mergeCell ref="AA2410:AB241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科比 布莱恩特</dc:creator>
  <cp:lastModifiedBy>科比 布莱恩特</cp:lastModifiedBy>
  <dcterms:created xsi:type="dcterms:W3CDTF">2026-02-07T14:09:09Z</dcterms:created>
  <dcterms:modified xsi:type="dcterms:W3CDTF">2026-02-08T03:43:35Z</dcterms:modified>
</cp:coreProperties>
</file>